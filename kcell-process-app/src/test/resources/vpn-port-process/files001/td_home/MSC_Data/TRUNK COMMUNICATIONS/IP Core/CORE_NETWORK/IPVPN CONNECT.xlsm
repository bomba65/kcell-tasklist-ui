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howInkAnnotation="0" codeName="ThisWorkbook" defaultThemeVersion="124226"/>
  <mc:AlternateContent xmlns:mc="http://schemas.openxmlformats.org/markup-compatibility/2006">
    <mc:Choice Requires="x15">
      <x15ac:absPath xmlns:x15ac="http://schemas.microsoft.com/office/spreadsheetml/2010/11/ac" url="C:\Users\vadim\OneDrive\Рабочий стол\Kcell\Рабочие файлы\"/>
    </mc:Choice>
  </mc:AlternateContent>
  <bookViews>
    <workbookView xWindow="-60" yWindow="120" windowWidth="19296" windowHeight="10656"/>
  </bookViews>
  <sheets>
    <sheet name="VPN" sheetId="1" r:id="rId1"/>
    <sheet name="3G_REGIONS" sheetId="2" r:id="rId2"/>
    <sheet name="TNS+" sheetId="3" r:id="rId3"/>
    <sheet name="KazTransCom" sheetId="4" r:id="rId4"/>
    <sheet name="Transtelecom" sheetId="6" r:id="rId5"/>
    <sheet name="Лист1" sheetId="5" state="hidden" r:id="rId6"/>
    <sheet name="Лист2" sheetId="7" state="hidden" r:id="rId7"/>
    <sheet name="Лист3" sheetId="8" state="hidden" r:id="rId8"/>
    <sheet name="BAYLANYS_NAK(KAP)" sheetId="11" r:id="rId9"/>
    <sheet name="L2 VLAN" sheetId="9" r:id="rId10"/>
    <sheet name="Описание сервисов" sheetId="10" r:id="rId11"/>
  </sheets>
  <definedNames>
    <definedName name="_xlnm._FilterDatabase" localSheetId="1" hidden="1">'3G_REGIONS'!$A$1:$S$1212</definedName>
    <definedName name="_xlnm._FilterDatabase" localSheetId="9" hidden="1">'L2 VLAN'!$A$1:$E$1</definedName>
    <definedName name="_xlnm._FilterDatabase" localSheetId="2" hidden="1">'TNS+'!$A$1:$L$76</definedName>
    <definedName name="_xlnm._FilterDatabase" localSheetId="0" hidden="1">VPN!$A$1:$J$534</definedName>
    <definedName name="_xlnm._FilterDatabase" localSheetId="6" hidden="1">Лист2!$A$1:$C$1</definedName>
    <definedName name="_xlnm._FilterDatabase" localSheetId="7" hidden="1">Лист3!$A$1:$C$1</definedName>
    <definedName name="_xlnm._FilterDatabase" localSheetId="10" hidden="1">'Описание сервисов'!$A$1:$B$1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Q416" i="1" l="1"/>
  <c r="Q402" i="1"/>
  <c r="Q338" i="1"/>
  <c r="Q322" i="1"/>
  <c r="Q266" i="1"/>
  <c r="Q252" i="1"/>
  <c r="Q1208" i="2" l="1"/>
  <c r="Q1204" i="2"/>
  <c r="Q1201" i="2"/>
  <c r="Q1197" i="2"/>
  <c r="Q1193" i="2"/>
  <c r="Q1185" i="2"/>
  <c r="Q1181" i="2"/>
  <c r="Q1177" i="2"/>
  <c r="Q1173" i="2"/>
  <c r="Q1169" i="2"/>
  <c r="Q1165" i="2"/>
  <c r="Q1161" i="2"/>
  <c r="Q1156" i="2"/>
  <c r="Q1154" i="2"/>
  <c r="Q1149" i="2"/>
  <c r="Q1146" i="2"/>
  <c r="Q1142" i="2"/>
  <c r="Q1139" i="2"/>
  <c r="Q1135" i="2"/>
  <c r="Q1131" i="2"/>
  <c r="Q1129" i="2"/>
  <c r="Q1125" i="2"/>
  <c r="Q1124" i="2"/>
  <c r="Q1119" i="2"/>
  <c r="Q1115" i="2"/>
  <c r="Q1111" i="2"/>
  <c r="Q1108" i="2"/>
  <c r="Q1107" i="2"/>
  <c r="Q1104" i="2"/>
  <c r="Q1101" i="2"/>
  <c r="Q1098" i="2"/>
  <c r="Q1093" i="2"/>
  <c r="Q1091" i="2"/>
  <c r="Q1086" i="2"/>
  <c r="Q1083" i="2"/>
  <c r="Q1079" i="2"/>
  <c r="Q1077" i="2"/>
  <c r="Q1073" i="2"/>
  <c r="Q1068" i="2"/>
  <c r="Q1064" i="2"/>
  <c r="Q1059" i="2"/>
  <c r="Q1057" i="2"/>
  <c r="Q1054" i="2"/>
  <c r="Q1050" i="2"/>
  <c r="Q1045" i="2"/>
  <c r="Q1042" i="2"/>
  <c r="Q1038" i="2"/>
  <c r="Q1035" i="2"/>
  <c r="Q1033" i="2"/>
  <c r="Q1028" i="2"/>
  <c r="Q1024" i="2"/>
  <c r="Q1022" i="2"/>
  <c r="Q1019" i="2"/>
  <c r="Q1016" i="2"/>
  <c r="Q1012" i="2"/>
  <c r="Q1010" i="2"/>
  <c r="Q1004" i="2"/>
  <c r="Q1003" i="2"/>
  <c r="Q1000" i="2"/>
  <c r="Q999" i="2"/>
  <c r="Q994" i="2"/>
  <c r="Q990" i="2"/>
  <c r="Q987" i="2"/>
  <c r="Q984" i="2"/>
  <c r="Q981" i="2"/>
  <c r="Q972" i="2"/>
  <c r="Q971" i="2"/>
  <c r="Q967" i="2"/>
  <c r="Q962" i="2"/>
  <c r="Q959" i="2"/>
  <c r="Q954" i="2"/>
  <c r="Q951" i="2"/>
  <c r="Q946" i="2"/>
  <c r="Q941" i="2"/>
  <c r="Q934" i="2"/>
  <c r="Q932" i="2"/>
  <c r="Q930" i="2"/>
  <c r="Q926" i="2"/>
  <c r="Q925" i="2"/>
  <c r="Q921" i="2"/>
  <c r="Q920" i="2"/>
  <c r="Q917" i="2"/>
  <c r="Q912" i="2"/>
  <c r="Q907" i="2"/>
  <c r="Q902" i="2"/>
  <c r="Q900" i="2"/>
  <c r="Q896" i="2"/>
  <c r="Q893" i="2"/>
  <c r="Q890" i="2"/>
  <c r="Q887" i="2"/>
  <c r="Q886" i="2"/>
  <c r="Q885" i="2"/>
  <c r="Q880" i="2"/>
  <c r="Q878" i="2"/>
  <c r="Q875" i="2"/>
  <c r="Q870" i="2"/>
  <c r="Q868" i="2"/>
  <c r="Q864" i="2"/>
  <c r="Q862" i="2"/>
  <c r="Q859" i="2"/>
  <c r="Q856" i="2"/>
  <c r="Q853" i="2"/>
  <c r="Q850" i="2"/>
  <c r="Q846" i="2"/>
  <c r="Q843" i="2"/>
  <c r="Q840" i="2"/>
  <c r="Q836" i="2"/>
  <c r="Q831" i="2"/>
  <c r="Q826" i="2"/>
  <c r="Q822" i="2"/>
  <c r="Q819" i="2"/>
  <c r="Q816" i="2"/>
  <c r="Q813" i="2"/>
  <c r="Q809" i="2"/>
  <c r="Q804" i="2"/>
  <c r="Q802" i="2"/>
  <c r="Q798" i="2"/>
  <c r="Q795" i="2"/>
  <c r="Q792" i="2"/>
  <c r="Q788" i="2"/>
  <c r="Q784" i="2"/>
  <c r="Q779" i="2"/>
  <c r="Q776" i="2"/>
  <c r="Q772" i="2"/>
  <c r="Q767" i="2"/>
  <c r="Q762" i="2"/>
  <c r="Q760" i="2"/>
  <c r="Q756" i="2"/>
  <c r="Q754" i="2"/>
  <c r="Q749" i="2"/>
  <c r="Q744" i="2"/>
  <c r="Q739" i="2"/>
  <c r="Q735" i="2"/>
  <c r="Q733" i="2"/>
  <c r="Q728" i="2"/>
  <c r="Q726" i="2"/>
  <c r="Q725" i="2"/>
  <c r="Q723" i="2"/>
  <c r="Q719" i="2"/>
  <c r="Q717" i="2"/>
  <c r="Q713" i="2"/>
  <c r="Q707" i="2"/>
  <c r="Q704" i="2"/>
  <c r="Q700" i="2"/>
  <c r="Q694" i="2"/>
  <c r="Q692" i="2"/>
  <c r="Q690" i="2"/>
  <c r="Q686" i="2"/>
  <c r="Q683" i="2"/>
  <c r="Q677" i="2"/>
  <c r="Q673" i="2"/>
  <c r="Q670" i="2"/>
  <c r="Q668" i="2"/>
  <c r="Q660" i="2"/>
  <c r="Q657" i="2"/>
  <c r="Q652" i="2"/>
  <c r="Q647" i="2"/>
  <c r="Q644" i="2"/>
  <c r="Q639" i="2"/>
  <c r="Q636" i="2"/>
  <c r="Q634" i="2"/>
  <c r="Q630" i="2"/>
  <c r="Q626" i="2"/>
  <c r="Q625" i="2"/>
  <c r="Q621" i="2"/>
  <c r="Q617" i="2"/>
  <c r="Q613" i="2"/>
  <c r="Q609" i="2"/>
  <c r="Q605" i="2"/>
  <c r="Q600" i="2"/>
  <c r="Q596" i="2"/>
  <c r="Q593" i="2"/>
  <c r="Q591" i="2"/>
  <c r="Q582" i="2"/>
  <c r="Q576" i="2"/>
  <c r="Q573" i="2"/>
  <c r="Q560" i="2"/>
  <c r="Q557" i="2"/>
  <c r="Q556" i="2"/>
  <c r="Q554" i="2"/>
  <c r="Q551" i="2"/>
  <c r="Q547" i="2"/>
  <c r="Q544" i="2"/>
  <c r="Q541" i="2"/>
  <c r="Q537" i="2"/>
  <c r="Q536" i="2"/>
  <c r="Q534" i="2"/>
  <c r="Q531" i="2"/>
  <c r="Q528" i="2"/>
  <c r="Q524" i="2"/>
  <c r="Q523" i="2"/>
  <c r="Q518" i="2"/>
  <c r="Q515" i="2"/>
  <c r="Q512" i="2"/>
  <c r="Q508" i="2"/>
  <c r="Q504" i="2"/>
  <c r="Q502" i="2"/>
  <c r="Q501" i="2"/>
  <c r="Q497" i="2"/>
  <c r="Q492" i="2"/>
  <c r="Q489" i="2"/>
  <c r="Q486" i="2"/>
  <c r="Q482" i="2"/>
  <c r="Q478" i="2"/>
  <c r="Q475" i="2"/>
  <c r="Q470" i="2"/>
  <c r="Q465" i="2"/>
  <c r="Q461" i="2"/>
  <c r="Q458" i="2"/>
  <c r="Q456" i="2"/>
  <c r="Q448" i="2"/>
  <c r="Q447" i="2"/>
  <c r="Q446" i="2"/>
  <c r="Q443" i="2"/>
  <c r="Q438" i="2"/>
  <c r="Q434" i="2"/>
  <c r="Q430" i="2"/>
  <c r="Q425" i="2"/>
  <c r="Q424" i="2"/>
  <c r="Q423" i="2"/>
  <c r="Q420" i="2"/>
  <c r="Q418" i="2"/>
  <c r="Q413" i="2"/>
  <c r="Q409" i="2"/>
  <c r="Q407" i="2"/>
  <c r="Q404" i="2"/>
  <c r="Q401" i="2"/>
  <c r="Q397" i="2"/>
  <c r="Q392" i="2"/>
  <c r="Q391" i="2"/>
  <c r="Q389" i="2"/>
  <c r="Q380" i="2"/>
  <c r="Q376" i="2"/>
  <c r="Q372" i="2"/>
  <c r="Q370" i="2"/>
  <c r="Q365" i="2"/>
  <c r="Q364" i="2"/>
  <c r="Q362" i="2"/>
  <c r="Q356" i="2"/>
  <c r="Q355" i="2"/>
  <c r="Q385" i="2"/>
  <c r="Q353" i="2"/>
  <c r="Q347" i="2"/>
  <c r="Q344" i="2"/>
  <c r="Q331" i="2"/>
  <c r="Q327" i="2"/>
  <c r="Q326" i="2"/>
  <c r="Q321" i="2"/>
  <c r="Q317" i="2"/>
  <c r="Q313" i="2"/>
  <c r="Q310" i="2"/>
  <c r="Q307" i="2"/>
  <c r="Q302" i="2"/>
  <c r="Q299" i="2"/>
  <c r="Q295" i="2"/>
  <c r="Q290" i="2"/>
  <c r="Q288" i="2"/>
  <c r="Q286" i="2"/>
  <c r="Q283" i="2"/>
  <c r="Q278" i="2"/>
  <c r="Q275" i="2"/>
  <c r="Q270" i="2"/>
  <c r="Q266" i="2"/>
  <c r="Q263" i="2"/>
  <c r="Q259" i="2"/>
  <c r="Q258" i="2"/>
  <c r="Q253" i="2"/>
  <c r="Q251" i="2"/>
  <c r="Q247" i="2"/>
  <c r="Q245" i="2"/>
  <c r="Q241" i="2"/>
  <c r="Q233" i="2"/>
  <c r="Q232" i="2"/>
  <c r="Q230" i="2"/>
  <c r="Q228" i="2"/>
  <c r="Q224" i="2"/>
  <c r="Q219" i="2"/>
  <c r="Q215" i="2"/>
  <c r="Q206" i="2"/>
  <c r="Q201" i="2"/>
  <c r="Q199" i="2"/>
  <c r="Q197" i="2"/>
  <c r="Q193" i="2"/>
  <c r="Q191" i="2"/>
  <c r="Q183" i="2"/>
  <c r="Q178" i="2"/>
  <c r="Q174" i="2"/>
  <c r="Q170" i="2"/>
  <c r="Q164" i="2"/>
  <c r="Q162" i="2"/>
  <c r="Q158" i="2"/>
  <c r="Q156" i="2"/>
  <c r="Q152" i="2"/>
  <c r="Q148" i="2"/>
  <c r="Q144" i="2"/>
  <c r="Q142" i="2"/>
  <c r="Q140" i="2"/>
  <c r="Q139" i="2"/>
  <c r="Q134" i="2"/>
  <c r="Q131" i="2"/>
  <c r="Q128" i="2"/>
  <c r="Q125" i="2"/>
  <c r="Q120" i="2"/>
  <c r="Q116" i="2"/>
  <c r="Q111" i="2"/>
  <c r="Q107" i="2"/>
  <c r="Q105" i="2"/>
  <c r="Q101" i="2"/>
  <c r="Q98" i="2"/>
  <c r="Q94" i="2"/>
  <c r="Q84" i="2"/>
  <c r="Q80" i="2"/>
  <c r="Q77" i="2"/>
  <c r="Q72" i="2"/>
  <c r="Q65" i="2"/>
  <c r="Q64" i="2"/>
  <c r="Q63" i="2"/>
  <c r="Q61" i="2"/>
  <c r="Q59" i="2"/>
  <c r="Q57" i="2"/>
  <c r="Q52" i="2"/>
  <c r="Q49" i="2"/>
  <c r="Q47" i="2"/>
  <c r="Q43" i="2"/>
  <c r="Q38" i="2"/>
  <c r="Q32" i="2"/>
  <c r="Q27" i="2"/>
  <c r="Q23" i="2"/>
  <c r="Q20" i="2"/>
  <c r="Q16" i="2"/>
  <c r="Q11" i="2"/>
  <c r="Q7" i="2"/>
  <c r="Q534" i="1" l="1"/>
  <c r="Q527" i="1"/>
  <c r="Q521" i="1"/>
  <c r="Q515" i="1"/>
  <c r="Q504" i="1"/>
  <c r="Q493" i="1"/>
  <c r="Q485" i="1"/>
  <c r="Q475" i="1"/>
  <c r="Q468" i="1"/>
  <c r="Q461" i="1"/>
  <c r="Q460" i="1"/>
  <c r="Q449" i="1"/>
  <c r="Q437" i="1"/>
  <c r="Q428" i="1"/>
  <c r="Q418" i="1"/>
  <c r="Q417" i="1"/>
  <c r="Q404" i="1"/>
  <c r="Q403" i="1"/>
  <c r="Q389" i="1"/>
  <c r="Q382" i="1"/>
  <c r="Q373" i="1"/>
  <c r="Q364" i="1"/>
  <c r="Q352" i="1"/>
  <c r="Q340" i="1"/>
  <c r="Q339" i="1"/>
  <c r="Q324" i="1"/>
  <c r="Q323" i="1"/>
  <c r="Q307" i="1"/>
  <c r="Q297" i="1"/>
  <c r="Q287" i="1"/>
  <c r="Q278" i="1"/>
  <c r="Q268" i="1"/>
  <c r="Q267" i="1"/>
  <c r="Q254" i="1"/>
  <c r="Q253" i="1"/>
  <c r="Q240" i="1"/>
  <c r="Q230" i="1"/>
  <c r="Q220" i="1"/>
  <c r="Q210" i="1"/>
  <c r="Q199" i="1"/>
  <c r="Q190" i="1"/>
  <c r="Q176" i="1"/>
  <c r="Q161" i="1"/>
  <c r="Q155" i="1"/>
  <c r="Q138" i="1"/>
  <c r="Q132" i="1"/>
  <c r="Q113" i="1"/>
  <c r="Q107" i="1"/>
  <c r="Q99" i="1"/>
  <c r="Q76" i="1"/>
  <c r="Q70" i="1"/>
  <c r="Q42" i="1"/>
  <c r="Q32" i="1"/>
  <c r="Q22" i="1"/>
  <c r="Q12" i="1"/>
  <c r="Q2" i="1"/>
  <c r="H1211" i="2" l="1"/>
  <c r="H535" i="1"/>
  <c r="S1" i="1" l="1"/>
  <c r="A132" i="8" l="1"/>
  <c r="B132" i="8"/>
  <c r="C132" i="8"/>
  <c r="A133" i="8"/>
  <c r="B133" i="8"/>
  <c r="C133" i="8"/>
  <c r="A134" i="8"/>
  <c r="B134" i="8"/>
  <c r="C134" i="8"/>
  <c r="A64" i="8"/>
  <c r="B64" i="8"/>
  <c r="A135" i="8"/>
  <c r="B135" i="8"/>
  <c r="C135" i="8"/>
  <c r="A95" i="8"/>
  <c r="B95" i="8"/>
  <c r="A10" i="8"/>
  <c r="B10" i="8"/>
  <c r="A136" i="8"/>
  <c r="B136" i="8"/>
  <c r="C136" i="8"/>
  <c r="A137" i="8"/>
  <c r="B137" i="8"/>
  <c r="C137" i="8"/>
  <c r="A103" i="8"/>
  <c r="B103" i="8"/>
  <c r="A138" i="8"/>
  <c r="B138" i="8"/>
  <c r="C138" i="8"/>
  <c r="A106" i="8"/>
  <c r="B106" i="8"/>
  <c r="A139" i="8"/>
  <c r="B139" i="8"/>
  <c r="C139" i="8"/>
  <c r="A140" i="8"/>
  <c r="B140" i="8"/>
  <c r="C140" i="8"/>
  <c r="A101" i="8"/>
  <c r="B101" i="8"/>
  <c r="A141" i="8"/>
  <c r="B141" i="8"/>
  <c r="C141" i="8"/>
  <c r="A57" i="8"/>
  <c r="B57" i="8"/>
  <c r="A142" i="8"/>
  <c r="B142" i="8"/>
  <c r="C142" i="8"/>
  <c r="A143" i="8"/>
  <c r="B143" i="8"/>
  <c r="C143" i="8"/>
  <c r="A144" i="8"/>
  <c r="B144" i="8"/>
  <c r="C144" i="8"/>
  <c r="A145" i="8"/>
  <c r="B145" i="8"/>
  <c r="C145" i="8"/>
  <c r="A117" i="8"/>
  <c r="B117" i="8"/>
  <c r="A146" i="8"/>
  <c r="B146" i="8"/>
  <c r="C146" i="8"/>
  <c r="A120" i="8"/>
  <c r="B120" i="8"/>
  <c r="A68" i="8"/>
  <c r="B68" i="8"/>
  <c r="A147" i="8"/>
  <c r="B147" i="8"/>
  <c r="C147" i="8"/>
  <c r="A148" i="8"/>
  <c r="B148" i="8"/>
  <c r="C148" i="8"/>
  <c r="A78" i="8"/>
  <c r="B78" i="8"/>
  <c r="A149" i="8"/>
  <c r="B149" i="8"/>
  <c r="C149" i="8"/>
  <c r="A24" i="8"/>
  <c r="B24" i="8"/>
  <c r="A150" i="8"/>
  <c r="B150" i="8"/>
  <c r="C150" i="8"/>
  <c r="A151" i="8"/>
  <c r="B151" i="8"/>
  <c r="C151" i="8"/>
  <c r="A121" i="8"/>
  <c r="B121" i="8"/>
  <c r="A152" i="8"/>
  <c r="B152" i="8"/>
  <c r="C152" i="8"/>
  <c r="A153" i="8"/>
  <c r="B153" i="8"/>
  <c r="C153" i="8"/>
  <c r="A37" i="8"/>
  <c r="B37" i="8"/>
  <c r="A154" i="8"/>
  <c r="B154" i="8"/>
  <c r="C154" i="8"/>
  <c r="A155" i="8"/>
  <c r="B155" i="8"/>
  <c r="C155" i="8"/>
  <c r="A60" i="8"/>
  <c r="B60" i="8"/>
  <c r="A156" i="8"/>
  <c r="B156" i="8"/>
  <c r="C156" i="8"/>
  <c r="A157" i="8"/>
  <c r="B157" i="8"/>
  <c r="C157" i="8"/>
  <c r="A85" i="8"/>
  <c r="B85" i="8"/>
  <c r="A158" i="8"/>
  <c r="B158" i="8"/>
  <c r="C158" i="8"/>
  <c r="A113" i="8"/>
  <c r="B113" i="8"/>
  <c r="A159" i="8"/>
  <c r="B159" i="8"/>
  <c r="C159" i="8"/>
  <c r="A13" i="8"/>
  <c r="B13" i="8"/>
  <c r="A160" i="8"/>
  <c r="B160" i="8"/>
  <c r="C160" i="8"/>
  <c r="A161" i="8"/>
  <c r="B161" i="8"/>
  <c r="C161" i="8"/>
  <c r="A35" i="8"/>
  <c r="B35" i="8"/>
  <c r="A162" i="8"/>
  <c r="B162" i="8"/>
  <c r="C162" i="8"/>
  <c r="A102" i="8"/>
  <c r="B102" i="8"/>
  <c r="A163" i="8"/>
  <c r="B163" i="8"/>
  <c r="C163" i="8"/>
  <c r="A11" i="8"/>
  <c r="B11" i="8"/>
  <c r="A164" i="8"/>
  <c r="B164" i="8"/>
  <c r="C164" i="8"/>
  <c r="A165" i="8"/>
  <c r="B165" i="8"/>
  <c r="C165" i="8"/>
  <c r="A166" i="8"/>
  <c r="B166" i="8"/>
  <c r="C166" i="8"/>
  <c r="A124" i="8"/>
  <c r="B124" i="8"/>
  <c r="A167" i="8"/>
  <c r="B167" i="8"/>
  <c r="C167" i="8"/>
  <c r="A45" i="8"/>
  <c r="B45" i="8"/>
  <c r="A168" i="8"/>
  <c r="B168" i="8"/>
  <c r="C168" i="8"/>
  <c r="A52" i="8"/>
  <c r="B52" i="8"/>
  <c r="A169" i="8"/>
  <c r="B169" i="8"/>
  <c r="C169" i="8"/>
  <c r="A170" i="8"/>
  <c r="B170" i="8"/>
  <c r="C170" i="8"/>
  <c r="A55" i="8"/>
  <c r="B55" i="8"/>
  <c r="A171" i="8"/>
  <c r="B171" i="8"/>
  <c r="C171" i="8"/>
  <c r="A108" i="8"/>
  <c r="B108" i="8"/>
  <c r="A172" i="8"/>
  <c r="B172" i="8"/>
  <c r="C172" i="8"/>
  <c r="A123" i="8"/>
  <c r="B123" i="8"/>
  <c r="A173" i="8"/>
  <c r="B173" i="8"/>
  <c r="C173" i="8"/>
  <c r="A83" i="8"/>
  <c r="B83" i="8"/>
  <c r="A174" i="8"/>
  <c r="B174" i="8"/>
  <c r="C174" i="8"/>
  <c r="A27" i="8"/>
  <c r="B27" i="8"/>
  <c r="A175" i="8"/>
  <c r="B175" i="8"/>
  <c r="C175" i="8"/>
  <c r="A176" i="8"/>
  <c r="B176" i="8"/>
  <c r="C176" i="8"/>
  <c r="A177" i="8"/>
  <c r="B177" i="8"/>
  <c r="C177" i="8"/>
  <c r="A67" i="8"/>
  <c r="B67" i="8"/>
  <c r="A178" i="8"/>
  <c r="B178" i="8"/>
  <c r="C178" i="8"/>
  <c r="A179" i="8"/>
  <c r="B179" i="8"/>
  <c r="C179" i="8"/>
  <c r="A107" i="8"/>
  <c r="B107" i="8"/>
  <c r="A180" i="8"/>
  <c r="B180" i="8"/>
  <c r="C180" i="8"/>
  <c r="A116" i="8"/>
  <c r="B116" i="8"/>
  <c r="A181" i="8"/>
  <c r="B181" i="8"/>
  <c r="C181" i="8"/>
  <c r="A79" i="8"/>
  <c r="B79" i="8"/>
  <c r="A182" i="8"/>
  <c r="B182" i="8"/>
  <c r="C182" i="8"/>
  <c r="A72" i="8"/>
  <c r="B72" i="8"/>
  <c r="A183" i="8"/>
  <c r="B183" i="8"/>
  <c r="C183" i="8"/>
  <c r="A184" i="8"/>
  <c r="B184" i="8"/>
  <c r="C184" i="8"/>
  <c r="A46" i="8"/>
  <c r="B46" i="8"/>
  <c r="A185" i="8"/>
  <c r="B185" i="8"/>
  <c r="C185" i="8"/>
  <c r="A186" i="8"/>
  <c r="B186" i="8"/>
  <c r="C186" i="8"/>
  <c r="A187" i="8"/>
  <c r="B187" i="8"/>
  <c r="C187" i="8"/>
  <c r="A21" i="8"/>
  <c r="B21" i="8"/>
  <c r="A188" i="8"/>
  <c r="B188" i="8"/>
  <c r="C188" i="8"/>
  <c r="A189" i="8"/>
  <c r="B189" i="8"/>
  <c r="C189" i="8"/>
  <c r="A65" i="8"/>
  <c r="B65" i="8"/>
  <c r="A190" i="8"/>
  <c r="B190" i="8"/>
  <c r="C190" i="8"/>
  <c r="A191" i="8"/>
  <c r="B191" i="8"/>
  <c r="C191" i="8"/>
  <c r="A192" i="8"/>
  <c r="B192" i="8"/>
  <c r="C192" i="8"/>
  <c r="A48" i="8"/>
  <c r="B48" i="8"/>
  <c r="A193" i="8"/>
  <c r="B193" i="8"/>
  <c r="C193" i="8"/>
  <c r="A194" i="8"/>
  <c r="B194" i="8"/>
  <c r="C194" i="8"/>
  <c r="A195" i="8"/>
  <c r="B195" i="8"/>
  <c r="C195" i="8"/>
  <c r="A118" i="8"/>
  <c r="B118" i="8"/>
  <c r="A196" i="8"/>
  <c r="B196" i="8"/>
  <c r="C196" i="8"/>
  <c r="A63" i="8"/>
  <c r="B63" i="8"/>
  <c r="A197" i="8"/>
  <c r="B197" i="8"/>
  <c r="C197" i="8"/>
  <c r="A198" i="8"/>
  <c r="B198" i="8"/>
  <c r="C198" i="8"/>
  <c r="A33" i="8"/>
  <c r="B33" i="8"/>
  <c r="A199" i="8"/>
  <c r="B199" i="8"/>
  <c r="C199" i="8"/>
  <c r="A98" i="8"/>
  <c r="B98" i="8"/>
  <c r="A200" i="8"/>
  <c r="B200" i="8"/>
  <c r="C200" i="8"/>
  <c r="A128" i="8"/>
  <c r="B128" i="8"/>
  <c r="A201" i="8"/>
  <c r="B201" i="8"/>
  <c r="C201" i="8"/>
  <c r="A99" i="8"/>
  <c r="B99" i="8"/>
  <c r="A202" i="8"/>
  <c r="B202" i="8"/>
  <c r="C202" i="8"/>
  <c r="A38" i="8"/>
  <c r="B38" i="8"/>
  <c r="A203" i="8"/>
  <c r="B203" i="8"/>
  <c r="C203" i="8"/>
  <c r="A204" i="8"/>
  <c r="B204" i="8"/>
  <c r="C204" i="8"/>
  <c r="A205" i="8"/>
  <c r="B205" i="8"/>
  <c r="C205" i="8"/>
  <c r="A19" i="8"/>
  <c r="B19" i="8"/>
  <c r="A206" i="8"/>
  <c r="B206" i="8"/>
  <c r="C206" i="8"/>
  <c r="A207" i="8"/>
  <c r="B207" i="8"/>
  <c r="C207" i="8"/>
  <c r="A208" i="8"/>
  <c r="B208" i="8"/>
  <c r="C208" i="8"/>
  <c r="A122" i="8"/>
  <c r="B122" i="8"/>
  <c r="A209" i="8"/>
  <c r="B209" i="8"/>
  <c r="C209" i="8"/>
  <c r="A126" i="8"/>
  <c r="B126" i="8"/>
  <c r="A210" i="8"/>
  <c r="B210" i="8"/>
  <c r="C210" i="8"/>
  <c r="A105" i="8"/>
  <c r="B105" i="8"/>
  <c r="A211" i="8"/>
  <c r="B211" i="8"/>
  <c r="C211" i="8"/>
  <c r="A212" i="8"/>
  <c r="B212" i="8"/>
  <c r="C212" i="8"/>
  <c r="A81" i="8"/>
  <c r="B81" i="8"/>
  <c r="A213" i="8"/>
  <c r="B213" i="8"/>
  <c r="C213" i="8"/>
  <c r="A32" i="8"/>
  <c r="B32" i="8"/>
  <c r="A214" i="8"/>
  <c r="B214" i="8"/>
  <c r="C214" i="8"/>
  <c r="A215" i="8"/>
  <c r="B215" i="8"/>
  <c r="C215" i="8"/>
  <c r="A216" i="8"/>
  <c r="B216" i="8"/>
  <c r="C216" i="8"/>
  <c r="A114" i="8"/>
  <c r="B114" i="8"/>
  <c r="A217" i="8"/>
  <c r="B217" i="8"/>
  <c r="C217" i="8"/>
  <c r="A28" i="8"/>
  <c r="B28" i="8"/>
  <c r="A218" i="8"/>
  <c r="B218" i="8"/>
  <c r="C218" i="8"/>
  <c r="A51" i="8"/>
  <c r="B51" i="8"/>
  <c r="A219" i="8"/>
  <c r="B219" i="8"/>
  <c r="C219" i="8"/>
  <c r="A111" i="8"/>
  <c r="B111" i="8"/>
  <c r="A220" i="8"/>
  <c r="B220" i="8"/>
  <c r="C220" i="8"/>
  <c r="A49" i="8"/>
  <c r="B49" i="8"/>
  <c r="A221" i="8"/>
  <c r="B221" i="8"/>
  <c r="C221" i="8"/>
  <c r="A130" i="8"/>
  <c r="B130" i="8"/>
  <c r="A119" i="8"/>
  <c r="B119" i="8"/>
  <c r="A222" i="8"/>
  <c r="B222" i="8"/>
  <c r="C222" i="8"/>
  <c r="A5" i="8"/>
  <c r="B5" i="8"/>
  <c r="A223" i="8"/>
  <c r="B223" i="8"/>
  <c r="C223" i="8"/>
  <c r="A224" i="8"/>
  <c r="B224" i="8"/>
  <c r="C224" i="8"/>
  <c r="A6" i="8"/>
  <c r="B6" i="8"/>
  <c r="A225" i="8"/>
  <c r="B225" i="8"/>
  <c r="C225" i="8"/>
  <c r="A226" i="8"/>
  <c r="B226" i="8"/>
  <c r="C226" i="8"/>
  <c r="A115" i="8"/>
  <c r="B115" i="8"/>
  <c r="A227" i="8"/>
  <c r="B227" i="8"/>
  <c r="C227" i="8"/>
  <c r="A39" i="8"/>
  <c r="B39" i="8"/>
  <c r="A228" i="8"/>
  <c r="B228" i="8"/>
  <c r="C228" i="8"/>
  <c r="A53" i="8"/>
  <c r="B53" i="8"/>
  <c r="A229" i="8"/>
  <c r="B229" i="8"/>
  <c r="C229" i="8"/>
  <c r="A230" i="8"/>
  <c r="B230" i="8"/>
  <c r="C230" i="8"/>
  <c r="A231" i="8"/>
  <c r="B231" i="8"/>
  <c r="C231" i="8"/>
  <c r="A76" i="8"/>
  <c r="B76" i="8"/>
  <c r="A232" i="8"/>
  <c r="B232" i="8"/>
  <c r="C232" i="8"/>
  <c r="A109" i="8"/>
  <c r="B109" i="8"/>
  <c r="A233" i="8"/>
  <c r="B233" i="8"/>
  <c r="C233" i="8"/>
  <c r="A88" i="8"/>
  <c r="B88" i="8"/>
  <c r="A234" i="8"/>
  <c r="B234" i="8"/>
  <c r="C234" i="8"/>
  <c r="A235" i="8"/>
  <c r="B235" i="8"/>
  <c r="C235" i="8"/>
  <c r="A22" i="8"/>
  <c r="B22" i="8"/>
  <c r="A236" i="8"/>
  <c r="B236" i="8"/>
  <c r="C236" i="8"/>
  <c r="A237" i="8"/>
  <c r="B237" i="8"/>
  <c r="C237" i="8"/>
  <c r="A91" i="8"/>
  <c r="B91" i="8"/>
  <c r="A238" i="8"/>
  <c r="B238" i="8"/>
  <c r="C238" i="8"/>
  <c r="A56" i="8"/>
  <c r="B56" i="8"/>
  <c r="A239" i="8"/>
  <c r="B239" i="8"/>
  <c r="C239" i="8"/>
  <c r="A7" i="8"/>
  <c r="B7" i="8"/>
  <c r="A240" i="8"/>
  <c r="B240" i="8"/>
  <c r="C240" i="8"/>
  <c r="A241" i="8"/>
  <c r="B241" i="8"/>
  <c r="C241" i="8"/>
  <c r="A242" i="8"/>
  <c r="B242" i="8"/>
  <c r="C242" i="8"/>
  <c r="A17" i="8"/>
  <c r="B17" i="8"/>
  <c r="A243" i="8"/>
  <c r="B243" i="8"/>
  <c r="C243" i="8"/>
  <c r="A244" i="8"/>
  <c r="B244" i="8"/>
  <c r="C244" i="8"/>
  <c r="A12" i="8"/>
  <c r="B12" i="8"/>
  <c r="A245" i="8"/>
  <c r="B245" i="8"/>
  <c r="C245" i="8"/>
  <c r="A131" i="8"/>
  <c r="B131" i="8"/>
  <c r="A82" i="8"/>
  <c r="B82" i="8"/>
  <c r="A246" i="8"/>
  <c r="B246" i="8"/>
  <c r="C246" i="8"/>
  <c r="A247" i="8"/>
  <c r="B247" i="8"/>
  <c r="C247" i="8"/>
  <c r="A127" i="8"/>
  <c r="B127" i="8"/>
  <c r="A248" i="8"/>
  <c r="B248" i="8"/>
  <c r="C248" i="8"/>
  <c r="A3" i="8"/>
  <c r="B3" i="8"/>
  <c r="A249" i="8"/>
  <c r="B249" i="8"/>
  <c r="C249" i="8"/>
  <c r="A250" i="8"/>
  <c r="B250" i="8"/>
  <c r="C250" i="8"/>
  <c r="A93" i="8"/>
  <c r="B93" i="8"/>
  <c r="A251" i="8"/>
  <c r="B251" i="8"/>
  <c r="C251" i="8"/>
  <c r="A80" i="8"/>
  <c r="B80" i="8"/>
  <c r="A252" i="8"/>
  <c r="B252" i="8"/>
  <c r="C252" i="8"/>
  <c r="A96" i="8"/>
  <c r="B96" i="8"/>
  <c r="A253" i="8"/>
  <c r="B253" i="8"/>
  <c r="C253" i="8"/>
  <c r="A66" i="8"/>
  <c r="B66" i="8"/>
  <c r="A254" i="8"/>
  <c r="B254" i="8"/>
  <c r="C254" i="8"/>
  <c r="A255" i="8"/>
  <c r="B255" i="8"/>
  <c r="C255" i="8"/>
  <c r="A62" i="8"/>
  <c r="B62" i="8"/>
  <c r="A256" i="8"/>
  <c r="B256" i="8"/>
  <c r="C256" i="8"/>
  <c r="A257" i="8"/>
  <c r="B257" i="8"/>
  <c r="C257" i="8"/>
  <c r="A97" i="8"/>
  <c r="B97" i="8"/>
  <c r="A258" i="8"/>
  <c r="B258" i="8"/>
  <c r="C258" i="8"/>
  <c r="A86" i="8"/>
  <c r="B86" i="8"/>
  <c r="A259" i="8"/>
  <c r="B259" i="8"/>
  <c r="C259" i="8"/>
  <c r="A90" i="8"/>
  <c r="B90" i="8"/>
  <c r="A260" i="8"/>
  <c r="B260" i="8"/>
  <c r="C260" i="8"/>
  <c r="A261" i="8"/>
  <c r="B261" i="8"/>
  <c r="C261" i="8"/>
  <c r="A40" i="8"/>
  <c r="B40" i="8"/>
  <c r="A262" i="8"/>
  <c r="B262" i="8"/>
  <c r="C262" i="8"/>
  <c r="A47" i="8"/>
  <c r="B47" i="8"/>
  <c r="A263" i="8"/>
  <c r="B263" i="8"/>
  <c r="C263" i="8"/>
  <c r="A264" i="8"/>
  <c r="B264" i="8"/>
  <c r="C264" i="8"/>
  <c r="A34" i="8"/>
  <c r="B34" i="8"/>
  <c r="A265" i="8"/>
  <c r="B265" i="8"/>
  <c r="C265" i="8"/>
  <c r="A266" i="8"/>
  <c r="B266" i="8"/>
  <c r="C266" i="8"/>
  <c r="A267" i="8"/>
  <c r="B267" i="8"/>
  <c r="C267" i="8"/>
  <c r="A20" i="8"/>
  <c r="B20" i="8"/>
  <c r="A268" i="8"/>
  <c r="B268" i="8"/>
  <c r="C268" i="8"/>
  <c r="A74" i="8"/>
  <c r="B74" i="8"/>
  <c r="A269" i="8"/>
  <c r="B269" i="8"/>
  <c r="C269" i="8"/>
  <c r="A270" i="8"/>
  <c r="B270" i="8"/>
  <c r="C270" i="8"/>
  <c r="A58" i="8"/>
  <c r="B58" i="8"/>
  <c r="A271" i="8"/>
  <c r="B271" i="8"/>
  <c r="C271" i="8"/>
  <c r="A272" i="8"/>
  <c r="B272" i="8"/>
  <c r="C272" i="8"/>
  <c r="A273" i="8"/>
  <c r="B273" i="8"/>
  <c r="C273" i="8"/>
  <c r="A29" i="8"/>
  <c r="B29" i="8"/>
  <c r="A274" i="8"/>
  <c r="B274" i="8"/>
  <c r="C274" i="8"/>
  <c r="A275" i="8"/>
  <c r="B275" i="8"/>
  <c r="C275" i="8"/>
  <c r="A8" i="8"/>
  <c r="B8" i="8"/>
  <c r="A276" i="8"/>
  <c r="B276" i="8"/>
  <c r="C276" i="8"/>
  <c r="A277" i="8"/>
  <c r="B277" i="8"/>
  <c r="C277" i="8"/>
  <c r="A71" i="8"/>
  <c r="B71" i="8"/>
  <c r="A278" i="8"/>
  <c r="B278" i="8"/>
  <c r="C278" i="8"/>
  <c r="A279" i="8"/>
  <c r="B279" i="8"/>
  <c r="C279" i="8"/>
  <c r="A280" i="8"/>
  <c r="B280" i="8"/>
  <c r="C280" i="8"/>
  <c r="A75" i="8"/>
  <c r="B75" i="8"/>
  <c r="A281" i="8"/>
  <c r="B281" i="8"/>
  <c r="C281" i="8"/>
  <c r="A282" i="8"/>
  <c r="B282" i="8"/>
  <c r="C282" i="8"/>
  <c r="A283" i="8"/>
  <c r="B283" i="8"/>
  <c r="C283" i="8"/>
  <c r="A23" i="8"/>
  <c r="B23" i="8"/>
  <c r="A70" i="8"/>
  <c r="B70" i="8"/>
  <c r="A284" i="8"/>
  <c r="B284" i="8"/>
  <c r="C284" i="8"/>
  <c r="A44" i="8"/>
  <c r="B44" i="8"/>
  <c r="A285" i="8"/>
  <c r="B285" i="8"/>
  <c r="C285" i="8"/>
  <c r="A286" i="8"/>
  <c r="B286" i="8"/>
  <c r="C286" i="8"/>
  <c r="A287" i="8"/>
  <c r="B287" i="8"/>
  <c r="C287" i="8"/>
  <c r="A89" i="8"/>
  <c r="B89" i="8"/>
  <c r="A288" i="8"/>
  <c r="B288" i="8"/>
  <c r="C288" i="8"/>
  <c r="A18" i="8"/>
  <c r="B18" i="8"/>
  <c r="A289" i="8"/>
  <c r="B289" i="8"/>
  <c r="C289" i="8"/>
  <c r="A290" i="8"/>
  <c r="B290" i="8"/>
  <c r="C290" i="8"/>
  <c r="A25" i="8"/>
  <c r="B25" i="8"/>
  <c r="A291" i="8"/>
  <c r="B291" i="8"/>
  <c r="C291" i="8"/>
  <c r="A292" i="8"/>
  <c r="B292" i="8"/>
  <c r="C292" i="8"/>
  <c r="A92" i="8"/>
  <c r="B92" i="8"/>
  <c r="A293" i="8"/>
  <c r="B293" i="8"/>
  <c r="C293" i="8"/>
  <c r="A104" i="8"/>
  <c r="B104" i="8"/>
  <c r="A294" i="8"/>
  <c r="B294" i="8"/>
  <c r="C294" i="8"/>
  <c r="A295" i="8"/>
  <c r="B295" i="8"/>
  <c r="C295" i="8"/>
  <c r="A30" i="8"/>
  <c r="B30" i="8"/>
  <c r="A296" i="8"/>
  <c r="B296" i="8"/>
  <c r="C296" i="8"/>
  <c r="A297" i="8"/>
  <c r="B297" i="8"/>
  <c r="C297" i="8"/>
  <c r="A61" i="8"/>
  <c r="B61" i="8"/>
  <c r="A298" i="8"/>
  <c r="B298" i="8"/>
  <c r="C298" i="8"/>
  <c r="A299" i="8"/>
  <c r="B299" i="8"/>
  <c r="C299" i="8"/>
  <c r="A15" i="8"/>
  <c r="B15" i="8"/>
  <c r="A300" i="8"/>
  <c r="B300" i="8"/>
  <c r="C300" i="8"/>
  <c r="A112" i="8"/>
  <c r="B112" i="8"/>
  <c r="A301" i="8"/>
  <c r="B301" i="8"/>
  <c r="C301" i="8"/>
  <c r="A302" i="8"/>
  <c r="B302" i="8"/>
  <c r="C302" i="8"/>
  <c r="A110" i="8"/>
  <c r="B110" i="8"/>
  <c r="A303" i="8"/>
  <c r="B303" i="8"/>
  <c r="C303" i="8"/>
  <c r="A36" i="8"/>
  <c r="B36" i="8"/>
  <c r="A129" i="8"/>
  <c r="B129" i="8"/>
  <c r="A304" i="8"/>
  <c r="B304" i="8"/>
  <c r="C304" i="8"/>
  <c r="A50" i="8"/>
  <c r="B50" i="8"/>
  <c r="A305" i="8"/>
  <c r="B305" i="8"/>
  <c r="C305" i="8"/>
  <c r="A306" i="8"/>
  <c r="B306" i="8"/>
  <c r="C306" i="8"/>
  <c r="A307" i="8"/>
  <c r="B307" i="8"/>
  <c r="C307" i="8"/>
  <c r="A41" i="8"/>
  <c r="B41" i="8"/>
  <c r="A308" i="8"/>
  <c r="B308" i="8"/>
  <c r="C308" i="8"/>
  <c r="A309" i="8"/>
  <c r="B309" i="8"/>
  <c r="C309" i="8"/>
  <c r="A84" i="8"/>
  <c r="B84" i="8"/>
  <c r="A310" i="8"/>
  <c r="B310" i="8"/>
  <c r="C310" i="8"/>
  <c r="A42" i="8"/>
  <c r="B42" i="8"/>
  <c r="A311" i="8"/>
  <c r="B311" i="8"/>
  <c r="C311" i="8"/>
  <c r="A312" i="8"/>
  <c r="B312" i="8"/>
  <c r="C312" i="8"/>
  <c r="A313" i="8"/>
  <c r="B313" i="8"/>
  <c r="C313" i="8"/>
  <c r="A16" i="8"/>
  <c r="B16" i="8"/>
  <c r="A314" i="8"/>
  <c r="B314" i="8"/>
  <c r="C314" i="8"/>
  <c r="A315" i="8"/>
  <c r="B315" i="8"/>
  <c r="C315" i="8"/>
  <c r="A100" i="8"/>
  <c r="B100" i="8"/>
  <c r="A316" i="8"/>
  <c r="B316" i="8"/>
  <c r="C316" i="8"/>
  <c r="A94" i="8"/>
  <c r="B94" i="8"/>
  <c r="A317" i="8"/>
  <c r="B317" i="8"/>
  <c r="C317" i="8"/>
  <c r="A26" i="8"/>
  <c r="B26" i="8"/>
  <c r="A318" i="8"/>
  <c r="B318" i="8"/>
  <c r="C318" i="8"/>
  <c r="A59" i="8"/>
  <c r="B59" i="8"/>
  <c r="A319" i="8"/>
  <c r="B319" i="8"/>
  <c r="C319" i="8"/>
  <c r="A320" i="8"/>
  <c r="B320" i="8"/>
  <c r="C320" i="8"/>
  <c r="A321" i="8"/>
  <c r="B321" i="8"/>
  <c r="C321" i="8"/>
  <c r="A14" i="8"/>
  <c r="B14" i="8"/>
  <c r="A322" i="8"/>
  <c r="B322" i="8"/>
  <c r="C322" i="8"/>
  <c r="A323" i="8"/>
  <c r="B323" i="8"/>
  <c r="C323" i="8"/>
  <c r="A324" i="8"/>
  <c r="B324" i="8"/>
  <c r="C324" i="8"/>
  <c r="A4" i="8"/>
  <c r="B4" i="8"/>
  <c r="A325" i="8"/>
  <c r="B325" i="8"/>
  <c r="C325" i="8"/>
  <c r="A9" i="8"/>
  <c r="B9" i="8"/>
  <c r="A326" i="8"/>
  <c r="B326" i="8"/>
  <c r="C326" i="8"/>
  <c r="A327" i="8"/>
  <c r="B327" i="8"/>
  <c r="C327" i="8"/>
  <c r="A43" i="8"/>
  <c r="B43" i="8"/>
  <c r="A125" i="8"/>
  <c r="B125" i="8"/>
  <c r="A328" i="8"/>
  <c r="B328" i="8"/>
  <c r="C328" i="8"/>
  <c r="A329" i="8"/>
  <c r="B329" i="8"/>
  <c r="C329" i="8"/>
  <c r="A54" i="8"/>
  <c r="B54" i="8"/>
  <c r="A330" i="8"/>
  <c r="B330" i="8"/>
  <c r="C330" i="8"/>
  <c r="A331" i="8"/>
  <c r="B331" i="8"/>
  <c r="C331" i="8"/>
  <c r="A332" i="8"/>
  <c r="B332" i="8"/>
  <c r="C332" i="8"/>
  <c r="A2" i="8"/>
  <c r="B2" i="8"/>
  <c r="A333" i="8"/>
  <c r="B333" i="8"/>
  <c r="C333" i="8"/>
  <c r="A69" i="8"/>
  <c r="B69" i="8"/>
  <c r="A334" i="8"/>
  <c r="B334" i="8"/>
  <c r="C334" i="8"/>
  <c r="A335" i="8"/>
  <c r="B335" i="8"/>
  <c r="C335" i="8"/>
  <c r="A73" i="8"/>
  <c r="B73" i="8"/>
  <c r="A336" i="8"/>
  <c r="B336" i="8"/>
  <c r="C336" i="8"/>
  <c r="A87" i="8"/>
  <c r="B87" i="8"/>
  <c r="A337" i="8"/>
  <c r="B337" i="8"/>
  <c r="C337" i="8"/>
  <c r="A77" i="8"/>
  <c r="B77" i="8"/>
  <c r="A338" i="8"/>
  <c r="B338" i="8"/>
  <c r="C338" i="8"/>
  <c r="A339" i="8"/>
  <c r="B339" i="8"/>
  <c r="C339" i="8"/>
  <c r="A340" i="8"/>
  <c r="B340" i="8"/>
  <c r="C340" i="8"/>
  <c r="A341" i="8"/>
  <c r="B341" i="8"/>
  <c r="C341" i="8"/>
  <c r="A342" i="8"/>
  <c r="B342" i="8"/>
  <c r="C342" i="8"/>
  <c r="A343" i="8"/>
  <c r="B343" i="8"/>
  <c r="C343" i="8"/>
  <c r="A344" i="8"/>
  <c r="B344" i="8"/>
  <c r="C344" i="8"/>
  <c r="A345" i="8"/>
  <c r="B345" i="8"/>
  <c r="C345" i="8"/>
  <c r="A346" i="8"/>
  <c r="B346" i="8"/>
  <c r="C346" i="8"/>
  <c r="A347" i="8"/>
  <c r="B347" i="8"/>
  <c r="C347" i="8"/>
  <c r="A348" i="8"/>
  <c r="B348" i="8"/>
  <c r="C348" i="8"/>
  <c r="A349" i="8"/>
  <c r="B349" i="8"/>
  <c r="C349" i="8"/>
  <c r="A350" i="8"/>
  <c r="B350" i="8"/>
  <c r="C350" i="8"/>
  <c r="A351" i="8"/>
  <c r="B351" i="8"/>
  <c r="C351" i="8"/>
  <c r="A352" i="8"/>
  <c r="B352" i="8"/>
  <c r="C352" i="8"/>
  <c r="A353" i="8"/>
  <c r="B353" i="8"/>
  <c r="C353" i="8"/>
  <c r="A354" i="8"/>
  <c r="B354" i="8"/>
  <c r="C354" i="8"/>
  <c r="A355" i="8"/>
  <c r="B355" i="8"/>
  <c r="C355" i="8"/>
  <c r="A356" i="8"/>
  <c r="B356" i="8"/>
  <c r="C356" i="8"/>
  <c r="A357" i="8"/>
  <c r="B357" i="8"/>
  <c r="C357" i="8"/>
  <c r="A358" i="8"/>
  <c r="B358" i="8"/>
  <c r="C358" i="8"/>
  <c r="A359" i="8"/>
  <c r="B359" i="8"/>
  <c r="C359" i="8"/>
  <c r="A360" i="8"/>
  <c r="B360" i="8"/>
  <c r="C360" i="8"/>
  <c r="A361" i="8"/>
  <c r="B361" i="8"/>
  <c r="C361" i="8"/>
  <c r="A362" i="8"/>
  <c r="B362" i="8"/>
  <c r="C362" i="8"/>
  <c r="A363" i="8"/>
  <c r="B363" i="8"/>
  <c r="C363" i="8"/>
  <c r="A364" i="8"/>
  <c r="B364" i="8"/>
  <c r="C364" i="8"/>
  <c r="A365" i="8"/>
  <c r="B365" i="8"/>
  <c r="C365" i="8"/>
  <c r="A366" i="8"/>
  <c r="B366" i="8"/>
  <c r="C366" i="8"/>
  <c r="A367" i="8"/>
  <c r="B367" i="8"/>
  <c r="C367" i="8"/>
  <c r="A368" i="8"/>
  <c r="B368" i="8"/>
  <c r="C368" i="8"/>
  <c r="A369" i="8"/>
  <c r="B369" i="8"/>
  <c r="C369" i="8"/>
  <c r="A370" i="8"/>
  <c r="B370" i="8"/>
  <c r="C370" i="8"/>
  <c r="A371" i="8"/>
  <c r="B371" i="8"/>
  <c r="C371" i="8"/>
  <c r="A372" i="8"/>
  <c r="B372" i="8"/>
  <c r="C372" i="8"/>
  <c r="A373" i="8"/>
  <c r="B373" i="8"/>
  <c r="C373" i="8"/>
  <c r="A374" i="8"/>
  <c r="B374" i="8"/>
  <c r="C374" i="8"/>
  <c r="A375" i="8"/>
  <c r="B375" i="8"/>
  <c r="C375" i="8"/>
  <c r="A376" i="8"/>
  <c r="B376" i="8"/>
  <c r="C376" i="8"/>
  <c r="A377" i="8"/>
  <c r="B377" i="8"/>
  <c r="C377" i="8"/>
  <c r="A378" i="8"/>
  <c r="B378" i="8"/>
  <c r="C378" i="8"/>
  <c r="A379" i="8"/>
  <c r="B379" i="8"/>
  <c r="C379" i="8"/>
  <c r="A380" i="8"/>
  <c r="B380" i="8"/>
  <c r="C380" i="8"/>
  <c r="A381" i="8"/>
  <c r="B381" i="8"/>
  <c r="C381" i="8"/>
  <c r="A382" i="8"/>
  <c r="B382" i="8"/>
  <c r="C382" i="8"/>
  <c r="A383" i="8"/>
  <c r="B383" i="8"/>
  <c r="C383" i="8"/>
  <c r="A384" i="8"/>
  <c r="B384" i="8"/>
  <c r="C384" i="8"/>
  <c r="A385" i="8"/>
  <c r="B385" i="8"/>
  <c r="C385" i="8"/>
  <c r="A386" i="8"/>
  <c r="B386" i="8"/>
  <c r="C386" i="8"/>
  <c r="A387" i="8"/>
  <c r="B387" i="8"/>
  <c r="C387" i="8"/>
  <c r="A388" i="8"/>
  <c r="B388" i="8"/>
  <c r="C388" i="8"/>
  <c r="A389" i="8"/>
  <c r="B389" i="8"/>
  <c r="C389" i="8"/>
  <c r="A390" i="8"/>
  <c r="B390" i="8"/>
  <c r="C390" i="8"/>
  <c r="A391" i="8"/>
  <c r="B391" i="8"/>
  <c r="C391" i="8"/>
  <c r="A392" i="8"/>
  <c r="B392" i="8"/>
  <c r="C392" i="8"/>
  <c r="A393" i="8"/>
  <c r="B393" i="8"/>
  <c r="C393" i="8"/>
  <c r="A394" i="8"/>
  <c r="B394" i="8"/>
  <c r="C394" i="8"/>
  <c r="A395" i="8"/>
  <c r="B395" i="8"/>
  <c r="C395" i="8"/>
  <c r="A396" i="8"/>
  <c r="B396" i="8"/>
  <c r="C396" i="8"/>
  <c r="A397" i="8"/>
  <c r="B397" i="8"/>
  <c r="C397" i="8"/>
  <c r="A398" i="8"/>
  <c r="B398" i="8"/>
  <c r="C398" i="8"/>
  <c r="A399" i="8"/>
  <c r="B399" i="8"/>
  <c r="C399" i="8"/>
  <c r="A400" i="8"/>
  <c r="B400" i="8"/>
  <c r="C400" i="8"/>
  <c r="A401" i="8"/>
  <c r="B401" i="8"/>
  <c r="C401" i="8"/>
  <c r="A402" i="8"/>
  <c r="B402" i="8"/>
  <c r="C402" i="8"/>
  <c r="A403" i="8"/>
  <c r="B403" i="8"/>
  <c r="C403" i="8"/>
  <c r="A404" i="8"/>
  <c r="B404" i="8"/>
  <c r="C404" i="8"/>
  <c r="A405" i="8"/>
  <c r="B405" i="8"/>
  <c r="C405" i="8"/>
  <c r="A406" i="8"/>
  <c r="B406" i="8"/>
  <c r="C406" i="8"/>
  <c r="A407" i="8"/>
  <c r="B407" i="8"/>
  <c r="C407" i="8"/>
  <c r="A408" i="8"/>
  <c r="B408" i="8"/>
  <c r="C408" i="8"/>
  <c r="A409" i="8"/>
  <c r="B409" i="8"/>
  <c r="C409" i="8"/>
  <c r="A410" i="8"/>
  <c r="B410" i="8"/>
  <c r="C410" i="8"/>
  <c r="A411" i="8"/>
  <c r="B411" i="8"/>
  <c r="C411" i="8"/>
  <c r="A412" i="8"/>
  <c r="B412" i="8"/>
  <c r="C412" i="8"/>
  <c r="A413" i="8"/>
  <c r="B413" i="8"/>
  <c r="C413" i="8"/>
  <c r="A414" i="8"/>
  <c r="B414" i="8"/>
  <c r="C414" i="8"/>
  <c r="A415" i="8"/>
  <c r="B415" i="8"/>
  <c r="C415" i="8"/>
  <c r="A416" i="8"/>
  <c r="B416" i="8"/>
  <c r="C416" i="8"/>
  <c r="A417" i="8"/>
  <c r="B417" i="8"/>
  <c r="C417" i="8"/>
  <c r="A418" i="8"/>
  <c r="B418" i="8"/>
  <c r="C418" i="8"/>
  <c r="A419" i="8"/>
  <c r="B419" i="8"/>
  <c r="C419" i="8"/>
  <c r="B31" i="8"/>
  <c r="A31" i="8"/>
  <c r="A32" i="7"/>
  <c r="B32" i="7"/>
  <c r="C32" i="7"/>
  <c r="A33" i="7"/>
  <c r="B33" i="7"/>
  <c r="C33" i="7"/>
  <c r="A34" i="7"/>
  <c r="B34" i="7"/>
  <c r="C34" i="7"/>
  <c r="A35" i="7"/>
  <c r="B35" i="7"/>
  <c r="C35" i="7"/>
  <c r="A36" i="7"/>
  <c r="B36" i="7"/>
  <c r="C36" i="7"/>
  <c r="A37" i="7"/>
  <c r="B37" i="7"/>
  <c r="C37" i="7"/>
  <c r="A38" i="7"/>
  <c r="B38" i="7"/>
  <c r="C38" i="7"/>
  <c r="A6" i="7"/>
  <c r="B6" i="7"/>
  <c r="A39" i="7"/>
  <c r="B39" i="7"/>
  <c r="C39" i="7"/>
  <c r="A40" i="7"/>
  <c r="B40" i="7"/>
  <c r="C40" i="7"/>
  <c r="A41" i="7"/>
  <c r="B41" i="7"/>
  <c r="C41" i="7"/>
  <c r="A42" i="7"/>
  <c r="B42" i="7"/>
  <c r="C42" i="7"/>
  <c r="A43" i="7"/>
  <c r="B43" i="7"/>
  <c r="C43" i="7"/>
  <c r="A44" i="7"/>
  <c r="B44" i="7"/>
  <c r="C44" i="7"/>
  <c r="A45" i="7"/>
  <c r="B45" i="7"/>
  <c r="C45" i="7"/>
  <c r="A17" i="7"/>
  <c r="B17" i="7"/>
  <c r="A46" i="7"/>
  <c r="B46" i="7"/>
  <c r="C46" i="7"/>
  <c r="A47" i="7"/>
  <c r="B47" i="7"/>
  <c r="C47" i="7"/>
  <c r="A48" i="7"/>
  <c r="B48" i="7"/>
  <c r="C48" i="7"/>
  <c r="A49" i="7"/>
  <c r="B49" i="7"/>
  <c r="C49" i="7"/>
  <c r="A50" i="7"/>
  <c r="B50" i="7"/>
  <c r="C50" i="7"/>
  <c r="A51" i="7"/>
  <c r="B51" i="7"/>
  <c r="C51" i="7"/>
  <c r="A52" i="7"/>
  <c r="B52" i="7"/>
  <c r="C52" i="7"/>
  <c r="A53" i="7"/>
  <c r="B53" i="7"/>
  <c r="C53" i="7"/>
  <c r="A54" i="7"/>
  <c r="B54" i="7"/>
  <c r="C54" i="7"/>
  <c r="A55" i="7"/>
  <c r="B55" i="7"/>
  <c r="C55" i="7"/>
  <c r="A56" i="7"/>
  <c r="B56" i="7"/>
  <c r="C56" i="7"/>
  <c r="A22" i="7"/>
  <c r="B22" i="7"/>
  <c r="A57" i="7"/>
  <c r="B57" i="7"/>
  <c r="C57" i="7"/>
  <c r="A58" i="7"/>
  <c r="B58" i="7"/>
  <c r="C58" i="7"/>
  <c r="A59" i="7"/>
  <c r="B59" i="7"/>
  <c r="C59" i="7"/>
  <c r="A60" i="7"/>
  <c r="B60" i="7"/>
  <c r="C60" i="7"/>
  <c r="A24" i="7"/>
  <c r="B24" i="7"/>
  <c r="A61" i="7"/>
  <c r="B61" i="7"/>
  <c r="C61" i="7"/>
  <c r="A62" i="7"/>
  <c r="B62" i="7"/>
  <c r="C62" i="7"/>
  <c r="A63" i="7"/>
  <c r="B63" i="7"/>
  <c r="C63" i="7"/>
  <c r="A64" i="7"/>
  <c r="B64" i="7"/>
  <c r="C64" i="7"/>
  <c r="A65" i="7"/>
  <c r="B65" i="7"/>
  <c r="C65" i="7"/>
  <c r="A66" i="7"/>
  <c r="B66" i="7"/>
  <c r="C66" i="7"/>
  <c r="A67" i="7"/>
  <c r="B67" i="7"/>
  <c r="C67" i="7"/>
  <c r="A68" i="7"/>
  <c r="B68" i="7"/>
  <c r="C68" i="7"/>
  <c r="A69" i="7"/>
  <c r="B69" i="7"/>
  <c r="C69" i="7"/>
  <c r="A70" i="7"/>
  <c r="B70" i="7"/>
  <c r="C70" i="7"/>
  <c r="A2" i="7"/>
  <c r="B2" i="7"/>
  <c r="A13" i="7"/>
  <c r="B13" i="7"/>
  <c r="A71" i="7"/>
  <c r="B71" i="7"/>
  <c r="C71" i="7"/>
  <c r="A72" i="7"/>
  <c r="B72" i="7"/>
  <c r="C72" i="7"/>
  <c r="A73" i="7"/>
  <c r="B73" i="7"/>
  <c r="C73" i="7"/>
  <c r="A74" i="7"/>
  <c r="B74" i="7"/>
  <c r="C74" i="7"/>
  <c r="A75" i="7"/>
  <c r="B75" i="7"/>
  <c r="C75" i="7"/>
  <c r="A76" i="7"/>
  <c r="B76" i="7"/>
  <c r="C76" i="7"/>
  <c r="A31" i="7"/>
  <c r="B31" i="7"/>
  <c r="A10" i="7"/>
  <c r="B10" i="7"/>
  <c r="A77" i="7"/>
  <c r="B77" i="7"/>
  <c r="C77" i="7"/>
  <c r="A78" i="7"/>
  <c r="B78" i="7"/>
  <c r="C78" i="7"/>
  <c r="A79" i="7"/>
  <c r="B79" i="7"/>
  <c r="C79" i="7"/>
  <c r="A15" i="7"/>
  <c r="B15" i="7"/>
  <c r="A28" i="7"/>
  <c r="B28" i="7"/>
  <c r="A80" i="7"/>
  <c r="B80" i="7"/>
  <c r="C80" i="7"/>
  <c r="A81" i="7"/>
  <c r="B81" i="7"/>
  <c r="C81" i="7"/>
  <c r="A82" i="7"/>
  <c r="B82" i="7"/>
  <c r="C82" i="7"/>
  <c r="A83" i="7"/>
  <c r="B83" i="7"/>
  <c r="C83" i="7"/>
  <c r="A84" i="7"/>
  <c r="B84" i="7"/>
  <c r="C84" i="7"/>
  <c r="A9" i="7"/>
  <c r="B9" i="7"/>
  <c r="A27" i="7"/>
  <c r="B27" i="7"/>
  <c r="A85" i="7"/>
  <c r="B85" i="7"/>
  <c r="C85" i="7"/>
  <c r="A86" i="7"/>
  <c r="B86" i="7"/>
  <c r="C86" i="7"/>
  <c r="A87" i="7"/>
  <c r="B87" i="7"/>
  <c r="C87" i="7"/>
  <c r="A88" i="7"/>
  <c r="B88" i="7"/>
  <c r="C88" i="7"/>
  <c r="A89" i="7"/>
  <c r="B89" i="7"/>
  <c r="C89" i="7"/>
  <c r="A90" i="7"/>
  <c r="B90" i="7"/>
  <c r="C90" i="7"/>
  <c r="A19" i="7"/>
  <c r="B19" i="7"/>
  <c r="A91" i="7"/>
  <c r="B91" i="7"/>
  <c r="C91" i="7"/>
  <c r="A92" i="7"/>
  <c r="B92" i="7"/>
  <c r="C92" i="7"/>
  <c r="A93" i="7"/>
  <c r="B93" i="7"/>
  <c r="C93" i="7"/>
  <c r="A94" i="7"/>
  <c r="B94" i="7"/>
  <c r="C94" i="7"/>
  <c r="A95" i="7"/>
  <c r="B95" i="7"/>
  <c r="C95" i="7"/>
  <c r="A96" i="7"/>
  <c r="B96" i="7"/>
  <c r="C96" i="7"/>
  <c r="A97" i="7"/>
  <c r="B97" i="7"/>
  <c r="C97" i="7"/>
  <c r="A14" i="7"/>
  <c r="B14" i="7"/>
  <c r="A98" i="7"/>
  <c r="B98" i="7"/>
  <c r="C98" i="7"/>
  <c r="A99" i="7"/>
  <c r="B99" i="7"/>
  <c r="C99" i="7"/>
  <c r="A100" i="7"/>
  <c r="B100" i="7"/>
  <c r="C100" i="7"/>
  <c r="A101" i="7"/>
  <c r="B101" i="7"/>
  <c r="C101" i="7"/>
  <c r="A102" i="7"/>
  <c r="B102" i="7"/>
  <c r="C102" i="7"/>
  <c r="A103" i="7"/>
  <c r="B103" i="7"/>
  <c r="C103" i="7"/>
  <c r="A104" i="7"/>
  <c r="B104" i="7"/>
  <c r="C104" i="7"/>
  <c r="A26" i="7"/>
  <c r="B26" i="7"/>
  <c r="A105" i="7"/>
  <c r="B105" i="7"/>
  <c r="C105" i="7"/>
  <c r="A106" i="7"/>
  <c r="B106" i="7"/>
  <c r="C106" i="7"/>
  <c r="A107" i="7"/>
  <c r="B107" i="7"/>
  <c r="C107" i="7"/>
  <c r="A108" i="7"/>
  <c r="B108" i="7"/>
  <c r="C108" i="7"/>
  <c r="A109" i="7"/>
  <c r="B109" i="7"/>
  <c r="C109" i="7"/>
  <c r="A110" i="7"/>
  <c r="B110" i="7"/>
  <c r="C110" i="7"/>
  <c r="A5" i="7"/>
  <c r="B5" i="7"/>
  <c r="A111" i="7"/>
  <c r="B111" i="7"/>
  <c r="C111" i="7"/>
  <c r="A112" i="7"/>
  <c r="B112" i="7"/>
  <c r="C112" i="7"/>
  <c r="A113" i="7"/>
  <c r="B113" i="7"/>
  <c r="C113" i="7"/>
  <c r="A114" i="7"/>
  <c r="B114" i="7"/>
  <c r="C114" i="7"/>
  <c r="A115" i="7"/>
  <c r="B115" i="7"/>
  <c r="C115" i="7"/>
  <c r="A116" i="7"/>
  <c r="B116" i="7"/>
  <c r="C116" i="7"/>
  <c r="A117" i="7"/>
  <c r="B117" i="7"/>
  <c r="C117" i="7"/>
  <c r="A118" i="7"/>
  <c r="B118" i="7"/>
  <c r="C118" i="7"/>
  <c r="A29" i="7"/>
  <c r="B29" i="7"/>
  <c r="A119" i="7"/>
  <c r="B119" i="7"/>
  <c r="C119" i="7"/>
  <c r="A120" i="7"/>
  <c r="B120" i="7"/>
  <c r="C120" i="7"/>
  <c r="A121" i="7"/>
  <c r="B121" i="7"/>
  <c r="C121" i="7"/>
  <c r="A122" i="7"/>
  <c r="B122" i="7"/>
  <c r="C122" i="7"/>
  <c r="A123" i="7"/>
  <c r="B123" i="7"/>
  <c r="C123" i="7"/>
  <c r="A124" i="7"/>
  <c r="B124" i="7"/>
  <c r="C124" i="7"/>
  <c r="A125" i="7"/>
  <c r="B125" i="7"/>
  <c r="C125" i="7"/>
  <c r="A126" i="7"/>
  <c r="B126" i="7"/>
  <c r="C126" i="7"/>
  <c r="A12" i="7"/>
  <c r="B12" i="7"/>
  <c r="A127" i="7"/>
  <c r="B127" i="7"/>
  <c r="C127" i="7"/>
  <c r="A128" i="7"/>
  <c r="B128" i="7"/>
  <c r="C128" i="7"/>
  <c r="A129" i="7"/>
  <c r="B129" i="7"/>
  <c r="C129" i="7"/>
  <c r="A130" i="7"/>
  <c r="B130" i="7"/>
  <c r="C130" i="7"/>
  <c r="A131" i="7"/>
  <c r="B131" i="7"/>
  <c r="C131" i="7"/>
  <c r="A23" i="7"/>
  <c r="B23" i="7"/>
  <c r="A132" i="7"/>
  <c r="B132" i="7"/>
  <c r="C132" i="7"/>
  <c r="A133" i="7"/>
  <c r="B133" i="7"/>
  <c r="C133" i="7"/>
  <c r="A134" i="7"/>
  <c r="B134" i="7"/>
  <c r="C134" i="7"/>
  <c r="A135" i="7"/>
  <c r="B135" i="7"/>
  <c r="C135" i="7"/>
  <c r="A136" i="7"/>
  <c r="B136" i="7"/>
  <c r="C136" i="7"/>
  <c r="A137" i="7"/>
  <c r="B137" i="7"/>
  <c r="C137" i="7"/>
  <c r="A16" i="7"/>
  <c r="B16" i="7"/>
  <c r="A138" i="7"/>
  <c r="B138" i="7"/>
  <c r="C138" i="7"/>
  <c r="A139" i="7"/>
  <c r="B139" i="7"/>
  <c r="C139" i="7"/>
  <c r="A140" i="7"/>
  <c r="B140" i="7"/>
  <c r="C140" i="7"/>
  <c r="A141" i="7"/>
  <c r="B141" i="7"/>
  <c r="C141" i="7"/>
  <c r="A142" i="7"/>
  <c r="B142" i="7"/>
  <c r="C142" i="7"/>
  <c r="A143" i="7"/>
  <c r="B143" i="7"/>
  <c r="C143" i="7"/>
  <c r="A3" i="7"/>
  <c r="B3" i="7"/>
  <c r="A20" i="7"/>
  <c r="B20" i="7"/>
  <c r="A144" i="7"/>
  <c r="B144" i="7"/>
  <c r="C144" i="7"/>
  <c r="A145" i="7"/>
  <c r="B145" i="7"/>
  <c r="C145" i="7"/>
  <c r="A146" i="7"/>
  <c r="B146" i="7"/>
  <c r="C146" i="7"/>
  <c r="A147" i="7"/>
  <c r="B147" i="7"/>
  <c r="C147" i="7"/>
  <c r="A148" i="7"/>
  <c r="B148" i="7"/>
  <c r="C148" i="7"/>
  <c r="A149" i="7"/>
  <c r="B149" i="7"/>
  <c r="C149" i="7"/>
  <c r="A21" i="7"/>
  <c r="B21" i="7"/>
  <c r="A150" i="7"/>
  <c r="B150" i="7"/>
  <c r="C150" i="7"/>
  <c r="A151" i="7"/>
  <c r="B151" i="7"/>
  <c r="C151" i="7"/>
  <c r="A152" i="7"/>
  <c r="B152" i="7"/>
  <c r="C152" i="7"/>
  <c r="A153" i="7"/>
  <c r="B153" i="7"/>
  <c r="C153" i="7"/>
  <c r="A154" i="7"/>
  <c r="B154" i="7"/>
  <c r="C154" i="7"/>
  <c r="A155" i="7"/>
  <c r="B155" i="7"/>
  <c r="C155" i="7"/>
  <c r="A156" i="7"/>
  <c r="B156" i="7"/>
  <c r="C156" i="7"/>
  <c r="A8" i="7"/>
  <c r="B8" i="7"/>
  <c r="A157" i="7"/>
  <c r="B157" i="7"/>
  <c r="C157" i="7"/>
  <c r="A158" i="7"/>
  <c r="B158" i="7"/>
  <c r="C158" i="7"/>
  <c r="A159" i="7"/>
  <c r="B159" i="7"/>
  <c r="C159" i="7"/>
  <c r="A160" i="7"/>
  <c r="B160" i="7"/>
  <c r="C160" i="7"/>
  <c r="A161" i="7"/>
  <c r="B161" i="7"/>
  <c r="C161" i="7"/>
  <c r="A7" i="7"/>
  <c r="B7" i="7"/>
  <c r="A162" i="7"/>
  <c r="B162" i="7"/>
  <c r="C162" i="7"/>
  <c r="A163" i="7"/>
  <c r="B163" i="7"/>
  <c r="C163" i="7"/>
  <c r="A164" i="7"/>
  <c r="B164" i="7"/>
  <c r="C164" i="7"/>
  <c r="A165" i="7"/>
  <c r="B165" i="7"/>
  <c r="C165" i="7"/>
  <c r="A166" i="7"/>
  <c r="B166" i="7"/>
  <c r="C166" i="7"/>
  <c r="A167" i="7"/>
  <c r="B167" i="7"/>
  <c r="C167" i="7"/>
  <c r="A11" i="7"/>
  <c r="B11" i="7"/>
  <c r="A168" i="7"/>
  <c r="B168" i="7"/>
  <c r="C168" i="7"/>
  <c r="A169" i="7"/>
  <c r="B169" i="7"/>
  <c r="C169" i="7"/>
  <c r="A170" i="7"/>
  <c r="B170" i="7"/>
  <c r="C170" i="7"/>
  <c r="A25" i="7"/>
  <c r="B25" i="7"/>
  <c r="A171" i="7"/>
  <c r="B171" i="7"/>
  <c r="C171" i="7"/>
  <c r="A30" i="7"/>
  <c r="B30" i="7"/>
  <c r="A4" i="7"/>
  <c r="B4" i="7"/>
  <c r="A172" i="7"/>
  <c r="B172" i="7"/>
  <c r="C172" i="7"/>
  <c r="A173" i="7"/>
  <c r="B173" i="7"/>
  <c r="C173" i="7"/>
  <c r="A174" i="7"/>
  <c r="B174" i="7"/>
  <c r="C174" i="7"/>
  <c r="A175" i="7"/>
  <c r="B175" i="7"/>
  <c r="C175" i="7"/>
  <c r="A176" i="7"/>
  <c r="B176" i="7"/>
  <c r="C176" i="7"/>
  <c r="A177" i="7"/>
  <c r="B177" i="7"/>
  <c r="C177" i="7"/>
  <c r="A178" i="7"/>
  <c r="B178" i="7"/>
  <c r="C178" i="7"/>
  <c r="A179" i="7"/>
  <c r="B179" i="7"/>
  <c r="C179" i="7"/>
  <c r="A180" i="7"/>
  <c r="B180" i="7"/>
  <c r="C180" i="7"/>
  <c r="A181" i="7"/>
  <c r="B181" i="7"/>
  <c r="C181" i="7"/>
  <c r="A182" i="7"/>
  <c r="B182" i="7"/>
  <c r="C182" i="7"/>
  <c r="A183" i="7"/>
  <c r="B183" i="7"/>
  <c r="C183" i="7"/>
  <c r="A184" i="7"/>
  <c r="B184" i="7"/>
  <c r="C184" i="7"/>
  <c r="A185" i="7"/>
  <c r="B185" i="7"/>
  <c r="C185" i="7"/>
  <c r="A186" i="7"/>
  <c r="B186" i="7"/>
  <c r="C186" i="7"/>
  <c r="A187" i="7"/>
  <c r="B187" i="7"/>
  <c r="C187" i="7"/>
  <c r="A188" i="7"/>
  <c r="B188" i="7"/>
  <c r="C188" i="7"/>
  <c r="A189" i="7"/>
  <c r="B189" i="7"/>
  <c r="C189" i="7"/>
  <c r="A190" i="7"/>
  <c r="B190" i="7"/>
  <c r="C190" i="7"/>
  <c r="A191" i="7"/>
  <c r="B191" i="7"/>
  <c r="C191" i="7"/>
  <c r="A192" i="7"/>
  <c r="B192" i="7"/>
  <c r="C192" i="7"/>
  <c r="A193" i="7"/>
  <c r="B193" i="7"/>
  <c r="C193" i="7"/>
  <c r="A194" i="7"/>
  <c r="B194" i="7"/>
  <c r="C194" i="7"/>
  <c r="A195" i="7"/>
  <c r="B195" i="7"/>
  <c r="C195" i="7"/>
  <c r="A196" i="7"/>
  <c r="B196" i="7"/>
  <c r="C196" i="7"/>
  <c r="A197" i="7"/>
  <c r="B197" i="7"/>
  <c r="C197" i="7"/>
  <c r="A198" i="7"/>
  <c r="B198" i="7"/>
  <c r="C198" i="7"/>
  <c r="A199" i="7"/>
  <c r="B199" i="7"/>
  <c r="C199" i="7"/>
  <c r="A200" i="7"/>
  <c r="B200" i="7"/>
  <c r="C200" i="7"/>
  <c r="A201" i="7"/>
  <c r="B201" i="7"/>
  <c r="C201" i="7"/>
  <c r="A202" i="7"/>
  <c r="B202" i="7"/>
  <c r="C202" i="7"/>
  <c r="A203" i="7"/>
  <c r="B203" i="7"/>
  <c r="C203" i="7"/>
  <c r="A204" i="7"/>
  <c r="B204" i="7"/>
  <c r="C204" i="7"/>
  <c r="A205" i="7"/>
  <c r="B205" i="7"/>
  <c r="C205" i="7"/>
  <c r="A206" i="7"/>
  <c r="B206" i="7"/>
  <c r="C206" i="7"/>
  <c r="A207" i="7"/>
  <c r="B207" i="7"/>
  <c r="C207" i="7"/>
  <c r="A208" i="7"/>
  <c r="B208" i="7"/>
  <c r="C208" i="7"/>
  <c r="A209" i="7"/>
  <c r="B209" i="7"/>
  <c r="C209" i="7"/>
  <c r="A210" i="7"/>
  <c r="B210" i="7"/>
  <c r="C210" i="7"/>
  <c r="A211" i="7"/>
  <c r="B211" i="7"/>
  <c r="C211" i="7"/>
  <c r="A212" i="7"/>
  <c r="B212" i="7"/>
  <c r="C212" i="7"/>
  <c r="A213" i="7"/>
  <c r="B213" i="7"/>
  <c r="C213" i="7"/>
  <c r="A214" i="7"/>
  <c r="B214" i="7"/>
  <c r="C214" i="7"/>
  <c r="A215" i="7"/>
  <c r="B215" i="7"/>
  <c r="C215" i="7"/>
  <c r="A216" i="7"/>
  <c r="B216" i="7"/>
  <c r="C216" i="7"/>
  <c r="A217" i="7"/>
  <c r="B217" i="7"/>
  <c r="C217" i="7"/>
  <c r="A218" i="7"/>
  <c r="B218" i="7"/>
  <c r="C218" i="7"/>
  <c r="A219" i="7"/>
  <c r="B219" i="7"/>
  <c r="C219" i="7"/>
  <c r="A220" i="7"/>
  <c r="B220" i="7"/>
  <c r="C220" i="7"/>
  <c r="A221" i="7"/>
  <c r="B221" i="7"/>
  <c r="C221" i="7"/>
  <c r="A222" i="7"/>
  <c r="B222" i="7"/>
  <c r="C222" i="7"/>
  <c r="A223" i="7"/>
  <c r="B223" i="7"/>
  <c r="C223" i="7"/>
  <c r="A224" i="7"/>
  <c r="B224" i="7"/>
  <c r="C224" i="7"/>
  <c r="A225" i="7"/>
  <c r="B225" i="7"/>
  <c r="C225" i="7"/>
  <c r="A226" i="7"/>
  <c r="B226" i="7"/>
  <c r="C226" i="7"/>
  <c r="A227" i="7"/>
  <c r="B227" i="7"/>
  <c r="C227" i="7"/>
  <c r="A228" i="7"/>
  <c r="B228" i="7"/>
  <c r="C228" i="7"/>
  <c r="A229" i="7"/>
  <c r="B229" i="7"/>
  <c r="C229" i="7"/>
  <c r="A230" i="7"/>
  <c r="B230" i="7"/>
  <c r="C230" i="7"/>
  <c r="A231" i="7"/>
  <c r="B231" i="7"/>
  <c r="C231" i="7"/>
  <c r="A232" i="7"/>
  <c r="B232" i="7"/>
  <c r="C232" i="7"/>
  <c r="A233" i="7"/>
  <c r="B233" i="7"/>
  <c r="C233" i="7"/>
  <c r="A234" i="7"/>
  <c r="B234" i="7"/>
  <c r="C234" i="7"/>
  <c r="A235" i="7"/>
  <c r="B235" i="7"/>
  <c r="C235" i="7"/>
  <c r="A236" i="7"/>
  <c r="B236" i="7"/>
  <c r="C236" i="7"/>
  <c r="A237" i="7"/>
  <c r="B237" i="7"/>
  <c r="C237" i="7"/>
  <c r="A238" i="7"/>
  <c r="B238" i="7"/>
  <c r="C238" i="7"/>
  <c r="A239" i="7"/>
  <c r="B239" i="7"/>
  <c r="C239" i="7"/>
  <c r="A240" i="7"/>
  <c r="B240" i="7"/>
  <c r="C240" i="7"/>
  <c r="A241" i="7"/>
  <c r="B241" i="7"/>
  <c r="C241" i="7"/>
  <c r="A242" i="7"/>
  <c r="B242" i="7"/>
  <c r="C242" i="7"/>
  <c r="A243" i="7"/>
  <c r="B243" i="7"/>
  <c r="C243" i="7"/>
  <c r="A244" i="7"/>
  <c r="B244" i="7"/>
  <c r="C244" i="7"/>
  <c r="A245" i="7"/>
  <c r="B245" i="7"/>
  <c r="C245" i="7"/>
  <c r="A246" i="7"/>
  <c r="B246" i="7"/>
  <c r="C246" i="7"/>
  <c r="A247" i="7"/>
  <c r="B247" i="7"/>
  <c r="C247" i="7"/>
  <c r="A248" i="7"/>
  <c r="B248" i="7"/>
  <c r="C248" i="7"/>
  <c r="A249" i="7"/>
  <c r="B249" i="7"/>
  <c r="C249" i="7"/>
  <c r="A250" i="7"/>
  <c r="B250" i="7"/>
  <c r="C250" i="7"/>
  <c r="A251" i="7"/>
  <c r="B251" i="7"/>
  <c r="C251" i="7"/>
  <c r="A252" i="7"/>
  <c r="B252" i="7"/>
  <c r="C252" i="7"/>
  <c r="A253" i="7"/>
  <c r="B253" i="7"/>
  <c r="C253" i="7"/>
  <c r="A254" i="7"/>
  <c r="B254" i="7"/>
  <c r="C254" i="7"/>
  <c r="A255" i="7"/>
  <c r="B255" i="7"/>
  <c r="C255" i="7"/>
  <c r="A256" i="7"/>
  <c r="B256" i="7"/>
  <c r="C256" i="7"/>
  <c r="A257" i="7"/>
  <c r="B257" i="7"/>
  <c r="C257" i="7"/>
  <c r="A258" i="7"/>
  <c r="B258" i="7"/>
  <c r="C258" i="7"/>
  <c r="A259" i="7"/>
  <c r="B259" i="7"/>
  <c r="C259" i="7"/>
  <c r="A260" i="7"/>
  <c r="B260" i="7"/>
  <c r="C260" i="7"/>
  <c r="A261" i="7"/>
  <c r="B261" i="7"/>
  <c r="C261" i="7"/>
  <c r="A262" i="7"/>
  <c r="B262" i="7"/>
  <c r="C262" i="7"/>
  <c r="A263" i="7"/>
  <c r="B263" i="7"/>
  <c r="C263" i="7"/>
  <c r="A264" i="7"/>
  <c r="B264" i="7"/>
  <c r="C264" i="7"/>
  <c r="A265" i="7"/>
  <c r="B265" i="7"/>
  <c r="C265" i="7"/>
  <c r="A266" i="7"/>
  <c r="B266" i="7"/>
  <c r="C266" i="7"/>
  <c r="A267" i="7"/>
  <c r="B267" i="7"/>
  <c r="C267" i="7"/>
  <c r="A268" i="7"/>
  <c r="B268" i="7"/>
  <c r="C268" i="7"/>
  <c r="A269" i="7"/>
  <c r="B269" i="7"/>
  <c r="C269" i="7"/>
  <c r="A270" i="7"/>
  <c r="B270" i="7"/>
  <c r="C270" i="7"/>
  <c r="A271" i="7"/>
  <c r="B271" i="7"/>
  <c r="C271" i="7"/>
  <c r="A272" i="7"/>
  <c r="B272" i="7"/>
  <c r="C272" i="7"/>
  <c r="A273" i="7"/>
  <c r="B273" i="7"/>
  <c r="C273" i="7"/>
  <c r="A274" i="7"/>
  <c r="B274" i="7"/>
  <c r="C274" i="7"/>
  <c r="A275" i="7"/>
  <c r="B275" i="7"/>
  <c r="C275" i="7"/>
  <c r="A276" i="7"/>
  <c r="B276" i="7"/>
  <c r="C276" i="7"/>
  <c r="A277" i="7"/>
  <c r="B277" i="7"/>
  <c r="C277" i="7"/>
  <c r="A278" i="7"/>
  <c r="B278" i="7"/>
  <c r="C278" i="7"/>
  <c r="A279" i="7"/>
  <c r="B279" i="7"/>
  <c r="C279" i="7"/>
  <c r="A280" i="7"/>
  <c r="B280" i="7"/>
  <c r="C280" i="7"/>
  <c r="A281" i="7"/>
  <c r="B281" i="7"/>
  <c r="C281" i="7"/>
  <c r="A282" i="7"/>
  <c r="B282" i="7"/>
  <c r="C282" i="7"/>
  <c r="A283" i="7"/>
  <c r="B283" i="7"/>
  <c r="C283" i="7"/>
  <c r="A284" i="7"/>
  <c r="B284" i="7"/>
  <c r="C284" i="7"/>
  <c r="A285" i="7"/>
  <c r="B285" i="7"/>
  <c r="C285" i="7"/>
  <c r="A286" i="7"/>
  <c r="B286" i="7"/>
  <c r="C286" i="7"/>
  <c r="A287" i="7"/>
  <c r="B287" i="7"/>
  <c r="C287" i="7"/>
  <c r="A288" i="7"/>
  <c r="B288" i="7"/>
  <c r="C288" i="7"/>
  <c r="A289" i="7"/>
  <c r="B289" i="7"/>
  <c r="C289" i="7"/>
  <c r="A290" i="7"/>
  <c r="B290" i="7"/>
  <c r="C290" i="7"/>
  <c r="A291" i="7"/>
  <c r="B291" i="7"/>
  <c r="C291" i="7"/>
  <c r="A292" i="7"/>
  <c r="B292" i="7"/>
  <c r="C292" i="7"/>
  <c r="A293" i="7"/>
  <c r="B293" i="7"/>
  <c r="C293" i="7"/>
  <c r="A294" i="7"/>
  <c r="B294" i="7"/>
  <c r="C294" i="7"/>
  <c r="B18" i="7"/>
  <c r="A18" i="7"/>
  <c r="C77" i="8"/>
  <c r="C87" i="8"/>
  <c r="C73" i="8"/>
  <c r="C69" i="8"/>
  <c r="C2" i="8"/>
  <c r="C54" i="8"/>
  <c r="C125" i="8"/>
  <c r="C43" i="8"/>
  <c r="C9" i="8"/>
  <c r="C4" i="8"/>
  <c r="C14" i="8"/>
  <c r="C59" i="8"/>
  <c r="C26" i="8"/>
  <c r="C94" i="8"/>
  <c r="C100" i="8"/>
  <c r="C16" i="8"/>
  <c r="C42" i="8"/>
  <c r="C84" i="8"/>
  <c r="C41" i="8"/>
  <c r="C50" i="8"/>
  <c r="C129" i="8"/>
  <c r="C36" i="8"/>
  <c r="C110" i="8"/>
  <c r="C112" i="8"/>
  <c r="C15" i="8"/>
  <c r="C61" i="8"/>
  <c r="C30" i="8"/>
  <c r="C104" i="8"/>
  <c r="C92" i="8"/>
  <c r="C25" i="8"/>
  <c r="C18" i="8"/>
  <c r="C89" i="8"/>
  <c r="C44" i="8"/>
  <c r="C70" i="8"/>
  <c r="C23" i="8"/>
  <c r="C75" i="8"/>
  <c r="C71" i="8"/>
  <c r="C8" i="8"/>
  <c r="C29" i="8"/>
  <c r="C58" i="8"/>
  <c r="C74" i="8"/>
  <c r="C20" i="8"/>
  <c r="C34" i="8"/>
  <c r="C47" i="8"/>
  <c r="C40" i="8"/>
  <c r="C90" i="8"/>
  <c r="C86" i="8"/>
  <c r="C97" i="8"/>
  <c r="C62" i="8"/>
  <c r="C66" i="8"/>
  <c r="C96" i="8"/>
  <c r="C80" i="8"/>
  <c r="C93" i="8"/>
  <c r="C3" i="8"/>
  <c r="C127" i="8"/>
  <c r="C82" i="8"/>
  <c r="C131" i="8"/>
  <c r="C12" i="8"/>
  <c r="C17" i="8"/>
  <c r="C7" i="8"/>
  <c r="C56" i="8"/>
  <c r="C91" i="8"/>
  <c r="C22" i="8"/>
  <c r="C88" i="8"/>
  <c r="C109" i="8"/>
  <c r="C76" i="8"/>
  <c r="C53" i="8"/>
  <c r="C39" i="8"/>
  <c r="C115" i="8"/>
  <c r="C6" i="8"/>
  <c r="C5" i="8"/>
  <c r="C119" i="8"/>
  <c r="C130" i="8"/>
  <c r="C49" i="8"/>
  <c r="C111" i="8"/>
  <c r="C51" i="8"/>
  <c r="C28" i="8"/>
  <c r="C114" i="8"/>
  <c r="C32" i="8"/>
  <c r="C81" i="8"/>
  <c r="C105" i="8"/>
  <c r="C126" i="8"/>
  <c r="C122" i="8"/>
  <c r="C19" i="8"/>
  <c r="C38" i="8"/>
  <c r="C99" i="8"/>
  <c r="C128" i="8"/>
  <c r="C98" i="8"/>
  <c r="C33" i="8"/>
  <c r="C63" i="8"/>
  <c r="C118" i="8"/>
  <c r="C48" i="8"/>
  <c r="C65" i="8"/>
  <c r="C21" i="8"/>
  <c r="C46" i="8"/>
  <c r="C72" i="8"/>
  <c r="C79" i="8"/>
  <c r="C116" i="8"/>
  <c r="C107" i="8"/>
  <c r="C67" i="8"/>
  <c r="C27" i="8"/>
  <c r="C83" i="8"/>
  <c r="C123" i="8"/>
  <c r="C108" i="8"/>
  <c r="C55" i="8"/>
  <c r="C52" i="8"/>
  <c r="C45" i="8"/>
  <c r="C124" i="8"/>
  <c r="C11" i="8"/>
  <c r="C102" i="8"/>
  <c r="C35" i="8"/>
  <c r="C13" i="8"/>
  <c r="C113" i="8"/>
  <c r="C85" i="8"/>
  <c r="C60" i="8"/>
  <c r="C37" i="8"/>
  <c r="C121" i="8"/>
  <c r="C24" i="8"/>
  <c r="C78" i="8"/>
  <c r="C68" i="8"/>
  <c r="C120" i="8"/>
  <c r="C117" i="8"/>
  <c r="C57" i="8"/>
  <c r="C101" i="8"/>
  <c r="C106" i="8"/>
  <c r="C103" i="8"/>
  <c r="C10" i="8"/>
  <c r="C95" i="8"/>
  <c r="C64" i="8"/>
  <c r="C31" i="8"/>
  <c r="C4" i="7" l="1"/>
  <c r="C30" i="7"/>
  <c r="C25" i="7"/>
  <c r="C11" i="7"/>
  <c r="C7" i="7"/>
  <c r="C8" i="7"/>
  <c r="C21" i="7"/>
  <c r="C20" i="7"/>
  <c r="C3" i="7"/>
  <c r="C16" i="7"/>
  <c r="C23" i="7"/>
  <c r="C12" i="7"/>
  <c r="C29" i="7"/>
  <c r="C5" i="7"/>
  <c r="C26" i="7"/>
  <c r="C14" i="7"/>
  <c r="C19" i="7"/>
  <c r="C27" i="7"/>
  <c r="C9" i="7"/>
  <c r="C28" i="7"/>
  <c r="C15" i="7"/>
  <c r="C10" i="7"/>
  <c r="C31" i="7"/>
  <c r="C13" i="7"/>
  <c r="C2" i="7"/>
  <c r="C24" i="7"/>
  <c r="C22" i="7"/>
  <c r="C17" i="7"/>
  <c r="C6" i="7"/>
  <c r="C18" i="7"/>
</calcChain>
</file>

<file path=xl/comments1.xml><?xml version="1.0" encoding="utf-8"?>
<comments xmlns="http://schemas.openxmlformats.org/spreadsheetml/2006/main">
  <authors>
    <author>Pavel Romanov</author>
  </authors>
  <commentList>
    <comment ref="C534" authorId="0" shapeId="0">
      <text>
        <r>
          <rPr>
            <b/>
            <sz val="9"/>
            <color indexed="81"/>
            <rFont val="Tahoma"/>
            <family val="2"/>
            <charset val="204"/>
          </rPr>
          <t>Pavel Romanov:</t>
        </r>
        <r>
          <rPr>
            <sz val="9"/>
            <color indexed="81"/>
            <rFont val="Tahoma"/>
            <family val="2"/>
            <charset val="204"/>
          </rPr>
          <t xml:space="preserve">
94969  GCUST 87272583535
94970
94971
</t>
        </r>
      </text>
    </comment>
  </commentList>
</comments>
</file>

<file path=xl/sharedStrings.xml><?xml version="1.0" encoding="utf-8"?>
<sst xmlns="http://schemas.openxmlformats.org/spreadsheetml/2006/main" count="16150" uniqueCount="7590">
  <si>
    <t xml:space="preserve">Vlan </t>
  </si>
  <si>
    <t>VPN</t>
  </si>
  <si>
    <t>Interface</t>
  </si>
  <si>
    <t>Aktau CE1</t>
  </si>
  <si>
    <t>RAN</t>
  </si>
  <si>
    <t>Capacity, Mbps</t>
  </si>
  <si>
    <t>10.0.0.250</t>
  </si>
  <si>
    <t>10.0.0.249</t>
  </si>
  <si>
    <t>10.0.0.248</t>
  </si>
  <si>
    <t>Network / 30</t>
  </si>
  <si>
    <t>10.0.0.244</t>
  </si>
  <si>
    <t>GB</t>
  </si>
  <si>
    <t>Aktobe CE1</t>
  </si>
  <si>
    <t>10.0.0.245</t>
  </si>
  <si>
    <t>10.0.0.246</t>
  </si>
  <si>
    <t>10.0.0.222</t>
  </si>
  <si>
    <t>10.0.0.220</t>
  </si>
  <si>
    <t>10.0.0.221</t>
  </si>
  <si>
    <t>10.0.0.226</t>
  </si>
  <si>
    <t>10.0.0.224</t>
  </si>
  <si>
    <t>10.0.0.225</t>
  </si>
  <si>
    <t>10.0.0.230</t>
  </si>
  <si>
    <t>10.0.0.228</t>
  </si>
  <si>
    <t>10.0.0.229</t>
  </si>
  <si>
    <t>Almaty CE1</t>
  </si>
  <si>
    <t>10.1.0.2</t>
  </si>
  <si>
    <t>10.1.0.0</t>
  </si>
  <si>
    <t>10.1.0.1</t>
  </si>
  <si>
    <t>10.1.0.6</t>
  </si>
  <si>
    <t>10.1.0.4</t>
  </si>
  <si>
    <t>10.1.0.5</t>
  </si>
  <si>
    <t>10.1.0.14</t>
  </si>
  <si>
    <t>10.1.0.12</t>
  </si>
  <si>
    <t>10.1.0.13</t>
  </si>
  <si>
    <t>IuB</t>
  </si>
  <si>
    <t>SMS</t>
  </si>
  <si>
    <t>10.0.0.40</t>
  </si>
  <si>
    <t>10.0.0.41</t>
  </si>
  <si>
    <t>10.0.0.42</t>
  </si>
  <si>
    <t>10.0.0.56</t>
  </si>
  <si>
    <t>10.0.0.57</t>
  </si>
  <si>
    <t>10.0.0.58</t>
  </si>
  <si>
    <t>10.0.1.132</t>
  </si>
  <si>
    <t>10.0.1.133</t>
  </si>
  <si>
    <t>10.0.1.134</t>
  </si>
  <si>
    <t>10.0.1.148</t>
  </si>
  <si>
    <t>10.0.1.149</t>
  </si>
  <si>
    <t>10.0.1.150</t>
  </si>
  <si>
    <t>10.0.1.140</t>
  </si>
  <si>
    <t>10.0.1.141</t>
  </si>
  <si>
    <t>10.0.1.142</t>
  </si>
  <si>
    <t>10.1.1.0</t>
  </si>
  <si>
    <t>10.1.1.1</t>
  </si>
  <si>
    <t>10.1.1.2</t>
  </si>
  <si>
    <t>10.1.6.72</t>
  </si>
  <si>
    <t>10.1.6.73</t>
  </si>
  <si>
    <t>10.1.6.74</t>
  </si>
  <si>
    <t>10.1.6.68</t>
  </si>
  <si>
    <t>10.1.6.69</t>
  </si>
  <si>
    <t>10.1.6.70</t>
  </si>
  <si>
    <t>10.1.6.64</t>
  </si>
  <si>
    <t>10.1.6.65</t>
  </si>
  <si>
    <t>10.1.6.66</t>
  </si>
  <si>
    <t>10.1.6.76</t>
  </si>
  <si>
    <t>10.1.6.77</t>
  </si>
  <si>
    <t>10.1.6.78</t>
  </si>
  <si>
    <t>10.1.5.0</t>
  </si>
  <si>
    <t>10.1.5.1</t>
  </si>
  <si>
    <t>10.1.5.2</t>
  </si>
  <si>
    <t>10.1.5.4</t>
  </si>
  <si>
    <t>10.1.5.5</t>
  </si>
  <si>
    <t>10.1.5.6</t>
  </si>
  <si>
    <t>10.1.5.12</t>
  </si>
  <si>
    <t>10.1.5.13</t>
  </si>
  <si>
    <t>10.1.5.14</t>
  </si>
  <si>
    <t>10.1.5.16</t>
  </si>
  <si>
    <t>10.1.5.17</t>
  </si>
  <si>
    <t>10.1.5.18</t>
  </si>
  <si>
    <t>10.1.3.32</t>
  </si>
  <si>
    <t>10.1.3.33</t>
  </si>
  <si>
    <t>10.0.1.164</t>
  </si>
  <si>
    <t>10.0.1.165</t>
  </si>
  <si>
    <t>10.0.1.96</t>
  </si>
  <si>
    <t>10.0.1.97</t>
  </si>
  <si>
    <t>10.1.3.192</t>
  </si>
  <si>
    <t>10.1.3.193</t>
  </si>
  <si>
    <t>10.1.3.196</t>
  </si>
  <si>
    <t>10.1.3.197</t>
  </si>
  <si>
    <t>Atyrau CE1</t>
  </si>
  <si>
    <t>10.0.0.144</t>
  </si>
  <si>
    <t>10.0.0.145</t>
  </si>
  <si>
    <t>10.0.0.146</t>
  </si>
  <si>
    <t>10.0.0.148</t>
  </si>
  <si>
    <t>Karaganda CE1</t>
  </si>
  <si>
    <t>10.0.0.120</t>
  </si>
  <si>
    <t>10.0.0.124</t>
  </si>
  <si>
    <t>10.0.0.125</t>
  </si>
  <si>
    <t>10.0.0.128</t>
  </si>
  <si>
    <t>10.0.0.129</t>
  </si>
  <si>
    <t>10.0.1.32</t>
  </si>
  <si>
    <t>10.0.1.33</t>
  </si>
  <si>
    <t>10.0.1.20</t>
  </si>
  <si>
    <t>10.0.1.21</t>
  </si>
  <si>
    <t>10.0.0.64</t>
  </si>
  <si>
    <t>10.0.1.156</t>
  </si>
  <si>
    <t>10.0.1.157</t>
  </si>
  <si>
    <t>Kostanay CE1</t>
  </si>
  <si>
    <t>10.1.3.12</t>
  </si>
  <si>
    <t>10.1.3.13</t>
  </si>
  <si>
    <t>10.1.3.16</t>
  </si>
  <si>
    <t>10.1.3.0</t>
  </si>
  <si>
    <t>10.1.3.1</t>
  </si>
  <si>
    <t>10.1.3.4</t>
  </si>
  <si>
    <t>10.1.3.5</t>
  </si>
  <si>
    <t>10.1.6.100</t>
  </si>
  <si>
    <t>10.1.6.101</t>
  </si>
  <si>
    <t>10.1.6.104</t>
  </si>
  <si>
    <t>10.1.6.105</t>
  </si>
  <si>
    <t>10.1.6.108</t>
  </si>
  <si>
    <t>10.1.6.109</t>
  </si>
  <si>
    <t>10.1.6.96</t>
  </si>
  <si>
    <t>10.1.6.97</t>
  </si>
  <si>
    <t>Oskemen CE1</t>
  </si>
  <si>
    <t>10.0.1.40</t>
  </si>
  <si>
    <t>10.0.1.41</t>
  </si>
  <si>
    <t>10.0.1.28</t>
  </si>
  <si>
    <t>10.0.0.108</t>
  </si>
  <si>
    <t>10.0.0.109</t>
  </si>
  <si>
    <t>10.1.3.228</t>
  </si>
  <si>
    <t>10.1.3.229</t>
  </si>
  <si>
    <t>Pavlodar CE1</t>
  </si>
  <si>
    <t>10.0.1.24</t>
  </si>
  <si>
    <t>10.0.1.25</t>
  </si>
  <si>
    <t>10.0.0.76</t>
  </si>
  <si>
    <t>10.0.0.77</t>
  </si>
  <si>
    <t>10.1.2.212</t>
  </si>
  <si>
    <t>10.1.2.213</t>
  </si>
  <si>
    <t>10.0.1.92</t>
  </si>
  <si>
    <t>10.0.1.93</t>
  </si>
  <si>
    <t>10.0.1.36</t>
  </si>
  <si>
    <t>City</t>
  </si>
  <si>
    <t>Astana CE2</t>
  </si>
  <si>
    <t>10.0.0.32</t>
  </si>
  <si>
    <t>10.0.0.33</t>
  </si>
  <si>
    <t>10.0.0.34</t>
  </si>
  <si>
    <t>10.1.2.4</t>
  </si>
  <si>
    <t>10.1.2.5</t>
  </si>
  <si>
    <t>10.1.2.6</t>
  </si>
  <si>
    <t>10.1.2.20</t>
  </si>
  <si>
    <t>10.1.2.21</t>
  </si>
  <si>
    <t>10.1.2.22</t>
  </si>
  <si>
    <t>10.0.1.16</t>
  </si>
  <si>
    <t>10.0.1.17</t>
  </si>
  <si>
    <t>10.0.1.18</t>
  </si>
  <si>
    <t>AS KZT</t>
  </si>
  <si>
    <t>AS Kcell</t>
  </si>
  <si>
    <t>10.1.3.70</t>
  </si>
  <si>
    <t>10.1.3.69</t>
  </si>
  <si>
    <t>10.1.3.68</t>
  </si>
  <si>
    <t>ID</t>
  </si>
  <si>
    <t>10.1.4.17</t>
  </si>
  <si>
    <t>10.1.4.18</t>
  </si>
  <si>
    <t>10.1.4.16</t>
  </si>
  <si>
    <t>10.1.4.141</t>
  </si>
  <si>
    <t>10.1.4.142</t>
  </si>
  <si>
    <t>10.1.4.140</t>
  </si>
  <si>
    <t>10.1.4.77</t>
  </si>
  <si>
    <t>10.1.4.78</t>
  </si>
  <si>
    <t>10.1.4.76</t>
  </si>
  <si>
    <t>10.1.2.81</t>
  </si>
  <si>
    <t>10.1.2.82</t>
  </si>
  <si>
    <t>10.1.2.80</t>
  </si>
  <si>
    <t>10.1.2.77</t>
  </si>
  <si>
    <t>10.1.2.141</t>
  </si>
  <si>
    <t>10.1.2.142</t>
  </si>
  <si>
    <t>10.1.2.140</t>
  </si>
  <si>
    <t>10.1.2.76</t>
  </si>
  <si>
    <t>10.1.2.98</t>
  </si>
  <si>
    <t>10.1.2.97</t>
  </si>
  <si>
    <t>10.1.2.96</t>
  </si>
  <si>
    <t>10.1.2.162</t>
  </si>
  <si>
    <t>10.1.2.160</t>
  </si>
  <si>
    <t>10.1.2.161</t>
  </si>
  <si>
    <t>10.1.2.34</t>
  </si>
  <si>
    <t>10.1.2.32</t>
  </si>
  <si>
    <t>10.1.2.33</t>
  </si>
  <si>
    <t>10.1.2.26</t>
  </si>
  <si>
    <t>10.1.2.25</t>
  </si>
  <si>
    <t>10.1.2.24</t>
  </si>
  <si>
    <t>10.1.2.230</t>
  </si>
  <si>
    <t>10.1.2.229</t>
  </si>
  <si>
    <t>10.1.2.228</t>
  </si>
  <si>
    <t>10.1.2.38</t>
  </si>
  <si>
    <t>10.1.2.37</t>
  </si>
  <si>
    <t>10.1.2.36</t>
  </si>
  <si>
    <t>10.1.2.166</t>
  </si>
  <si>
    <t>10.1.2.165</t>
  </si>
  <si>
    <t>10.1.2.164</t>
  </si>
  <si>
    <t>CN</t>
  </si>
  <si>
    <t>10.1.2.105</t>
  </si>
  <si>
    <t>10.1.2.106</t>
  </si>
  <si>
    <t>10.1.2.104</t>
  </si>
  <si>
    <t>10.1.2.102</t>
  </si>
  <si>
    <t>10.1.2.101</t>
  </si>
  <si>
    <t>10.1.2.100</t>
  </si>
  <si>
    <t>10.1.2.48</t>
  </si>
  <si>
    <t>10.1.2.49</t>
  </si>
  <si>
    <t>10.1.3.220</t>
  </si>
  <si>
    <t>10.1.3.221</t>
  </si>
  <si>
    <t>10.1.3.241</t>
  </si>
  <si>
    <t>10.1.3.242</t>
  </si>
  <si>
    <t>10.1.3.240</t>
  </si>
  <si>
    <t>10.1.2.120</t>
  </si>
  <si>
    <t>10.1.2.124</t>
  </si>
  <si>
    <t>10.1.2.125</t>
  </si>
  <si>
    <t>10.1.2.126</t>
  </si>
  <si>
    <t>10.1.2.121</t>
  </si>
  <si>
    <t>10.1.2.122</t>
  </si>
  <si>
    <t>10.1.2.58</t>
  </si>
  <si>
    <t>10.1.2.56</t>
  </si>
  <si>
    <t>10.1.2.57</t>
  </si>
  <si>
    <t>10.1.3.45</t>
  </si>
  <si>
    <t>10.1.3.49</t>
  </si>
  <si>
    <t>10.1.3.46</t>
  </si>
  <si>
    <t>10.1.3.50</t>
  </si>
  <si>
    <t>10.1.3.44</t>
  </si>
  <si>
    <t>10.1.3.48</t>
  </si>
  <si>
    <t>Almaty CE2</t>
  </si>
  <si>
    <t>10.1.3.10</t>
  </si>
  <si>
    <t>10.1.3.9</t>
  </si>
  <si>
    <t>10.1.3.8</t>
  </si>
  <si>
    <t>10.1.1.9</t>
  </si>
  <si>
    <t>10.1.1.10</t>
  </si>
  <si>
    <t>10.1.1.8</t>
  </si>
  <si>
    <t>10.1.1.5</t>
  </si>
  <si>
    <t>10.1.1.6</t>
  </si>
  <si>
    <t>10.1.1.4</t>
  </si>
  <si>
    <t>10.1.3.97</t>
  </si>
  <si>
    <t>10.1.3.98</t>
  </si>
  <si>
    <t>10.1.3.96</t>
  </si>
  <si>
    <t>10.1.6.41</t>
  </si>
  <si>
    <t>10.1.6.40</t>
  </si>
  <si>
    <t>10.1.6.42</t>
  </si>
  <si>
    <t>10.1.6.80</t>
  </si>
  <si>
    <t>10.1.6.81</t>
  </si>
  <si>
    <t>10.1.6.82</t>
  </si>
  <si>
    <t>10.1.6.160</t>
  </si>
  <si>
    <t>10.1.6.161</t>
  </si>
  <si>
    <t>10.1.6.162</t>
  </si>
  <si>
    <t>MuB</t>
  </si>
  <si>
    <t>10.1.6.164</t>
  </si>
  <si>
    <t>10.1.6.165</t>
  </si>
  <si>
    <t>10.1.6.166</t>
  </si>
  <si>
    <t>10.1.6.168</t>
  </si>
  <si>
    <t>10.1.6.169</t>
  </si>
  <si>
    <t>10.1.6.170</t>
  </si>
  <si>
    <t>10.1.6.172</t>
  </si>
  <si>
    <t>10.1.6.173</t>
  </si>
  <si>
    <t>10.1.6.174</t>
  </si>
  <si>
    <t>10.1.1.32</t>
  </si>
  <si>
    <t>10.1.1.33</t>
  </si>
  <si>
    <t>10.1.1.34</t>
  </si>
  <si>
    <t>10.1.1.36</t>
  </si>
  <si>
    <t>10.1.1.37</t>
  </si>
  <si>
    <t>10.1.1.38</t>
  </si>
  <si>
    <t>10.1.6.112</t>
  </si>
  <si>
    <t>10.1.6.113</t>
  </si>
  <si>
    <t>10.1.6.114</t>
  </si>
  <si>
    <t>10.1.6.116</t>
  </si>
  <si>
    <t>10.1.6.117</t>
  </si>
  <si>
    <t>10.1.6.118</t>
  </si>
  <si>
    <t>10.1.6.128</t>
  </si>
  <si>
    <t>10.1.6.129</t>
  </si>
  <si>
    <t>10.1.6.130</t>
  </si>
  <si>
    <t>10.1.6.132</t>
  </si>
  <si>
    <t>10.1.6.133</t>
  </si>
  <si>
    <t>10.1.6.134</t>
  </si>
  <si>
    <t>10.1.6.136</t>
  </si>
  <si>
    <t>10.1.6.137</t>
  </si>
  <si>
    <t>10.1.6.138</t>
  </si>
  <si>
    <t>10.1.6.140</t>
  </si>
  <si>
    <t>10.1.6.141</t>
  </si>
  <si>
    <t>10.1.6.142</t>
  </si>
  <si>
    <t>10.1.0.48</t>
  </si>
  <si>
    <t>10.1.0.49</t>
  </si>
  <si>
    <t>10.1.0.50</t>
  </si>
  <si>
    <t>10.1.0.52</t>
  </si>
  <si>
    <t>10.1.0.53</t>
  </si>
  <si>
    <t>10.1.0.54</t>
  </si>
  <si>
    <t>10.1.0.65</t>
  </si>
  <si>
    <t>10.1.0.64</t>
  </si>
  <si>
    <t>10.1.0.66</t>
  </si>
  <si>
    <t>10.1.0.70</t>
  </si>
  <si>
    <t>10.1.0.69</t>
  </si>
  <si>
    <t>10.1.0.68</t>
  </si>
  <si>
    <t>10.1.1.17</t>
  </si>
  <si>
    <t>10.1.1.16</t>
  </si>
  <si>
    <t>10.1.1.18</t>
  </si>
  <si>
    <t>10.1.6.145</t>
  </si>
  <si>
    <t>10.1.6.149</t>
  </si>
  <si>
    <t>10.1.6.150</t>
  </si>
  <si>
    <t>10.1.6.148</t>
  </si>
  <si>
    <t>10.1.6.144</t>
  </si>
  <si>
    <t>10.1.6.146</t>
  </si>
  <si>
    <t>10.1.6.153</t>
  </si>
  <si>
    <t>10.1.6.154</t>
  </si>
  <si>
    <t>10.1.6.152</t>
  </si>
  <si>
    <t>10.1.6.157</t>
  </si>
  <si>
    <t>10.1.6.158</t>
  </si>
  <si>
    <t>10.1.6.156</t>
  </si>
  <si>
    <t>10.1.0.73</t>
  </si>
  <si>
    <t>10.1.0.74</t>
  </si>
  <si>
    <t>10.1.0.72</t>
  </si>
  <si>
    <t>10.1.0.77</t>
  </si>
  <si>
    <t>10.1.0.78</t>
  </si>
  <si>
    <t>10.1.0.76</t>
  </si>
  <si>
    <t>10.1.4.98</t>
  </si>
  <si>
    <t>10.1.4.97</t>
  </si>
  <si>
    <t>10.1.4.96</t>
  </si>
  <si>
    <t>10.1.6.86</t>
  </si>
  <si>
    <t>10.1.6.85</t>
  </si>
  <si>
    <t>10.1.6.84</t>
  </si>
  <si>
    <t>10.1.1.22</t>
  </si>
  <si>
    <t>10.1.1.21</t>
  </si>
  <si>
    <t>10.1.1.20</t>
  </si>
  <si>
    <t>10.1.2.246</t>
  </si>
  <si>
    <t>10.1.2.244</t>
  </si>
  <si>
    <t>10.1.2.18</t>
  </si>
  <si>
    <t>10.1.2.16</t>
  </si>
  <si>
    <t>10.1.2.17</t>
  </si>
  <si>
    <t>10.1.4.82</t>
  </si>
  <si>
    <t>10.1.4.80</t>
  </si>
  <si>
    <t>10.1.4.81</t>
  </si>
  <si>
    <t>10.1.4.109</t>
  </si>
  <si>
    <t>10.1.4.110</t>
  </si>
  <si>
    <t>10.1.4.108</t>
  </si>
  <si>
    <t>10.1.3.204</t>
  </si>
  <si>
    <t>10.1.3.205</t>
  </si>
  <si>
    <t>10.1.3.206</t>
  </si>
  <si>
    <t>10.1.3.208</t>
  </si>
  <si>
    <t>10.1.3.209</t>
  </si>
  <si>
    <t>10.1.3.210</t>
  </si>
  <si>
    <t>10.1.3.134</t>
  </si>
  <si>
    <t>10.1.3.133</t>
  </si>
  <si>
    <t>10.1.3.132</t>
  </si>
  <si>
    <t>10.1.0.82</t>
  </si>
  <si>
    <t>10.1.0.81</t>
  </si>
  <si>
    <t>10.1.0.80</t>
  </si>
  <si>
    <t>10.1.0.86</t>
  </si>
  <si>
    <t>10.1.0.85</t>
  </si>
  <si>
    <t>10.1.0.84</t>
  </si>
  <si>
    <t>10.1.1.41</t>
  </si>
  <si>
    <t>10.1.1.42</t>
  </si>
  <si>
    <t>10.1.1.40</t>
  </si>
  <si>
    <t>10.1.1.45</t>
  </si>
  <si>
    <t>10.1.1.46</t>
  </si>
  <si>
    <t>10.1.1.44</t>
  </si>
  <si>
    <t>10.1.2.253</t>
  </si>
  <si>
    <t>10.1.2.254</t>
  </si>
  <si>
    <t>10.1.2.252</t>
  </si>
  <si>
    <t>Semey CE1</t>
  </si>
  <si>
    <t>Shymkent CE1</t>
  </si>
  <si>
    <t>Taraz CE1</t>
  </si>
  <si>
    <t>Uralsk CE1</t>
  </si>
  <si>
    <t>Zhetisay CE1</t>
  </si>
  <si>
    <t>10.1.3.118</t>
  </si>
  <si>
    <t>10.1.3.117</t>
  </si>
  <si>
    <t>10.1.3.116</t>
  </si>
  <si>
    <t>10.1.4.122</t>
  </si>
  <si>
    <t>10.1.4.121</t>
  </si>
  <si>
    <t>10.1.4.120</t>
  </si>
  <si>
    <t>AS TNS+</t>
  </si>
  <si>
    <t>10.1.8.4</t>
  </si>
  <si>
    <t>10.1.8.5</t>
  </si>
  <si>
    <t>10.1.8.6</t>
  </si>
  <si>
    <t>10.1.8.0</t>
  </si>
  <si>
    <t>10.1.8.1</t>
  </si>
  <si>
    <t>10.1.8.2</t>
  </si>
  <si>
    <t>10.1.10.4</t>
  </si>
  <si>
    <t>10.1.10.5</t>
  </si>
  <si>
    <t>10.1.10.6</t>
  </si>
  <si>
    <t>10.1.10.0</t>
  </si>
  <si>
    <t>10.1.10.1</t>
  </si>
  <si>
    <t>10.1.10.2</t>
  </si>
  <si>
    <t>Atyrau CE2</t>
  </si>
  <si>
    <t>10.1.12.4</t>
  </si>
  <si>
    <t>10.1.12.5</t>
  </si>
  <si>
    <t>10.1.12.6</t>
  </si>
  <si>
    <t>10.1.12.0</t>
  </si>
  <si>
    <t>10.1.12.1</t>
  </si>
  <si>
    <t>10.1.12.2</t>
  </si>
  <si>
    <t>10.1.10.36</t>
  </si>
  <si>
    <t>10.1.10.37</t>
  </si>
  <si>
    <t>10.1.10.38</t>
  </si>
  <si>
    <t>10.1.10.32</t>
  </si>
  <si>
    <t>10.1.10.33</t>
  </si>
  <si>
    <t>10.1.10.34</t>
  </si>
  <si>
    <t>Kyzylorda CE2</t>
  </si>
  <si>
    <t>10.1.14.36</t>
  </si>
  <si>
    <t>10.1.14.37</t>
  </si>
  <si>
    <t>10.1.14.38</t>
  </si>
  <si>
    <t>Pavlodar CE2</t>
  </si>
  <si>
    <t>10.1.10.68</t>
  </si>
  <si>
    <t>10.1.10.69</t>
  </si>
  <si>
    <t>10.1.10.70</t>
  </si>
  <si>
    <t>10.1.10.64</t>
  </si>
  <si>
    <t>10.1.10.65</t>
  </si>
  <si>
    <t>10.1.10.66</t>
  </si>
  <si>
    <t>Shymkent CE2</t>
  </si>
  <si>
    <t>10.1.14.4</t>
  </si>
  <si>
    <t>10.1.14.5</t>
  </si>
  <si>
    <t>10.1.14.0</t>
  </si>
  <si>
    <t>10.1.14.1</t>
  </si>
  <si>
    <t>10.1.14.2</t>
  </si>
  <si>
    <t>Uralsk CE2</t>
  </si>
  <si>
    <t>10.1.12.36</t>
  </si>
  <si>
    <t>10.1.12.37</t>
  </si>
  <si>
    <t>10.1.12.38</t>
  </si>
  <si>
    <t>10.1.12.32</t>
  </si>
  <si>
    <t>10.1.12.33</t>
  </si>
  <si>
    <t>10.1.12.34</t>
  </si>
  <si>
    <t>Astana CE1</t>
  </si>
  <si>
    <t>10.1.2.192</t>
  </si>
  <si>
    <t>10.1.2.196</t>
  </si>
  <si>
    <t>10.1.2.193</t>
  </si>
  <si>
    <t>10.1.2.194</t>
  </si>
  <si>
    <t>10.1.2.197</t>
  </si>
  <si>
    <t>10.1.2.198</t>
  </si>
  <si>
    <t>Almaty</t>
  </si>
  <si>
    <t>Taraz</t>
  </si>
  <si>
    <t>Aktau</t>
  </si>
  <si>
    <t>KyzylOrda</t>
  </si>
  <si>
    <t>Kokchetav</t>
  </si>
  <si>
    <t>Astana</t>
  </si>
  <si>
    <t>Oskemen</t>
  </si>
  <si>
    <t>Kostanay</t>
  </si>
  <si>
    <t>Karaganda</t>
  </si>
  <si>
    <t>10.1.4.160</t>
  </si>
  <si>
    <t>10.1.4.161</t>
  </si>
  <si>
    <t>10.1.4.162</t>
  </si>
  <si>
    <t>Aktobe</t>
  </si>
  <si>
    <t>10.1.4.168</t>
  </si>
  <si>
    <t>10.1.4.169</t>
  </si>
  <si>
    <t>10.1.4.170</t>
  </si>
  <si>
    <t>10.1.4.145</t>
  </si>
  <si>
    <t>10.1.4.146</t>
  </si>
  <si>
    <t>10.1.4.144</t>
  </si>
  <si>
    <t>10.1.2.84</t>
  </si>
  <si>
    <t>10.1.2.85</t>
  </si>
  <si>
    <t>10.1.2.86</t>
  </si>
  <si>
    <t>Oskemen CE2</t>
  </si>
  <si>
    <t>10.1.10.160</t>
  </si>
  <si>
    <t>10.1.10.161</t>
  </si>
  <si>
    <t>10.1.10.162</t>
  </si>
  <si>
    <t>10.1.10.96</t>
  </si>
  <si>
    <t>10.1.10.97</t>
  </si>
  <si>
    <t>10.1.10.98</t>
  </si>
  <si>
    <t>10.1.3.244</t>
  </si>
  <si>
    <t>10.1.3.245</t>
  </si>
  <si>
    <t>10.1.3.246</t>
  </si>
  <si>
    <t>10.1.3.144</t>
  </si>
  <si>
    <t>10.1.3.145</t>
  </si>
  <si>
    <t>10.1.3.146</t>
  </si>
  <si>
    <t>10.1.15.4</t>
  </si>
  <si>
    <t>10.1.15.5</t>
  </si>
  <si>
    <t>10.1.15.6</t>
  </si>
  <si>
    <t>Semey CE2</t>
  </si>
  <si>
    <t>10.1.10.193</t>
  </si>
  <si>
    <t>10.1.10.192</t>
  </si>
  <si>
    <t>10.1.10.194</t>
  </si>
  <si>
    <t>10.1.3.136</t>
  </si>
  <si>
    <t>10.1.3.137</t>
  </si>
  <si>
    <t>10.1.3.138</t>
  </si>
  <si>
    <t>Aktobe CE2</t>
  </si>
  <si>
    <t>10.1.12.65</t>
  </si>
  <si>
    <t>10.1.12.66</t>
  </si>
  <si>
    <t>10.1.12.64</t>
  </si>
  <si>
    <t>10.1.4.172</t>
  </si>
  <si>
    <t>10.1.4.173</t>
  </si>
  <si>
    <t>10.1.4.176</t>
  </si>
  <si>
    <t>10.1.4.177</t>
  </si>
  <si>
    <t>10.1.4.178</t>
  </si>
  <si>
    <t>10.1.1.49</t>
  </si>
  <si>
    <t>10.1.1.50</t>
  </si>
  <si>
    <t>10.1.1.48</t>
  </si>
  <si>
    <t>10.1.1.53</t>
  </si>
  <si>
    <t>10.1.1.52</t>
  </si>
  <si>
    <t>10.1.1.54</t>
  </si>
  <si>
    <t>10.1.0.106</t>
  </si>
  <si>
    <t>10.1.0.104</t>
  </si>
  <si>
    <t>10.1.0.105</t>
  </si>
  <si>
    <t>10.1.0.110</t>
  </si>
  <si>
    <t>10.1.0.108</t>
  </si>
  <si>
    <t>10.1.0.109</t>
  </si>
  <si>
    <t>10.1.1.57</t>
  </si>
  <si>
    <t>10.1.1.58</t>
  </si>
  <si>
    <t>10.1.1.56</t>
  </si>
  <si>
    <t>10.1.1.61</t>
  </si>
  <si>
    <t>10.1.1.62</t>
  </si>
  <si>
    <t>10.1.1.60</t>
  </si>
  <si>
    <t>Karaganda  CE2</t>
  </si>
  <si>
    <t>10.1.10.225</t>
  </si>
  <si>
    <t>10.1.10.226</t>
  </si>
  <si>
    <t>10.1.10.224</t>
  </si>
  <si>
    <t>10.1.3.108</t>
  </si>
  <si>
    <t>10.1.3.109</t>
  </si>
  <si>
    <t>10.1.3.110</t>
  </si>
  <si>
    <t>10.1.3.150</t>
  </si>
  <si>
    <t>10.1.3.148</t>
  </si>
  <si>
    <t>10.1.3.149</t>
  </si>
  <si>
    <t>10.1.10.128</t>
  </si>
  <si>
    <t>10.1.10.129</t>
  </si>
  <si>
    <t>10.1.10.130</t>
  </si>
  <si>
    <t>10.1.6.186</t>
  </si>
  <si>
    <t>10.1.6.184</t>
  </si>
  <si>
    <t>10.1.6.185</t>
  </si>
  <si>
    <t>10.1.6.202</t>
  </si>
  <si>
    <t>10.1.6.206</t>
  </si>
  <si>
    <t>10.1.6.200</t>
  </si>
  <si>
    <t>10.1.6.201</t>
  </si>
  <si>
    <t>10.1.6.204</t>
  </si>
  <si>
    <t>10.1.6.205</t>
  </si>
  <si>
    <t>Shymkent</t>
  </si>
  <si>
    <t>10.1.6.194</t>
  </si>
  <si>
    <t>10.1.6.198</t>
  </si>
  <si>
    <t>10.1.6.192</t>
  </si>
  <si>
    <t>10.1.6.193</t>
  </si>
  <si>
    <t>10.1.6.196</t>
  </si>
  <si>
    <t>10.1.6.197</t>
  </si>
  <si>
    <t>Kazalinsk - Kyzylorda</t>
  </si>
  <si>
    <t>10.1.3.154</t>
  </si>
  <si>
    <t>10.1.3.153</t>
  </si>
  <si>
    <t>10.1.3.152</t>
  </si>
  <si>
    <t>10.1.2.114</t>
  </si>
  <si>
    <t>10.1.2.112</t>
  </si>
  <si>
    <t>10.1.2.113</t>
  </si>
  <si>
    <t>10.1.2.110</t>
  </si>
  <si>
    <t>10.1.2.108</t>
  </si>
  <si>
    <t>10.1.2.109</t>
  </si>
  <si>
    <t>10.1.6.22</t>
  </si>
  <si>
    <t>10.1.6.20</t>
  </si>
  <si>
    <t>10.1.6.21</t>
  </si>
  <si>
    <t>10.1.1.73</t>
  </si>
  <si>
    <t>10.1.1.77</t>
  </si>
  <si>
    <t>10.1.1.74</t>
  </si>
  <si>
    <t>10.1.1.78</t>
  </si>
  <si>
    <t>10.1.1.72</t>
  </si>
  <si>
    <t>10.1.1.76</t>
  </si>
  <si>
    <t>10.1.4.180</t>
  </si>
  <si>
    <t>10.1.4.181</t>
  </si>
  <si>
    <t>10.1.1.84</t>
  </si>
  <si>
    <t>10.1.1.85</t>
  </si>
  <si>
    <t>10.1.1.86</t>
  </si>
  <si>
    <t>10.1.1.92</t>
  </si>
  <si>
    <t>10.1.1.93</t>
  </si>
  <si>
    <t>10.1.1.94</t>
  </si>
  <si>
    <t>10.1.1.88</t>
  </si>
  <si>
    <t>10.1.1.89</t>
  </si>
  <si>
    <t>10.1.1.90</t>
  </si>
  <si>
    <t>10.1.0.60</t>
  </si>
  <si>
    <t>10.1.0.61</t>
  </si>
  <si>
    <t>10.1.0.62</t>
  </si>
  <si>
    <t>10.1.3.156</t>
  </si>
  <si>
    <t>10.1.3.157</t>
  </si>
  <si>
    <t>10.1.3.158</t>
  </si>
  <si>
    <t>10.1.3.160</t>
  </si>
  <si>
    <t>10.1.3.161</t>
  </si>
  <si>
    <t>10.1.3.162</t>
  </si>
  <si>
    <t>10.1.3.120</t>
  </si>
  <si>
    <t>10.1.3.121</t>
  </si>
  <si>
    <t>10.1.3.122</t>
  </si>
  <si>
    <t>10.1.3.124</t>
  </si>
  <si>
    <t>10.1.3.125</t>
  </si>
  <si>
    <t>10.1.3.126</t>
  </si>
  <si>
    <t>Pavlodar</t>
  </si>
  <si>
    <t>10.1.0.114</t>
  </si>
  <si>
    <t>10.1.0.118</t>
  </si>
  <si>
    <t>10.1.0.112</t>
  </si>
  <si>
    <t>10.1.0.113</t>
  </si>
  <si>
    <t>10.1.0.116</t>
  </si>
  <si>
    <t>10.1.0.117</t>
  </si>
  <si>
    <t>Ekibastuz CE1</t>
  </si>
  <si>
    <t>Temirtau CE1</t>
  </si>
  <si>
    <t>Kokshetau CE2</t>
  </si>
  <si>
    <t>Kokshetau CE1</t>
  </si>
  <si>
    <t>10.1.3.170</t>
  </si>
  <si>
    <t>10.1.3.168</t>
  </si>
  <si>
    <t>10.1.3.169</t>
  </si>
  <si>
    <t>10.1.3.140</t>
  </si>
  <si>
    <t>10.1.3.141</t>
  </si>
  <si>
    <t>10.1.3.142</t>
  </si>
  <si>
    <t>10.1.3.172</t>
  </si>
  <si>
    <t>10.1.3.173</t>
  </si>
  <si>
    <t>10.1.3.174</t>
  </si>
  <si>
    <t>10.1.3.164</t>
  </si>
  <si>
    <t>10.1.3.165</t>
  </si>
  <si>
    <t>10.1.3.166</t>
  </si>
  <si>
    <t>ABIS</t>
  </si>
  <si>
    <t>10.1.1.98</t>
  </si>
  <si>
    <t>10.1.1.96</t>
  </si>
  <si>
    <t>10.1.1.97</t>
  </si>
  <si>
    <t>10.1.1.102</t>
  </si>
  <si>
    <t>10.1.1.100</t>
  </si>
  <si>
    <t>10.1.1.101</t>
  </si>
  <si>
    <t>10.1.3.176</t>
  </si>
  <si>
    <t>10.1.3.177</t>
  </si>
  <si>
    <t>10.1.3.178</t>
  </si>
  <si>
    <t>AS KTC</t>
  </si>
  <si>
    <t>10.1.0.136</t>
  </si>
  <si>
    <t>10.1.0.137</t>
  </si>
  <si>
    <t>10.1.0.138</t>
  </si>
  <si>
    <t>10.1.0.140</t>
  </si>
  <si>
    <t>10.1.0.141</t>
  </si>
  <si>
    <t>10.1.0.142</t>
  </si>
  <si>
    <t>10.1.3.186</t>
  </si>
  <si>
    <t>10.1.3.182</t>
  </si>
  <si>
    <t>10.1.3.180</t>
  </si>
  <si>
    <t>10.1.3.181</t>
  </si>
  <si>
    <t>10.1.3.184</t>
  </si>
  <si>
    <t>10.1.3.185</t>
  </si>
  <si>
    <t>Zhanaozen CE1</t>
  </si>
  <si>
    <t>10.1.4.22</t>
  </si>
  <si>
    <t>10.1.4.26</t>
  </si>
  <si>
    <t>10.1.4.21</t>
  </si>
  <si>
    <t>10.1.4.25</t>
  </si>
  <si>
    <t>10.1.3.112</t>
  </si>
  <si>
    <t>10.1.3.113</t>
  </si>
  <si>
    <t>10.1.3.114</t>
  </si>
  <si>
    <t>10.1.3.212</t>
  </si>
  <si>
    <t>10.1.3.213</t>
  </si>
  <si>
    <t>10.1.3.214</t>
  </si>
  <si>
    <t>10.1.3.216</t>
  </si>
  <si>
    <t>10.1.3.217</t>
  </si>
  <si>
    <t>10.1.3.218</t>
  </si>
  <si>
    <t>10.1.3.248</t>
  </si>
  <si>
    <t>10.1.3.249</t>
  </si>
  <si>
    <t>10.1.3.250</t>
  </si>
  <si>
    <t>10.1.3.252</t>
  </si>
  <si>
    <t>10.1.3.253</t>
  </si>
  <si>
    <t>10.1.3.254</t>
  </si>
  <si>
    <t>10.1.3.188</t>
  </si>
  <si>
    <t>10.1.3.189</t>
  </si>
  <si>
    <t>10.1.3.190</t>
  </si>
  <si>
    <t>10.1.4.106</t>
  </si>
  <si>
    <t>10.1.4.105</t>
  </si>
  <si>
    <t>10.1.4.104</t>
  </si>
  <si>
    <t>10.1.6.217</t>
  </si>
  <si>
    <t>10.1.6.218</t>
  </si>
  <si>
    <t>10.1.6.216</t>
  </si>
  <si>
    <t>10.1.2.232</t>
  </si>
  <si>
    <t>10.1.2.236</t>
  </si>
  <si>
    <t>10.1.4.184</t>
  </si>
  <si>
    <t>10.1.4.185</t>
  </si>
  <si>
    <t>10.1.4.186</t>
  </si>
  <si>
    <t>Atyrau</t>
  </si>
  <si>
    <t>10.1.2.237</t>
  </si>
  <si>
    <t>10.1.2.238</t>
  </si>
  <si>
    <t>10.1.2.233</t>
  </si>
  <si>
    <t>10.1.2.234</t>
  </si>
  <si>
    <t>10.1.4.28</t>
  </si>
  <si>
    <t>10.1.4.29</t>
  </si>
  <si>
    <t>10.1.4.30</t>
  </si>
  <si>
    <t>10.1.1.64</t>
  </si>
  <si>
    <t>10.1.1.68</t>
  </si>
  <si>
    <t>10.1.1.65</t>
  </si>
  <si>
    <t>10.1.1.66</t>
  </si>
  <si>
    <t>10.1.1.69</t>
  </si>
  <si>
    <t>10.1.1.70</t>
  </si>
  <si>
    <t>VPN0001</t>
  </si>
  <si>
    <t>VPN0003</t>
  </si>
  <si>
    <t>VPN0005</t>
  </si>
  <si>
    <t>VPN0007</t>
  </si>
  <si>
    <t>VPN0008</t>
  </si>
  <si>
    <t>VPN0009</t>
  </si>
  <si>
    <t>VPN0010</t>
  </si>
  <si>
    <t>VPN0012</t>
  </si>
  <si>
    <t>VPN0013</t>
  </si>
  <si>
    <t>VPN0014</t>
  </si>
  <si>
    <t>VPN0015</t>
  </si>
  <si>
    <t>VPN0016</t>
  </si>
  <si>
    <t>VPN0021</t>
  </si>
  <si>
    <t>VPN0022</t>
  </si>
  <si>
    <t>VPN0023</t>
  </si>
  <si>
    <t>VPN0024</t>
  </si>
  <si>
    <t>VPN0025</t>
  </si>
  <si>
    <t>VPN0026</t>
  </si>
  <si>
    <t>VPN0027</t>
  </si>
  <si>
    <t>VPN0028</t>
  </si>
  <si>
    <t>VPN0029</t>
  </si>
  <si>
    <t>VPN0030</t>
  </si>
  <si>
    <t>VPN0031</t>
  </si>
  <si>
    <t>VPN0032</t>
  </si>
  <si>
    <t>VPN0033</t>
  </si>
  <si>
    <t>VPN0034</t>
  </si>
  <si>
    <t>VPN0059</t>
  </si>
  <si>
    <t>VPN0060</t>
  </si>
  <si>
    <t>VPN0084</t>
  </si>
  <si>
    <t>VPN0085</t>
  </si>
  <si>
    <t>VPN0086</t>
  </si>
  <si>
    <t>VPN0087</t>
  </si>
  <si>
    <t>VPN0088</t>
  </si>
  <si>
    <t>VPN0089</t>
  </si>
  <si>
    <t>VPN0094</t>
  </si>
  <si>
    <t>VPN0095</t>
  </si>
  <si>
    <t>VPN0096</t>
  </si>
  <si>
    <t>VPN0097</t>
  </si>
  <si>
    <t>VPN0098</t>
  </si>
  <si>
    <t>VPN0101</t>
  </si>
  <si>
    <t>VPN0102</t>
  </si>
  <si>
    <t>VPN0103</t>
  </si>
  <si>
    <t>VPN0104</t>
  </si>
  <si>
    <t>VPN0105</t>
  </si>
  <si>
    <t>VPN0106</t>
  </si>
  <si>
    <t>VPN0107</t>
  </si>
  <si>
    <t>VPN0108</t>
  </si>
  <si>
    <t>VPN0109</t>
  </si>
  <si>
    <t>VPN0110</t>
  </si>
  <si>
    <t>VPN0111</t>
  </si>
  <si>
    <t>VPN0122</t>
  </si>
  <si>
    <t>VPN0123</t>
  </si>
  <si>
    <t>VPN0124</t>
  </si>
  <si>
    <t>VPN0125</t>
  </si>
  <si>
    <t>VPN0126</t>
  </si>
  <si>
    <t>VPN0127</t>
  </si>
  <si>
    <t>VPN0128</t>
  </si>
  <si>
    <t>VPN0129</t>
  </si>
  <si>
    <t>VPN0130</t>
  </si>
  <si>
    <t>VPN0131</t>
  </si>
  <si>
    <t>VPN0141</t>
  </si>
  <si>
    <t>VPN0142</t>
  </si>
  <si>
    <t>VPN0143</t>
  </si>
  <si>
    <t>VPN0144</t>
  </si>
  <si>
    <t>VPN0145</t>
  </si>
  <si>
    <t>VPN0150</t>
  </si>
  <si>
    <t>VPN0151</t>
  </si>
  <si>
    <t>VPN0152</t>
  </si>
  <si>
    <t>VPN0153</t>
  </si>
  <si>
    <t>VPN0154</t>
  </si>
  <si>
    <t>VPN0155</t>
  </si>
  <si>
    <t>VPN0156</t>
  </si>
  <si>
    <t>VPN0157</t>
  </si>
  <si>
    <t>VPN0158</t>
  </si>
  <si>
    <t>VPN0159</t>
  </si>
  <si>
    <t>VPN0160</t>
  </si>
  <si>
    <t>VPN0161</t>
  </si>
  <si>
    <t>VPN0163</t>
  </si>
  <si>
    <t>VPN0164</t>
  </si>
  <si>
    <t>VPN0165</t>
  </si>
  <si>
    <t>VPN0166</t>
  </si>
  <si>
    <t>VPN0167</t>
  </si>
  <si>
    <t>VPN0173</t>
  </si>
  <si>
    <t>VPN0174</t>
  </si>
  <si>
    <t>VPN0175</t>
  </si>
  <si>
    <t>VPN0176</t>
  </si>
  <si>
    <t>VPN0177</t>
  </si>
  <si>
    <t>VPN0178</t>
  </si>
  <si>
    <t>VPN0179</t>
  </si>
  <si>
    <t>VPN0180</t>
  </si>
  <si>
    <t>VPN0181</t>
  </si>
  <si>
    <t>VPN0182</t>
  </si>
  <si>
    <t>VPN0196</t>
  </si>
  <si>
    <t>VPN0197</t>
  </si>
  <si>
    <t>VPN0198</t>
  </si>
  <si>
    <t>VPN0199</t>
  </si>
  <si>
    <t>VPN0200</t>
  </si>
  <si>
    <t>VPN0201</t>
  </si>
  <si>
    <t>VPN0216</t>
  </si>
  <si>
    <t>CP</t>
  </si>
  <si>
    <t>10.1.4.32</t>
  </si>
  <si>
    <t>10.1.4.33</t>
  </si>
  <si>
    <t>10.1.4.34</t>
  </si>
  <si>
    <t> 2203</t>
  </si>
  <si>
    <t>10.1.4.36</t>
  </si>
  <si>
    <t>10.1.4.37</t>
  </si>
  <si>
    <t>10.1.4.38</t>
  </si>
  <si>
    <t> 2204</t>
  </si>
  <si>
    <t> 29355 </t>
  </si>
  <si>
    <t>10.1.4.20</t>
  </si>
  <si>
    <t>10.1.4.24</t>
  </si>
  <si>
    <t>VPN0017</t>
  </si>
  <si>
    <t>VPN0018</t>
  </si>
  <si>
    <t>VPN0037</t>
  </si>
  <si>
    <t>VPN0038</t>
  </si>
  <si>
    <t>VPN0039</t>
  </si>
  <si>
    <t>VPN0042</t>
  </si>
  <si>
    <t>VPN0019</t>
  </si>
  <si>
    <t>VPN0020</t>
  </si>
  <si>
    <t>VPN0041</t>
  </si>
  <si>
    <t>VPN0040</t>
  </si>
  <si>
    <t>VPN0043</t>
  </si>
  <si>
    <t>VPN0044</t>
  </si>
  <si>
    <t>VPN0047</t>
  </si>
  <si>
    <t>VPN0209</t>
  </si>
  <si>
    <t>VPN0210</t>
  </si>
  <si>
    <t>VPN0207</t>
  </si>
  <si>
    <t>VPN0208</t>
  </si>
  <si>
    <t>VPN0048</t>
  </si>
  <si>
    <t>VPN0049</t>
  </si>
  <si>
    <t>VPN0051</t>
  </si>
  <si>
    <t>VPN0052</t>
  </si>
  <si>
    <t>VPN0050</t>
  </si>
  <si>
    <t>VPN0192</t>
  </si>
  <si>
    <t>VPN0079</t>
  </si>
  <si>
    <t>VPN0078</t>
  </si>
  <si>
    <t>VPN0081</t>
  </si>
  <si>
    <t>VPN0080</t>
  </si>
  <si>
    <t>VPN0112</t>
  </si>
  <si>
    <t>VPN0082</t>
  </si>
  <si>
    <t>VPN0083</t>
  </si>
  <si>
    <t>VPN0091</t>
  </si>
  <si>
    <t>VPN0092</t>
  </si>
  <si>
    <t>VPN0093</t>
  </si>
  <si>
    <t>VPN0099</t>
  </si>
  <si>
    <t>VPN0100</t>
  </si>
  <si>
    <t>VPN0113</t>
  </si>
  <si>
    <t>VPN0114</t>
  </si>
  <si>
    <t>VPN0117</t>
  </si>
  <si>
    <t>VPN0115</t>
  </si>
  <si>
    <t>VPN0116</t>
  </si>
  <si>
    <t>VPN0119</t>
  </si>
  <si>
    <t>VPN0118</t>
  </si>
  <si>
    <t>VPN0120</t>
  </si>
  <si>
    <t>VPN0121</t>
  </si>
  <si>
    <t>VPN0133</t>
  </si>
  <si>
    <t>VPN0132</t>
  </si>
  <si>
    <t>VPN0134</t>
  </si>
  <si>
    <t>VPN0135</t>
  </si>
  <si>
    <t>VPN0140</t>
  </si>
  <si>
    <t>VPN0138</t>
  </si>
  <si>
    <t>VPN0139</t>
  </si>
  <si>
    <t>VPN0136</t>
  </si>
  <si>
    <t>VPN0137</t>
  </si>
  <si>
    <t>VPN0147</t>
  </si>
  <si>
    <t>VPN0146</t>
  </si>
  <si>
    <t>VPN0193</t>
  </si>
  <si>
    <t>VPN0195</t>
  </si>
  <si>
    <t>VPN0194</t>
  </si>
  <si>
    <t>VPN0204</t>
  </si>
  <si>
    <t>VPN0202</t>
  </si>
  <si>
    <t>VPN0203</t>
  </si>
  <si>
    <t>VPN0206</t>
  </si>
  <si>
    <t>VPN0205</t>
  </si>
  <si>
    <t>VPN0211</t>
  </si>
  <si>
    <t>VPN0212</t>
  </si>
  <si>
    <t>VPN0148</t>
  </si>
  <si>
    <t>VPN0149</t>
  </si>
  <si>
    <t>VPN0168</t>
  </si>
  <si>
    <t>VPN0162</t>
  </si>
  <si>
    <t>VPN0171</t>
  </si>
  <si>
    <t>VPN0172</t>
  </si>
  <si>
    <t>VPN0169</t>
  </si>
  <si>
    <t>VPN0170</t>
  </si>
  <si>
    <t>VPN0185</t>
  </si>
  <si>
    <t>VPN0183</t>
  </si>
  <si>
    <t>VPN0184</t>
  </si>
  <si>
    <t>VPN0186</t>
  </si>
  <si>
    <t>VPN0187</t>
  </si>
  <si>
    <t>VPN0190</t>
  </si>
  <si>
    <t>VPN0191</t>
  </si>
  <si>
    <t>VPN0188</t>
  </si>
  <si>
    <t>VPN0189</t>
  </si>
  <si>
    <t>VPN0075</t>
  </si>
  <si>
    <t>VPN0074</t>
  </si>
  <si>
    <t>VPN0053</t>
  </si>
  <si>
    <t>VPN0054</t>
  </si>
  <si>
    <t>VPN0057</t>
  </si>
  <si>
    <t>VPN0058</t>
  </si>
  <si>
    <t>VPN0071</t>
  </si>
  <si>
    <t>VPN0063</t>
  </si>
  <si>
    <t>VPN0064</t>
  </si>
  <si>
    <t>VPN0069</t>
  </si>
  <si>
    <t>VPN0070</t>
  </si>
  <si>
    <t>VPN0066</t>
  </si>
  <si>
    <t>VPN0067</t>
  </si>
  <si>
    <t>VPN0065</t>
  </si>
  <si>
    <t>VPN0055</t>
  </si>
  <si>
    <t>VPN0056</t>
  </si>
  <si>
    <t>VPN0077</t>
  </si>
  <si>
    <t>VPN0076</t>
  </si>
  <si>
    <t>IUB</t>
  </si>
  <si>
    <t>CP_ZHAN</t>
  </si>
  <si>
    <t>RAN_ZHAN</t>
  </si>
  <si>
    <t>GB_ZHAN</t>
  </si>
  <si>
    <t>IUB_ZHAN</t>
  </si>
  <si>
    <t>BEYNEU</t>
  </si>
  <si>
    <t>SHETPE</t>
  </si>
  <si>
    <t>AKTAU</t>
  </si>
  <si>
    <t>AKTOBE</t>
  </si>
  <si>
    <t>CN+</t>
  </si>
  <si>
    <t>RAN+</t>
  </si>
  <si>
    <t>ALGA</t>
  </si>
  <si>
    <t>HROMTAU</t>
  </si>
  <si>
    <t>KANDYGASH</t>
  </si>
  <si>
    <t>SHALKAR</t>
  </si>
  <si>
    <t>ZHANAZHOL</t>
  </si>
  <si>
    <t>ALMATY</t>
  </si>
  <si>
    <t>SMS+</t>
  </si>
  <si>
    <t>CHILIK</t>
  </si>
  <si>
    <t>CHUNGA</t>
  </si>
  <si>
    <t>KAPCHAGAY</t>
  </si>
  <si>
    <t>KEGEN</t>
  </si>
  <si>
    <t>KORDAI</t>
  </si>
  <si>
    <t>UZUNAGASH</t>
  </si>
  <si>
    <t>ZHARKENT</t>
  </si>
  <si>
    <t>ASTANA</t>
  </si>
  <si>
    <t>AKKOL</t>
  </si>
  <si>
    <t>ERMENTAU</t>
  </si>
  <si>
    <t>MAKINSK</t>
  </si>
  <si>
    <t>SHUCHINSK_IUB</t>
  </si>
  <si>
    <t>SHUCHINSK_SMS</t>
  </si>
  <si>
    <t>STEPNOGORSK_IUB</t>
  </si>
  <si>
    <t>STEPNOGORSK_SMS</t>
  </si>
  <si>
    <t>ATBASAR_IUB</t>
  </si>
  <si>
    <t>ATBASAR_SMS</t>
  </si>
  <si>
    <t>ATYRAU</t>
  </si>
  <si>
    <t>MIYALY</t>
  </si>
  <si>
    <t>EKIBASTUZ</t>
  </si>
  <si>
    <t>KARAGANDA</t>
  </si>
  <si>
    <t>ATASU_IUB+</t>
  </si>
  <si>
    <t>ZHEZKAZGAN</t>
  </si>
  <si>
    <t>BALKHASH</t>
  </si>
  <si>
    <t>KOKSHETAU</t>
  </si>
  <si>
    <t>NOVOISHIMSKIY</t>
  </si>
  <si>
    <t>TALSHIK</t>
  </si>
  <si>
    <t>TAYNSHA</t>
  </si>
  <si>
    <t>KOSTANAY</t>
  </si>
  <si>
    <t>ESIL</t>
  </si>
  <si>
    <t>ZHITIKARA</t>
  </si>
  <si>
    <t>KYZYLORDA</t>
  </si>
  <si>
    <t>ARALSK+</t>
  </si>
  <si>
    <t>BAIKONUR+</t>
  </si>
  <si>
    <t>KAZALINSK+</t>
  </si>
  <si>
    <t>SHIELI</t>
  </si>
  <si>
    <t>TERENOZEK</t>
  </si>
  <si>
    <t>TORETAM</t>
  </si>
  <si>
    <t>ZHALAGASH</t>
  </si>
  <si>
    <t>ZHANAKORGAN</t>
  </si>
  <si>
    <t>ZHOSALY</t>
  </si>
  <si>
    <t>OSKEMEN</t>
  </si>
  <si>
    <t>AKMEKTEP_ABIS</t>
  </si>
  <si>
    <t>AKSUAT_ABIS</t>
  </si>
  <si>
    <t>AKSUAT_IUB</t>
  </si>
  <si>
    <t>AKZHAR_ABIS</t>
  </si>
  <si>
    <t>AKZHAR_IUB</t>
  </si>
  <si>
    <t>AYAGUZ_ABIS</t>
  </si>
  <si>
    <t>KALBATAU_ABIS</t>
  </si>
  <si>
    <t>KURCHUM_ABIS</t>
  </si>
  <si>
    <t>OKTYABRSKIY_ABIS</t>
  </si>
  <si>
    <t>RIDDER_ABIS</t>
  </si>
  <si>
    <t>SEREBRYANSK_ABIS</t>
  </si>
  <si>
    <t>SHEMONAIHA_ABIS</t>
  </si>
  <si>
    <t>ZAYSAN_ABIS</t>
  </si>
  <si>
    <t>ZYRYANOVSK_ABIS</t>
  </si>
  <si>
    <t>AYAGUZ_IUB</t>
  </si>
  <si>
    <t>KALBATAU_IUB</t>
  </si>
  <si>
    <t>KURCHUM_IUB</t>
  </si>
  <si>
    <t>RIDDER_IUB</t>
  </si>
  <si>
    <t>SEREBRYANSK_IUB</t>
  </si>
  <si>
    <t>SHEMONAIHA_IUB</t>
  </si>
  <si>
    <t>ZAYSAN_IUB</t>
  </si>
  <si>
    <t>PAVLODAR</t>
  </si>
  <si>
    <t>BAYANAUL_ABIS</t>
  </si>
  <si>
    <t>BAYANAUL_IUB</t>
  </si>
  <si>
    <t>IRTYSHSK_ABIS</t>
  </si>
  <si>
    <t>IRTYSHSK_IUB</t>
  </si>
  <si>
    <t>PETROPAVLOVSK</t>
  </si>
  <si>
    <t>SEMEY</t>
  </si>
  <si>
    <t>SHYMKENT</t>
  </si>
  <si>
    <t>GB+</t>
  </si>
  <si>
    <t>IUB+</t>
  </si>
  <si>
    <t>SARYAGASH_GB</t>
  </si>
  <si>
    <t>SARYAGASH_IUB</t>
  </si>
  <si>
    <t>TURKESTAN_CP</t>
  </si>
  <si>
    <t>TURKESTAN_RAN</t>
  </si>
  <si>
    <t>TURKESTAN_GB</t>
  </si>
  <si>
    <t>TURKESTAN_IUB</t>
  </si>
  <si>
    <t>TURKESTAN_SMS</t>
  </si>
  <si>
    <t>ZHETYSAY_IUB</t>
  </si>
  <si>
    <t>TALDYK</t>
  </si>
  <si>
    <t>DOSTYK_IUB</t>
  </si>
  <si>
    <t>MAKANCHI_ABIS</t>
  </si>
  <si>
    <t>MAKANCHI_IUB</t>
  </si>
  <si>
    <t>SARKAND_IUB</t>
  </si>
  <si>
    <t>SARYOZEK_IUB</t>
  </si>
  <si>
    <t>URDZHAR_ABIS</t>
  </si>
  <si>
    <t>URDZHAR_IUB</t>
  </si>
  <si>
    <t>USHARAL_IUB</t>
  </si>
  <si>
    <t>USHTOBE_IUB</t>
  </si>
  <si>
    <t>ZHANSUGUROV_IUB</t>
  </si>
  <si>
    <t>TARAZ</t>
  </si>
  <si>
    <t>MERKE</t>
  </si>
  <si>
    <t>SHU</t>
  </si>
  <si>
    <t>URALSK</t>
  </si>
  <si>
    <t>AKSAY+</t>
  </si>
  <si>
    <t>NUMBER</t>
  </si>
  <si>
    <t>ZYRYANOVSK_IUB</t>
  </si>
  <si>
    <t>TEMIRTAU</t>
  </si>
  <si>
    <t>KTC</t>
  </si>
  <si>
    <t>AKTAU_GB</t>
  </si>
  <si>
    <t>AKTAU_CP</t>
  </si>
  <si>
    <t>AKTAU_RAN</t>
  </si>
  <si>
    <t>ATYRAU_GB</t>
  </si>
  <si>
    <t>KULSARY_IUB</t>
  </si>
  <si>
    <t>TENGIZ_IUB</t>
  </si>
  <si>
    <t>AKSAY_IUB</t>
  </si>
  <si>
    <t>ZHANAOZEN_CP</t>
  </si>
  <si>
    <t>ZHANAOZEN_RAN</t>
  </si>
  <si>
    <t>ZHANAOZEN_IUB</t>
  </si>
  <si>
    <t>ATYRAU_RAN</t>
  </si>
  <si>
    <t>ATYRAU_CP</t>
  </si>
  <si>
    <t>10.1.2.208</t>
  </si>
  <si>
    <t>10.1.2.209</t>
  </si>
  <si>
    <t>10.1.2.210</t>
  </si>
  <si>
    <t>E1</t>
  </si>
  <si>
    <t>NIMBUS</t>
  </si>
  <si>
    <t>10.0.211.0</t>
  </si>
  <si>
    <t>10.0.211.1</t>
  </si>
  <si>
    <t>10.0.211.2</t>
  </si>
  <si>
    <t>SBT</t>
  </si>
  <si>
    <t>10.1.0.44</t>
  </si>
  <si>
    <t>10.1.0.45</t>
  </si>
  <si>
    <t>10.1.0.46</t>
  </si>
  <si>
    <t>10.1.2.28</t>
  </si>
  <si>
    <t>10.1.2.29</t>
  </si>
  <si>
    <t>10.1.2.30</t>
  </si>
  <si>
    <t>VPN0312</t>
  </si>
  <si>
    <t>10.1.2.216</t>
  </si>
  <si>
    <t>10.1.2.217</t>
  </si>
  <si>
    <t>10.1.2.218</t>
  </si>
  <si>
    <t>10.0.211.8</t>
  </si>
  <si>
    <t>10.0.211.9</t>
  </si>
  <si>
    <t>10.0.211.10</t>
  </si>
  <si>
    <t>10.0.211.20</t>
  </si>
  <si>
    <t>10.0.211.21</t>
  </si>
  <si>
    <t>10.0.211.22</t>
  </si>
  <si>
    <t>10.0.211.24</t>
  </si>
  <si>
    <t>10.0.211.25</t>
  </si>
  <si>
    <t>10.0.211.26</t>
  </si>
  <si>
    <t>10.1.6.248</t>
  </si>
  <si>
    <t>10.1.6.249</t>
  </si>
  <si>
    <t>10.1.6.250</t>
  </si>
  <si>
    <t>10.1.6.252</t>
  </si>
  <si>
    <t>10.1.6.253</t>
  </si>
  <si>
    <t>10.1.6.254</t>
  </si>
  <si>
    <t>10.0.211.13</t>
  </si>
  <si>
    <t>10.0.211.14</t>
  </si>
  <si>
    <t>10.0.211.12</t>
  </si>
  <si>
    <t>10.0.211.28</t>
  </si>
  <si>
    <t>10.0.211.29</t>
  </si>
  <si>
    <t>10.0.211.30</t>
  </si>
  <si>
    <t>10.1.2.156</t>
  </si>
  <si>
    <t>10.1.2.157</t>
  </si>
  <si>
    <t>10.1.2.158</t>
  </si>
  <si>
    <t>10.0.211.32</t>
  </si>
  <si>
    <t>10.0.211.33</t>
  </si>
  <si>
    <t>10.0.211.34</t>
  </si>
  <si>
    <t>10.0.211.18</t>
  </si>
  <si>
    <t>10.0.211.17</t>
  </si>
  <si>
    <t>10.0.211.16</t>
  </si>
  <si>
    <t>10.1.6.52</t>
  </si>
  <si>
    <t>10.1.6.53</t>
  </si>
  <si>
    <t>10.1.6.54</t>
  </si>
  <si>
    <t>10.1.0.88</t>
  </si>
  <si>
    <t>10.1.0.89</t>
  </si>
  <si>
    <t>10.1.0.90</t>
  </si>
  <si>
    <t>10.1.0.92</t>
  </si>
  <si>
    <t>10.1.0.93</t>
  </si>
  <si>
    <t>10.1.0.94</t>
  </si>
  <si>
    <t>10.0.211.58</t>
  </si>
  <si>
    <t>10.0.211.57</t>
  </si>
  <si>
    <t>10.0.211.56</t>
  </si>
  <si>
    <t>10.0.211.44</t>
  </si>
  <si>
    <t>10.0.211.45</t>
  </si>
  <si>
    <t>10.0.211.46</t>
  </si>
  <si>
    <t>10.0.211.48</t>
  </si>
  <si>
    <t>10.0.211.49</t>
  </si>
  <si>
    <t>10.0.211.50</t>
  </si>
  <si>
    <t>10.0.211.52</t>
  </si>
  <si>
    <t>10.0.211.53</t>
  </si>
  <si>
    <t>10.0.211.54</t>
  </si>
  <si>
    <t>10.0.0.25</t>
  </si>
  <si>
    <t>10.0.0.24</t>
  </si>
  <si>
    <t>10.0.0.26</t>
  </si>
  <si>
    <t>VPN0011</t>
  </si>
  <si>
    <t>10.0.211.38</t>
  </si>
  <si>
    <t>10.0.211.37</t>
  </si>
  <si>
    <t>10.0.211.36</t>
  </si>
  <si>
    <t>10.1.0.144</t>
  </si>
  <si>
    <t>10.1.0.145</t>
  </si>
  <si>
    <t>10.1.0.146</t>
  </si>
  <si>
    <t>10.1.0.148</t>
  </si>
  <si>
    <t>10.1.0.149</t>
  </si>
  <si>
    <t>10.1.0.150</t>
  </si>
  <si>
    <t>10.1.2.176</t>
  </si>
  <si>
    <t>10.1.2.177</t>
  </si>
  <si>
    <t>10.1.2.178</t>
  </si>
  <si>
    <t>10.1.2.248</t>
  </si>
  <si>
    <t>10.1.2.250</t>
  </si>
  <si>
    <t>10.1.2.152</t>
  </si>
  <si>
    <t>10.1.2.153</t>
  </si>
  <si>
    <t>10.1.2.154</t>
  </si>
  <si>
    <t>Saryagash CE2</t>
  </si>
  <si>
    <t>AS TTK</t>
  </si>
  <si>
    <t>10.0.211.252</t>
  </si>
  <si>
    <t>10.0.211.253</t>
  </si>
  <si>
    <t>10.0.211.254</t>
  </si>
  <si>
    <t>10.1.1.105</t>
  </si>
  <si>
    <t>10.1.1.106</t>
  </si>
  <si>
    <t>10.1.1.104</t>
  </si>
  <si>
    <t>STS</t>
  </si>
  <si>
    <t>10.1.4.188</t>
  </si>
  <si>
    <t>10.1.4.189</t>
  </si>
  <si>
    <t>10.1.4.190</t>
  </si>
  <si>
    <t>10.1.4.192</t>
  </si>
  <si>
    <t>10.1.4.193</t>
  </si>
  <si>
    <t>10.1.4.194</t>
  </si>
  <si>
    <t>Petropavlovsk</t>
  </si>
  <si>
    <t>10.1.3.52</t>
  </si>
  <si>
    <t>10.1.3.53</t>
  </si>
  <si>
    <t>10.1.3.54</t>
  </si>
  <si>
    <t>10.1.3.40</t>
  </si>
  <si>
    <t>10.1.3.41</t>
  </si>
  <si>
    <t>10.1.3.42</t>
  </si>
  <si>
    <t>10.1.3.56</t>
  </si>
  <si>
    <t>10.1.3.57</t>
  </si>
  <si>
    <t>10.1.3.58</t>
  </si>
  <si>
    <t>VPN0376</t>
  </si>
  <si>
    <t>VPN0377</t>
  </si>
  <si>
    <t>10.1.2.181</t>
  </si>
  <si>
    <t>10.1.2.189</t>
  </si>
  <si>
    <t>10.1.2.180</t>
  </si>
  <si>
    <t>10.1.2.188</t>
  </si>
  <si>
    <t>10.1.2.182</t>
  </si>
  <si>
    <t>10.1.2.190</t>
  </si>
  <si>
    <t>TOR</t>
  </si>
  <si>
    <t>VPN0374</t>
  </si>
  <si>
    <t>10.0.210.0</t>
  </si>
  <si>
    <t>10.0.210.2</t>
  </si>
  <si>
    <t>10.0.210.5</t>
  </si>
  <si>
    <t>10.0.210.4</t>
  </si>
  <si>
    <t>10.0.210.6</t>
  </si>
  <si>
    <t>VPN0375</t>
  </si>
  <si>
    <t>VPN0352</t>
  </si>
  <si>
    <t>VPN0342</t>
  </si>
  <si>
    <t>VPN0364</t>
  </si>
  <si>
    <t>VPN0340</t>
  </si>
  <si>
    <t>VPN0351</t>
  </si>
  <si>
    <t>VPN0355</t>
  </si>
  <si>
    <t>VPN0356</t>
  </si>
  <si>
    <t>VPN0353</t>
  </si>
  <si>
    <t>VPN0354</t>
  </si>
  <si>
    <t>10.1.6.208</t>
  </si>
  <si>
    <t>10.1.6.209</t>
  </si>
  <si>
    <t>10.1.6.210</t>
  </si>
  <si>
    <t>10.1.6.212</t>
  </si>
  <si>
    <t>10.1.6.213</t>
  </si>
  <si>
    <t>10.1.6.214</t>
  </si>
  <si>
    <t>10.0.211.64</t>
  </si>
  <si>
    <t>10.0.211.65</t>
  </si>
  <si>
    <t>10.0.211.66</t>
  </si>
  <si>
    <t>10.1.2.224</t>
  </si>
  <si>
    <t>10.1.2.225</t>
  </si>
  <si>
    <t>10.1.2.226</t>
  </si>
  <si>
    <t>10.1.2.240</t>
  </si>
  <si>
    <t>10.1.2.241</t>
  </si>
  <si>
    <t>10.1.2.242</t>
  </si>
  <si>
    <t>Номера TTC</t>
  </si>
  <si>
    <t>10.1.0.161</t>
  </si>
  <si>
    <t>10.1.0.162</t>
  </si>
  <si>
    <t>10.1.0.160</t>
  </si>
  <si>
    <t>10.1.0.165</t>
  </si>
  <si>
    <t>10.1.0.166</t>
  </si>
  <si>
    <t>10.1.0.164</t>
  </si>
  <si>
    <t>10.1.2.148</t>
  </si>
  <si>
    <t>10.1.2.149</t>
  </si>
  <si>
    <t>10.1.2.150</t>
  </si>
  <si>
    <t>10.1.24.0</t>
  </si>
  <si>
    <t>10.1.24.1</t>
  </si>
  <si>
    <t>10.1.24.2</t>
  </si>
  <si>
    <t>10.1.24.4</t>
  </si>
  <si>
    <t>10.1.24.5</t>
  </si>
  <si>
    <t>10.1.24.6</t>
  </si>
  <si>
    <t>10.1.3.80</t>
  </si>
  <si>
    <t>10.1.3.81</t>
  </si>
  <si>
    <t>10.1.3.82</t>
  </si>
  <si>
    <t>10.1.3.84</t>
  </si>
  <si>
    <t>10.1.3.85</t>
  </si>
  <si>
    <t>10.1.3.86</t>
  </si>
  <si>
    <t>10.1.3.76</t>
  </si>
  <si>
    <t>10.1.3.77</t>
  </si>
  <si>
    <t>10.1.3.78</t>
  </si>
  <si>
    <t>10.1.0.168</t>
  </si>
  <si>
    <t>10.1.0.169</t>
  </si>
  <si>
    <t>10.1.0.170</t>
  </si>
  <si>
    <t>10.1.0.172</t>
  </si>
  <si>
    <t>10.1.0.173</t>
  </si>
  <si>
    <t>10.1.0.174</t>
  </si>
  <si>
    <t>10.1.4.236</t>
  </si>
  <si>
    <t>10.1.4.237</t>
  </si>
  <si>
    <t>10.1.4.238</t>
  </si>
  <si>
    <t>10.1.4.232</t>
  </si>
  <si>
    <t>10.1.4.233</t>
  </si>
  <si>
    <t>10.1.4.234</t>
  </si>
  <si>
    <t>10.1.4.228</t>
  </si>
  <si>
    <t>10.1.4.229</t>
  </si>
  <si>
    <t>10.1.4.230</t>
  </si>
  <si>
    <t>10.1.4.224</t>
  </si>
  <si>
    <t>10.1.4.225</t>
  </si>
  <si>
    <t>10.1.0.124</t>
  </si>
  <si>
    <t>10.1.0.125</t>
  </si>
  <si>
    <t>10.1.0.126</t>
  </si>
  <si>
    <t>10.1.4.41</t>
  </si>
  <si>
    <t>10.1.4.42</t>
  </si>
  <si>
    <t>10.1.4.40</t>
  </si>
  <si>
    <t>10.1.0.156</t>
  </si>
  <si>
    <t>10.1.0.157</t>
  </si>
  <si>
    <t>10.1.0.158</t>
  </si>
  <si>
    <t>10.1.0.152</t>
  </si>
  <si>
    <t>10.1.0.153</t>
  </si>
  <si>
    <t>10.1.0.154</t>
  </si>
  <si>
    <t>10.1.4.208</t>
  </si>
  <si>
    <t>10.1.4.209</t>
  </si>
  <si>
    <t>10.1.4.210</t>
  </si>
  <si>
    <t>10.1.4.212</t>
  </si>
  <si>
    <t>10.1.4.213</t>
  </si>
  <si>
    <t>10.1.4.214</t>
  </si>
  <si>
    <t>10.1.4.216</t>
  </si>
  <si>
    <t>10.1.4.217</t>
  </si>
  <si>
    <t>10.1.4.218</t>
  </si>
  <si>
    <t>10.1.4.220</t>
  </si>
  <si>
    <t>10.1.4.221</t>
  </si>
  <si>
    <t>10.1.4.222</t>
  </si>
  <si>
    <t>10.1.4.204</t>
  </si>
  <si>
    <t>10.1.4.205</t>
  </si>
  <si>
    <t>10.1.4.206</t>
  </si>
  <si>
    <t>10.1.4.148</t>
  </si>
  <si>
    <t>10.1.4.149</t>
  </si>
  <si>
    <t>10.1.4.150</t>
  </si>
  <si>
    <t>10.1.4.60</t>
  </si>
  <si>
    <t>10.1.4.61</t>
  </si>
  <si>
    <t>10.1.4.62</t>
  </si>
  <si>
    <t>VPN0395</t>
  </si>
  <si>
    <t>VPN0396</t>
  </si>
  <si>
    <t>10.1.4.100</t>
  </si>
  <si>
    <t>10.1.4.101</t>
  </si>
  <si>
    <t>10.1.4.102</t>
  </si>
  <si>
    <t>10.1.4.196</t>
  </si>
  <si>
    <t>10.1.4.200</t>
  </si>
  <si>
    <t>10.1.4.198</t>
  </si>
  <si>
    <t>10.1.4.197</t>
  </si>
  <si>
    <t>10.1.4.201</t>
  </si>
  <si>
    <t>10.1.4.202</t>
  </si>
  <si>
    <t>10.1.3.20</t>
  </si>
  <si>
    <t>10.1.3.21</t>
  </si>
  <si>
    <t>10.1.3.22</t>
  </si>
  <si>
    <t>10.1.3.24</t>
  </si>
  <si>
    <t>10.1.3.25</t>
  </si>
  <si>
    <t>10.1.3.26</t>
  </si>
  <si>
    <t>10.1.3.28</t>
  </si>
  <si>
    <t>10.1.3.29</t>
  </si>
  <si>
    <t>10.1.3.30</t>
  </si>
  <si>
    <t>10.1.2.116</t>
  </si>
  <si>
    <t>10.1.2.117</t>
  </si>
  <si>
    <t>10.1.2.118</t>
  </si>
  <si>
    <t>10.1.2.60</t>
  </si>
  <si>
    <t>10.1.2.61</t>
  </si>
  <si>
    <t>10.1.2.62</t>
  </si>
  <si>
    <t>10.1.6.220</t>
  </si>
  <si>
    <t>10.1.6.221</t>
  </si>
  <si>
    <t>10.1.6.222</t>
  </si>
  <si>
    <t>VPN0309</t>
  </si>
  <si>
    <t>VPN0310</t>
  </si>
  <si>
    <t>VPN0344</t>
  </si>
  <si>
    <t>VPN0385</t>
  </si>
  <si>
    <t>VPN0392</t>
  </si>
  <si>
    <t>VPN0361</t>
  </si>
  <si>
    <t>VPN0319</t>
  </si>
  <si>
    <t>VPN0336</t>
  </si>
  <si>
    <t>VPN0370</t>
  </si>
  <si>
    <t>VPN0368</t>
  </si>
  <si>
    <t>VPN0369</t>
  </si>
  <si>
    <t>VPN0382</t>
  </si>
  <si>
    <t>VPN0383</t>
  </si>
  <si>
    <t>VPN0384</t>
  </si>
  <si>
    <t>VPN0341</t>
  </si>
  <si>
    <t>VPN0317</t>
  </si>
  <si>
    <t>VPN0346</t>
  </si>
  <si>
    <t>VPN0347</t>
  </si>
  <si>
    <t>VPN0387</t>
  </si>
  <si>
    <t>VPN0386</t>
  </si>
  <si>
    <t>VPN0393</t>
  </si>
  <si>
    <t>VPN0348</t>
  </si>
  <si>
    <t>VPN0349</t>
  </si>
  <si>
    <t>VPN0339</t>
  </si>
  <si>
    <t>VPN0307</t>
  </si>
  <si>
    <t>VPN0388</t>
  </si>
  <si>
    <t>VPN0389</t>
  </si>
  <si>
    <t>VPN0332</t>
  </si>
  <si>
    <t>VPN0333</t>
  </si>
  <si>
    <t>VPN0366</t>
  </si>
  <si>
    <t>VPN0367</t>
  </si>
  <si>
    <t>VPN0371</t>
  </si>
  <si>
    <t>VPN0372</t>
  </si>
  <si>
    <t>VPN0373</t>
  </si>
  <si>
    <t>VPN0394</t>
  </si>
  <si>
    <t>10.1.24.18</t>
  </si>
  <si>
    <t>10.1.24.17</t>
  </si>
  <si>
    <t>10.1.24.16</t>
  </si>
  <si>
    <t>10.1.24.22</t>
  </si>
  <si>
    <t>10.1.24.21</t>
  </si>
  <si>
    <t>10.1.24.20</t>
  </si>
  <si>
    <t>10.1.24.24</t>
  </si>
  <si>
    <t>10.1.24.28</t>
  </si>
  <si>
    <t>10.1.24.25</t>
  </si>
  <si>
    <t>10.1.24.26</t>
  </si>
  <si>
    <t>10.1.24.29</t>
  </si>
  <si>
    <t>10.1.24.30</t>
  </si>
  <si>
    <t>10.0.211.68</t>
  </si>
  <si>
    <t>10.0.211.69</t>
  </si>
  <si>
    <t>10.0.211.70</t>
  </si>
  <si>
    <t>10.1.24.40</t>
  </si>
  <si>
    <t>10.1.24.41</t>
  </si>
  <si>
    <t>10.1.24.42</t>
  </si>
  <si>
    <t>10.1.24.32</t>
  </si>
  <si>
    <t>10.1.24.33</t>
  </si>
  <si>
    <t>10.1.24.34</t>
  </si>
  <si>
    <t>10.1.24.36</t>
  </si>
  <si>
    <t>10.1.24.37</t>
  </si>
  <si>
    <t>10.1.24.38</t>
  </si>
  <si>
    <t>10.1.5.8</t>
  </si>
  <si>
    <t>10.1.5.9</t>
  </si>
  <si>
    <t>10.1.5.10</t>
  </si>
  <si>
    <t>10.1.4.240</t>
  </si>
  <si>
    <t>10.1.4.241</t>
  </si>
  <si>
    <t>10.1.4.242</t>
  </si>
  <si>
    <t>VPN0417</t>
  </si>
  <si>
    <t>VPN0418</t>
  </si>
  <si>
    <t>VPN0422</t>
  </si>
  <si>
    <t>VPN0423</t>
  </si>
  <si>
    <t>10.1.8.12</t>
  </si>
  <si>
    <t>10.1.8.13</t>
  </si>
  <si>
    <t>10.1.8.14</t>
  </si>
  <si>
    <t>10.1.24.44</t>
  </si>
  <si>
    <t>10.1.24.45</t>
  </si>
  <si>
    <t>10.1.24.46</t>
  </si>
  <si>
    <t>10.1.24.48</t>
  </si>
  <si>
    <t>10.1.24.49</t>
  </si>
  <si>
    <t>10.1.24.50</t>
  </si>
  <si>
    <t>VPN0390</t>
  </si>
  <si>
    <t>VPN0391</t>
  </si>
  <si>
    <t>VPN0429</t>
  </si>
  <si>
    <t>10.1.24.52</t>
  </si>
  <si>
    <t>10.1.24.53</t>
  </si>
  <si>
    <t>10.1.24.54</t>
  </si>
  <si>
    <t>10.1.24.56</t>
  </si>
  <si>
    <t>10.1.24.57</t>
  </si>
  <si>
    <t>10.1.24.58</t>
  </si>
  <si>
    <t>10.1.24.60</t>
  </si>
  <si>
    <t>10.1.24.61</t>
  </si>
  <si>
    <t>10.1.24.62</t>
  </si>
  <si>
    <t>10.0.219.0</t>
  </si>
  <si>
    <t>10.0.219.1</t>
  </si>
  <si>
    <t>10.0.219.2</t>
  </si>
  <si>
    <t>10.0.210.8</t>
  </si>
  <si>
    <t>10.0.210.9</t>
  </si>
  <si>
    <t>10.0.210.10</t>
  </si>
  <si>
    <t>VPN0415</t>
  </si>
  <si>
    <t>VPN0416</t>
  </si>
  <si>
    <t>10.1.10.149</t>
  </si>
  <si>
    <t>10.1.10.150</t>
  </si>
  <si>
    <t>10.1.10.148</t>
  </si>
  <si>
    <t>10.1.10.76</t>
  </si>
  <si>
    <t>10.1.10.77</t>
  </si>
  <si>
    <t>10.1.10.78</t>
  </si>
  <si>
    <t>VPN0428</t>
  </si>
  <si>
    <t>10.1.4.164</t>
  </si>
  <si>
    <t>10.1.4.165</t>
  </si>
  <si>
    <t>10.1.4.166</t>
  </si>
  <si>
    <t>VPN0409</t>
  </si>
  <si>
    <t>VPN0435</t>
  </si>
  <si>
    <t>VPN0440</t>
  </si>
  <si>
    <t>VPN0407</t>
  </si>
  <si>
    <t>VPN0436</t>
  </si>
  <si>
    <t>VPN0410</t>
  </si>
  <si>
    <t>VPN0402</t>
  </si>
  <si>
    <t>VPN0401</t>
  </si>
  <si>
    <t>VPN0404</t>
  </si>
  <si>
    <t>VPN0403</t>
  </si>
  <si>
    <t>VPN0425</t>
  </si>
  <si>
    <t>VPN0426</t>
  </si>
  <si>
    <t>VPN0411</t>
  </si>
  <si>
    <t>VPN0437</t>
  </si>
  <si>
    <t>VPN0412</t>
  </si>
  <si>
    <t>VPN0438</t>
  </si>
  <si>
    <t>VPN0439</t>
  </si>
  <si>
    <t>VPN0405</t>
  </si>
  <si>
    <t>VPN0406</t>
  </si>
  <si>
    <t>VPN0413</t>
  </si>
  <si>
    <t>VPN0330</t>
  </si>
  <si>
    <t>VPN0397</t>
  </si>
  <si>
    <t>VPN0398</t>
  </si>
  <si>
    <t>VPN0414</t>
  </si>
  <si>
    <t>10.1.4.244</t>
  </si>
  <si>
    <t>10.1.4.245</t>
  </si>
  <si>
    <t>10.1.4.246</t>
  </si>
  <si>
    <t>VPN0443</t>
  </si>
  <si>
    <t>VPN0451</t>
  </si>
  <si>
    <t>VPN0452</t>
  </si>
  <si>
    <t>10.1.0.184</t>
  </si>
  <si>
    <t>10.1.0.185</t>
  </si>
  <si>
    <t>10.1.0.186</t>
  </si>
  <si>
    <t>10.1.0.188</t>
  </si>
  <si>
    <t>10.1.0.190</t>
  </si>
  <si>
    <t>10.1.0.189</t>
  </si>
  <si>
    <t>VPN0441</t>
  </si>
  <si>
    <t>VPN0444</t>
  </si>
  <si>
    <t>10.0.211.72</t>
  </si>
  <si>
    <t>Uralsk</t>
  </si>
  <si>
    <t>10.1.2.88</t>
  </si>
  <si>
    <t>10.1.2.89</t>
  </si>
  <si>
    <t>10.1.2.90</t>
  </si>
  <si>
    <t>10.1.2.92</t>
  </si>
  <si>
    <t>10.1.2.93</t>
  </si>
  <si>
    <t>10.1.2.94</t>
  </si>
  <si>
    <t>VPN0427</t>
  </si>
  <si>
    <t>10.1.4.68</t>
  </si>
  <si>
    <t>10.1.4.69</t>
  </si>
  <si>
    <t>10.1.4.70</t>
  </si>
  <si>
    <t>10.1.24.72</t>
  </si>
  <si>
    <t>10.1.24.73</t>
  </si>
  <si>
    <t>10.1.24.74</t>
  </si>
  <si>
    <t>GEO</t>
  </si>
  <si>
    <t>10.1.0.30</t>
  </si>
  <si>
    <t>10.1.0.29</t>
  </si>
  <si>
    <t>10.1.0.28</t>
  </si>
  <si>
    <t>VPN0453</t>
  </si>
  <si>
    <t>VPN0454</t>
  </si>
  <si>
    <t>10.1.2.2</t>
  </si>
  <si>
    <t>10.1.2.0</t>
  </si>
  <si>
    <t>10.1.1.108</t>
  </si>
  <si>
    <t>10.1.1.109</t>
  </si>
  <si>
    <t>10.1.1.110</t>
  </si>
  <si>
    <t>10.1.1.112</t>
  </si>
  <si>
    <t>10.1.1.113</t>
  </si>
  <si>
    <t>10.1.1.114</t>
  </si>
  <si>
    <t>10.1.11.0</t>
  </si>
  <si>
    <t>10.1.11.1</t>
  </si>
  <si>
    <t>10.1.11.2</t>
  </si>
  <si>
    <t>10.0.211.76</t>
  </si>
  <si>
    <t>10.0.211.77</t>
  </si>
  <si>
    <t>10.0.211.78</t>
  </si>
  <si>
    <t>10.1.4.253</t>
  </si>
  <si>
    <t>10.1.4.254</t>
  </si>
  <si>
    <t>10.1.4.252</t>
  </si>
  <si>
    <t>L2VPN</t>
  </si>
  <si>
    <t>Point Termination</t>
  </si>
  <si>
    <t>Petropavlovsk CE1</t>
  </si>
  <si>
    <t>Taldykorgan CE1</t>
  </si>
  <si>
    <t>Taldykorgan</t>
  </si>
  <si>
    <t>Baykonur - Kyzylorda</t>
  </si>
  <si>
    <t>Kyzylorda CE1</t>
  </si>
  <si>
    <t>Petropavlovsk CE2</t>
  </si>
  <si>
    <t>VPN0458</t>
  </si>
  <si>
    <t>10.1.5.20</t>
  </si>
  <si>
    <t>10.1.5.21</t>
  </si>
  <si>
    <t>10.1.5.22</t>
  </si>
  <si>
    <t>10.1.4.8</t>
  </si>
  <si>
    <t>10.1.4.9</t>
  </si>
  <si>
    <t>10.1.4.10</t>
  </si>
  <si>
    <t>10.1.24.76</t>
  </si>
  <si>
    <t>10.1.24.77</t>
  </si>
  <si>
    <t>10.1.24.78</t>
  </si>
  <si>
    <t>10.1.24.84</t>
  </si>
  <si>
    <t>10.1.24.85</t>
  </si>
  <si>
    <t>10.1.24.86</t>
  </si>
  <si>
    <t>10.1.24.88</t>
  </si>
  <si>
    <t>10.1.24.89</t>
  </si>
  <si>
    <t>10.1.24.90</t>
  </si>
  <si>
    <t>10.1.24.92</t>
  </si>
  <si>
    <t>10.1.24.93</t>
  </si>
  <si>
    <t>10.1.24.94</t>
  </si>
  <si>
    <t>10.1.24.96</t>
  </si>
  <si>
    <t>10.1.24.97</t>
  </si>
  <si>
    <t>10.1.24.98</t>
  </si>
  <si>
    <t>10.1.24.100</t>
  </si>
  <si>
    <t>10.1.24.101</t>
  </si>
  <si>
    <t>10.1.24.102</t>
  </si>
  <si>
    <t>10.1.24.104</t>
  </si>
  <si>
    <t>10.1.24.105</t>
  </si>
  <si>
    <t>10.1.24.106</t>
  </si>
  <si>
    <t>10.1.24.108</t>
  </si>
  <si>
    <t>10.1.24.109</t>
  </si>
  <si>
    <t>10.1.24.110</t>
  </si>
  <si>
    <t>10.0.211.80</t>
  </si>
  <si>
    <t>10.0.211.81</t>
  </si>
  <si>
    <t>10.0.211.82</t>
  </si>
  <si>
    <t>10.1.4.248</t>
  </si>
  <si>
    <t>10.1.4.249</t>
  </si>
  <si>
    <t>10.1.4.250</t>
  </si>
  <si>
    <t>10.1.2.220</t>
  </si>
  <si>
    <t>10.1.2.221</t>
  </si>
  <si>
    <t>10.1.2.222</t>
  </si>
  <si>
    <t>Aktau CE2</t>
  </si>
  <si>
    <t>Zhanaozen CE2</t>
  </si>
  <si>
    <t>Bautino AGR</t>
  </si>
  <si>
    <t>Saryagash CE1</t>
  </si>
  <si>
    <t>Zhezkazgan_LTE CE</t>
  </si>
  <si>
    <t>ORDERED</t>
  </si>
  <si>
    <t>10.0.215.2</t>
  </si>
  <si>
    <t>10.0.215.1</t>
  </si>
  <si>
    <t>10.0.215.0</t>
  </si>
  <si>
    <t>VPN0447</t>
  </si>
  <si>
    <t>VPN0448</t>
  </si>
  <si>
    <t>10.0.215.6</t>
  </si>
  <si>
    <t>10.0.215.5</t>
  </si>
  <si>
    <t>10.0.215.4</t>
  </si>
  <si>
    <t>185.2.227.137</t>
  </si>
  <si>
    <t>185.2.227.145</t>
  </si>
  <si>
    <t>185.2.227.49</t>
  </si>
  <si>
    <t>VPN0365</t>
  </si>
  <si>
    <t>VPN0408</t>
  </si>
  <si>
    <t>10.0.210.1</t>
  </si>
  <si>
    <t>10.1.2.1</t>
  </si>
  <si>
    <t>10.0.0.149</t>
  </si>
  <si>
    <t>10.0.0.150</t>
  </si>
  <si>
    <t>10.0.0.152</t>
  </si>
  <si>
    <t>10.0.0.153</t>
  </si>
  <si>
    <t>10.0.0.154</t>
  </si>
  <si>
    <t>10.1.2.50</t>
  </si>
  <si>
    <t>10.0.0.126</t>
  </si>
  <si>
    <t>10.0.0.130</t>
  </si>
  <si>
    <t>10.1.2.78</t>
  </si>
  <si>
    <t>10.0.0.121</t>
  </si>
  <si>
    <t>10.0.0.122</t>
  </si>
  <si>
    <t>10.0.1.22</t>
  </si>
  <si>
    <t>10.0.0.65</t>
  </si>
  <si>
    <t>10.0.0.66</t>
  </si>
  <si>
    <t>10.0.1.158</t>
  </si>
  <si>
    <t>10.0.1.34</t>
  </si>
  <si>
    <t>10.1.3.17</t>
  </si>
  <si>
    <t>10.1.3.18</t>
  </si>
  <si>
    <t>10.1.3.2</t>
  </si>
  <si>
    <t>10.1.3.14</t>
  </si>
  <si>
    <t>10.1.3.6</t>
  </si>
  <si>
    <t>10.1.6.106</t>
  </si>
  <si>
    <t>10.1.6.110</t>
  </si>
  <si>
    <t>10.1.6.102</t>
  </si>
  <si>
    <t>10.1.6.98</t>
  </si>
  <si>
    <t>10.0.1.29</t>
  </si>
  <si>
    <t>10.0.1.30</t>
  </si>
  <si>
    <t>10.0.0.110</t>
  </si>
  <si>
    <t>10.0.1.42</t>
  </si>
  <si>
    <t>10.1.3.230</t>
  </si>
  <si>
    <t>10.1.2.214</t>
  </si>
  <si>
    <t>10.0.1.26</t>
  </si>
  <si>
    <t>10.0.0.78</t>
  </si>
  <si>
    <t>10.0.1.94</t>
  </si>
  <si>
    <t>10.0.1.37</t>
  </si>
  <si>
    <t>10.0.1.38</t>
  </si>
  <si>
    <t>10.1.3.34</t>
  </si>
  <si>
    <t>10.0.1.166</t>
  </si>
  <si>
    <t>10.1.3.194</t>
  </si>
  <si>
    <t>10.0.1.98</t>
  </si>
  <si>
    <t>10.1.3.198</t>
  </si>
  <si>
    <t>10.0.0.60</t>
  </si>
  <si>
    <t>10.0.0.61</t>
  </si>
  <si>
    <t>10.0.0.62</t>
  </si>
  <si>
    <t>10.1.2.249</t>
  </si>
  <si>
    <t>10.1.2.245</t>
  </si>
  <si>
    <t>10.1.3.222</t>
  </si>
  <si>
    <t>10.1.4.174</t>
  </si>
  <si>
    <t>10.0.211.73</t>
  </si>
  <si>
    <t>10.1.4.182</t>
  </si>
  <si>
    <t>Kyzylorda</t>
  </si>
  <si>
    <t>10.1.0.176</t>
  </si>
  <si>
    <t>10.1.0.177</t>
  </si>
  <si>
    <t>10.1.0.178</t>
  </si>
  <si>
    <t>10.1.0.180</t>
  </si>
  <si>
    <t>10.1.0.181</t>
  </si>
  <si>
    <t>10.1.0.182</t>
  </si>
  <si>
    <t>10.1.24.112</t>
  </si>
  <si>
    <t>10.1.24.113</t>
  </si>
  <si>
    <t>10.1.24.114</t>
  </si>
  <si>
    <t>10.1.24.116</t>
  </si>
  <si>
    <t>10.1.24.117</t>
  </si>
  <si>
    <t>10.1.24.118</t>
  </si>
  <si>
    <t>VPN0474</t>
  </si>
  <si>
    <t>VPN0475</t>
  </si>
  <si>
    <t>10.1.4.56</t>
  </si>
  <si>
    <t>10.1.4.57</t>
  </si>
  <si>
    <t>10.1.4.58</t>
  </si>
  <si>
    <t>10.1.4.44</t>
  </si>
  <si>
    <t>10.1.4.45</t>
  </si>
  <si>
    <t>10.1.4.46</t>
  </si>
  <si>
    <t>Karakuduk Aktau CE2</t>
  </si>
  <si>
    <t>10.5.17.193</t>
  </si>
  <si>
    <t>10.1.24.120</t>
  </si>
  <si>
    <t>10.1.24.121</t>
  </si>
  <si>
    <t>10.1.24.122</t>
  </si>
  <si>
    <t>10.1.24.124</t>
  </si>
  <si>
    <t>10.1.24.125</t>
  </si>
  <si>
    <t>10.1.24.126</t>
  </si>
  <si>
    <t xml:space="preserve">VPN0466 </t>
  </si>
  <si>
    <t xml:space="preserve">VPN0465 </t>
  </si>
  <si>
    <t xml:space="preserve">VPN0467 </t>
  </si>
  <si>
    <t xml:space="preserve">VPN0480 </t>
  </si>
  <si>
    <t xml:space="preserve"> VPN0479 </t>
  </si>
  <si>
    <t>10.1.5.24</t>
  </si>
  <si>
    <t>10.1.5.25</t>
  </si>
  <si>
    <t>10.1.5.26</t>
  </si>
  <si>
    <t>VPN0470</t>
  </si>
  <si>
    <t xml:space="preserve">VPN0471 </t>
  </si>
  <si>
    <t xml:space="preserve">VPN0472 </t>
  </si>
  <si>
    <t>VPN0473</t>
  </si>
  <si>
    <t>VPN0433</t>
  </si>
  <si>
    <t>VPN0434</t>
  </si>
  <si>
    <t>VPN0463</t>
  </si>
  <si>
    <t>VPN0450</t>
  </si>
  <si>
    <t>VPN0462</t>
  </si>
  <si>
    <t xml:space="preserve">VPN0468 </t>
  </si>
  <si>
    <t xml:space="preserve">VPN0469 </t>
  </si>
  <si>
    <t xml:space="preserve">VPN0476 </t>
  </si>
  <si>
    <t>VPN0457</t>
  </si>
  <si>
    <t>VPN0318</t>
  </si>
  <si>
    <t>VPN0455</t>
  </si>
  <si>
    <t>VPN0456</t>
  </si>
  <si>
    <t>CANCELED</t>
  </si>
  <si>
    <t>Kostanay CE2</t>
  </si>
  <si>
    <t>VPN0486</t>
  </si>
  <si>
    <t>10.1.24.142</t>
  </si>
  <si>
    <t>10.1.24.141</t>
  </si>
  <si>
    <t>10.1.24.140</t>
  </si>
  <si>
    <t>10.1.24.128</t>
  </si>
  <si>
    <t>10.1.24.129</t>
  </si>
  <si>
    <t>10.1.24.130</t>
  </si>
  <si>
    <t>10.1.4.124</t>
  </si>
  <si>
    <t>10.1.4.125</t>
  </si>
  <si>
    <t>10.1.4.126</t>
  </si>
  <si>
    <t>10.1.4.92</t>
  </si>
  <si>
    <t>10.1.4.93</t>
  </si>
  <si>
    <t>10.1.4.94</t>
  </si>
  <si>
    <t>10.1.4.156</t>
  </si>
  <si>
    <t>10.1.4.157</t>
  </si>
  <si>
    <t>10.1.4.158</t>
  </si>
  <si>
    <t>VPN0487</t>
  </si>
  <si>
    <t>VPN0488</t>
  </si>
  <si>
    <t>VPN0489</t>
  </si>
  <si>
    <t>VPN0490</t>
  </si>
  <si>
    <t>VPN0491</t>
  </si>
  <si>
    <t>10.1.5.34</t>
  </si>
  <si>
    <t>10.1.5.33</t>
  </si>
  <si>
    <t>10.1.5.32</t>
  </si>
  <si>
    <t>VPN0492</t>
  </si>
  <si>
    <t>VPN0493</t>
  </si>
  <si>
    <t>10.1.5.38</t>
  </si>
  <si>
    <t>10.1.5.37</t>
  </si>
  <si>
    <t>10.1.5.36</t>
  </si>
  <si>
    <t>10.1.5.42</t>
  </si>
  <si>
    <t>10.1.5.41</t>
  </si>
  <si>
    <t>10.1.5.40</t>
  </si>
  <si>
    <t>10.1.5.46</t>
  </si>
  <si>
    <t>10.1.5.45</t>
  </si>
  <si>
    <t>10.1.5.44</t>
  </si>
  <si>
    <t>10.1.24.144</t>
  </si>
  <si>
    <t>10.1.24.145</t>
  </si>
  <si>
    <t>10.1.24.146</t>
  </si>
  <si>
    <t>10.1.24.148</t>
  </si>
  <si>
    <t>10.1.24.149</t>
  </si>
  <si>
    <t>10.1.24.150</t>
  </si>
  <si>
    <t>10.1.24.152</t>
  </si>
  <si>
    <t>10.1.24.153</t>
  </si>
  <si>
    <t>10.1.24.154</t>
  </si>
  <si>
    <t>10.1.24.156</t>
  </si>
  <si>
    <t>10.1.24.157</t>
  </si>
  <si>
    <t>10.1.24.158</t>
  </si>
  <si>
    <t>VPN0494</t>
  </si>
  <si>
    <t>VPN0495</t>
  </si>
  <si>
    <t>VPN0496</t>
  </si>
  <si>
    <t>10.1.1.25</t>
  </si>
  <si>
    <t>10.1.1.26</t>
  </si>
  <si>
    <t>10.1.1.24</t>
  </si>
  <si>
    <t>10.1.6.240</t>
  </si>
  <si>
    <t>10.1.6.241</t>
  </si>
  <si>
    <t>10.1.6.242</t>
  </si>
  <si>
    <t>10.1.6.244</t>
  </si>
  <si>
    <t>10.1.6.245</t>
  </si>
  <si>
    <t>10.1.6.246</t>
  </si>
  <si>
    <t>Ekibastuz</t>
  </si>
  <si>
    <t xml:space="preserve">Karaganda </t>
  </si>
  <si>
    <t>Kokshetau</t>
  </si>
  <si>
    <t xml:space="preserve">Pavlodar </t>
  </si>
  <si>
    <t>Semey</t>
  </si>
  <si>
    <t xml:space="preserve">Shymkent </t>
  </si>
  <si>
    <t>Turkestan</t>
  </si>
  <si>
    <t xml:space="preserve">Uralsk </t>
  </si>
  <si>
    <t>Zhezkazgan</t>
  </si>
  <si>
    <t>10.1.10.232</t>
  </si>
  <si>
    <t>10.1.10.233</t>
  </si>
  <si>
    <t>10.1.10.234</t>
  </si>
  <si>
    <t>VPN0499</t>
  </si>
  <si>
    <t>VPN0500</t>
  </si>
  <si>
    <t xml:space="preserve">Oskemen </t>
  </si>
  <si>
    <t>10.1.10.200</t>
  </si>
  <si>
    <t>10.1.10.201</t>
  </si>
  <si>
    <t>10.1.10.202</t>
  </si>
  <si>
    <t>10.1.10.168</t>
  </si>
  <si>
    <t>10.1.10.169</t>
  </si>
  <si>
    <t>10.1.10.170</t>
  </si>
  <si>
    <t>10.1.10.236</t>
  </si>
  <si>
    <t>10.1.10.237</t>
  </si>
  <si>
    <t>10.1.10.238</t>
  </si>
  <si>
    <t>10.1.10.124</t>
  </si>
  <si>
    <t>10.1.10.125</t>
  </si>
  <si>
    <t>10.1.10.126</t>
  </si>
  <si>
    <t>10.1.10.104</t>
  </si>
  <si>
    <t>10.1.10.105</t>
  </si>
  <si>
    <t>10.1.10.106</t>
  </si>
  <si>
    <t>10.0.215.16</t>
  </si>
  <si>
    <t>10.0.215.17</t>
  </si>
  <si>
    <t>10.0.215.18</t>
  </si>
  <si>
    <t>10.1.4.88</t>
  </si>
  <si>
    <t>10.1.4.89</t>
  </si>
  <si>
    <t>10.1.4.90</t>
  </si>
  <si>
    <t>VPN0501</t>
  </si>
  <si>
    <t>10.1.24.160</t>
  </si>
  <si>
    <t>10.1.24.161</t>
  </si>
  <si>
    <t>10.1.24.162</t>
  </si>
  <si>
    <t>10.1.24.164</t>
  </si>
  <si>
    <t>10.1.24.165</t>
  </si>
  <si>
    <t>10.1.3.200</t>
  </si>
  <si>
    <t>10.1.3.201</t>
  </si>
  <si>
    <t>10.1.3.202</t>
  </si>
  <si>
    <t>10.1.24.172</t>
  </si>
  <si>
    <t>10.1.24.173</t>
  </si>
  <si>
    <t>10.1.24.174</t>
  </si>
  <si>
    <t>10.1.24.168</t>
  </si>
  <si>
    <t>10.1.24.169</t>
  </si>
  <si>
    <t>10.1.24.170</t>
  </si>
  <si>
    <t>10.1.12.128</t>
  </si>
  <si>
    <t>10.1.12.129</t>
  </si>
  <si>
    <t>10.1.12.130</t>
  </si>
  <si>
    <t>10.1.12.132</t>
  </si>
  <si>
    <t>10.1.12.133</t>
  </si>
  <si>
    <t>10.1.12.134</t>
  </si>
  <si>
    <t>10.1.24.176</t>
  </si>
  <si>
    <t>10.1.24.177</t>
  </si>
  <si>
    <t>10.1.24.178</t>
  </si>
  <si>
    <t>10.1.24.166</t>
  </si>
  <si>
    <t>VPN0506</t>
  </si>
  <si>
    <t>VPN0507</t>
  </si>
  <si>
    <t xml:space="preserve">VPN0508 </t>
  </si>
  <si>
    <t>VPN0509</t>
  </si>
  <si>
    <t>VPN0514</t>
  </si>
  <si>
    <t>ccr@kaztranscom.kz</t>
  </si>
  <si>
    <t>10.1.24.184</t>
  </si>
  <si>
    <t>10.1.24.185</t>
  </si>
  <si>
    <t>10.1.24.186</t>
  </si>
  <si>
    <t>10.1.24.188</t>
  </si>
  <si>
    <t>10.1.24.189</t>
  </si>
  <si>
    <t>10.1.24.190</t>
  </si>
  <si>
    <t>10.1.24.192</t>
  </si>
  <si>
    <t>10.1.24.193</t>
  </si>
  <si>
    <t>10.1.24.194</t>
  </si>
  <si>
    <t>VPN0520</t>
  </si>
  <si>
    <t>VPN0519</t>
  </si>
  <si>
    <t>10.0.211.74</t>
  </si>
  <si>
    <t>VPN0522</t>
  </si>
  <si>
    <t>VPN0521</t>
  </si>
  <si>
    <t>10.1.24.196</t>
  </si>
  <si>
    <t>10.1.24.197</t>
  </si>
  <si>
    <t>10.1.24.198</t>
  </si>
  <si>
    <t>10.1.10.16</t>
  </si>
  <si>
    <t>10.1.10.17</t>
  </si>
  <si>
    <t>10.1.10.18</t>
  </si>
  <si>
    <t>10.1.10.20</t>
  </si>
  <si>
    <t>10.1.10.22</t>
  </si>
  <si>
    <t>10.1.10.21</t>
  </si>
  <si>
    <t>VPN0517</t>
  </si>
  <si>
    <t xml:space="preserve">VPN0531 </t>
  </si>
  <si>
    <t>VPN0516</t>
  </si>
  <si>
    <t>10.1.0.192</t>
  </si>
  <si>
    <t>10.1.0.193</t>
  </si>
  <si>
    <t>10.1.0.194</t>
  </si>
  <si>
    <t>10.1.0.196</t>
  </si>
  <si>
    <t>10.1.0.197</t>
  </si>
  <si>
    <t>10.1.0.198</t>
  </si>
  <si>
    <t>10.1.0.200</t>
  </si>
  <si>
    <t>10.1.0.201</t>
  </si>
  <si>
    <t>10.1.0.202</t>
  </si>
  <si>
    <t>10.1.3.128</t>
  </si>
  <si>
    <t>10.1.3.129</t>
  </si>
  <si>
    <t>10.1.3.130</t>
  </si>
  <si>
    <t>10.1.0.204</t>
  </si>
  <si>
    <t>10.1.0.205</t>
  </si>
  <si>
    <t>10.1.0.206</t>
  </si>
  <si>
    <t>10.1.0.208</t>
  </si>
  <si>
    <t>10.1.0.209</t>
  </si>
  <si>
    <t>10.1.0.210</t>
  </si>
  <si>
    <t xml:space="preserve">VPN0534 </t>
  </si>
  <si>
    <t>VPN0535</t>
  </si>
  <si>
    <t>10.1.5.76</t>
  </si>
  <si>
    <t>10.1.5.77</t>
  </si>
  <si>
    <t>10.1.5.78</t>
  </si>
  <si>
    <t>10.1.5.72</t>
  </si>
  <si>
    <t>10.1.5.73</t>
  </si>
  <si>
    <t>10.1.5.74</t>
  </si>
  <si>
    <t>10.1.5.64</t>
  </si>
  <si>
    <t>10.1.5.65</t>
  </si>
  <si>
    <t>10.1.5.66</t>
  </si>
  <si>
    <t>10.1.5.68</t>
  </si>
  <si>
    <t>10.1.5.69</t>
  </si>
  <si>
    <t>10.1.5.70</t>
  </si>
  <si>
    <t>VPN0539</t>
  </si>
  <si>
    <t>VPN0538</t>
  </si>
  <si>
    <t>VPN0540</t>
  </si>
  <si>
    <t>VPN0541</t>
  </si>
  <si>
    <t>10.0.211.88</t>
  </si>
  <si>
    <t>10.0.211.89</t>
  </si>
  <si>
    <t>10.0.211.90</t>
  </si>
  <si>
    <t>10.1.4.152</t>
  </si>
  <si>
    <t>10.1.4.153</t>
  </si>
  <si>
    <t>10.1.4.154</t>
  </si>
  <si>
    <t>10.1.4.12</t>
  </si>
  <si>
    <t>10.1.4.13</t>
  </si>
  <si>
    <t>10.1.4.14</t>
  </si>
  <si>
    <t>VPN0546</t>
  </si>
  <si>
    <t>VPN0544</t>
  </si>
  <si>
    <t>VPN0545</t>
  </si>
  <si>
    <t>VPN0548</t>
  </si>
  <si>
    <t>VPN0547</t>
  </si>
  <si>
    <t>VPN0536</t>
  </si>
  <si>
    <t>VPN0497</t>
  </si>
  <si>
    <t>10.1.24.80</t>
  </si>
  <si>
    <t>10.1.24.81</t>
  </si>
  <si>
    <t>10.1.24.82</t>
  </si>
  <si>
    <t>Chinarevo Uralsk CE1</t>
  </si>
  <si>
    <t>10.14.58.33</t>
  </si>
  <si>
    <t>10.5.17.97</t>
  </si>
  <si>
    <t>10.14.36.225</t>
  </si>
  <si>
    <t>Sayotes Aktau CE2</t>
  </si>
  <si>
    <t>10.14.43.193</t>
  </si>
  <si>
    <t>10.14.37.1</t>
  </si>
  <si>
    <t>10.14.37.33</t>
  </si>
  <si>
    <t>10.5.112.1</t>
  </si>
  <si>
    <t>10.14.43.225</t>
  </si>
  <si>
    <t>VPN0570</t>
  </si>
  <si>
    <t>ZHANATAS Taraz CE1</t>
  </si>
  <si>
    <t>10.14.203.97</t>
  </si>
  <si>
    <t>10.13.203.97</t>
  </si>
  <si>
    <t>10.1.24.208</t>
  </si>
  <si>
    <t>10.1.24.209</t>
  </si>
  <si>
    <t>10.1.24.210</t>
  </si>
  <si>
    <t>10.1.24.212</t>
  </si>
  <si>
    <t>10.1.24.213</t>
  </si>
  <si>
    <t>10.1.24.214</t>
  </si>
  <si>
    <t>10.1.24.224</t>
  </si>
  <si>
    <t>10.1.24.225</t>
  </si>
  <si>
    <t>10.1.24.226</t>
  </si>
  <si>
    <t>10.1.24.216</t>
  </si>
  <si>
    <t>10.1.24.217</t>
  </si>
  <si>
    <t>10.1.24.218</t>
  </si>
  <si>
    <t>10.1.24.220</t>
  </si>
  <si>
    <t>10.1.24.221</t>
  </si>
  <si>
    <t>10.1.24.222</t>
  </si>
  <si>
    <t>10.1.5.48</t>
  </si>
  <si>
    <t>10.1.5.49</t>
  </si>
  <si>
    <t>10.1.5.50</t>
  </si>
  <si>
    <t>10.1.5.52</t>
  </si>
  <si>
    <t>10.1.5.53</t>
  </si>
  <si>
    <t>10.1.5.54</t>
  </si>
  <si>
    <t>10.1.5.56</t>
  </si>
  <si>
    <t>10.1.5.57</t>
  </si>
  <si>
    <t>10.1.5.58</t>
  </si>
  <si>
    <t>10.1.5.60</t>
  </si>
  <si>
    <t>10.1.5.61</t>
  </si>
  <si>
    <t>10.1.5.62</t>
  </si>
  <si>
    <t>10.1.5.97</t>
  </si>
  <si>
    <t>10.1.5.98</t>
  </si>
  <si>
    <t>10.1.5.96</t>
  </si>
  <si>
    <t>VPN0579</t>
  </si>
  <si>
    <t>VPN0580</t>
  </si>
  <si>
    <t>VPN0581</t>
  </si>
  <si>
    <t> 1421</t>
  </si>
  <si>
    <t> 1420</t>
  </si>
  <si>
    <t>305 </t>
  </si>
  <si>
    <t>304 </t>
  </si>
  <si>
    <t>553 </t>
  </si>
  <si>
    <t xml:space="preserve">VPN0578 </t>
  </si>
  <si>
    <t>VPN0577</t>
  </si>
  <si>
    <t>VPN0584</t>
  </si>
  <si>
    <t>VPN0585</t>
  </si>
  <si>
    <t>VPN0586</t>
  </si>
  <si>
    <t>VPN0587</t>
  </si>
  <si>
    <t>VPN0553</t>
  </si>
  <si>
    <t>VPN0554</t>
  </si>
  <si>
    <t>VPN0582</t>
  </si>
  <si>
    <t>10.1.24.232</t>
  </si>
  <si>
    <t>10.1.24.233</t>
  </si>
  <si>
    <t>10.1.24.234</t>
  </si>
  <si>
    <t>10.1.24.236</t>
  </si>
  <si>
    <t>10.1.24.237</t>
  </si>
  <si>
    <t>10.1.24.238</t>
  </si>
  <si>
    <t>10.1.24.240</t>
  </si>
  <si>
    <t>10.1.24.241</t>
  </si>
  <si>
    <t>10.1.24.242</t>
  </si>
  <si>
    <t>10.1.24.244</t>
  </si>
  <si>
    <t>10.1.24.245</t>
  </si>
  <si>
    <t>10.1.26.16</t>
  </si>
  <si>
    <t>10.1.26.17</t>
  </si>
  <si>
    <t>10.1.26.18</t>
  </si>
  <si>
    <t>10.1.26.20</t>
  </si>
  <si>
    <t>10.1.26.21</t>
  </si>
  <si>
    <t>10.1.26.22</t>
  </si>
  <si>
    <t>10.1.26.24</t>
  </si>
  <si>
    <t>10.1.26.25</t>
  </si>
  <si>
    <t>10.1.26.26</t>
  </si>
  <si>
    <t>10.1.26.28</t>
  </si>
  <si>
    <t>10.1.26.29</t>
  </si>
  <si>
    <t>10.1.26.30</t>
  </si>
  <si>
    <t>10.1.26.32</t>
  </si>
  <si>
    <t>10.1.26.33</t>
  </si>
  <si>
    <t>10.1.26.34</t>
  </si>
  <si>
    <t>10.1.26.36</t>
  </si>
  <si>
    <t>10.1.26.37</t>
  </si>
  <si>
    <t>10.1.26.38</t>
  </si>
  <si>
    <t>10.1.26.40</t>
  </si>
  <si>
    <t>10.1.26.41</t>
  </si>
  <si>
    <t>10.1.26.42</t>
  </si>
  <si>
    <t>10.1.26.44</t>
  </si>
  <si>
    <t>10.1.26.45</t>
  </si>
  <si>
    <t>10.1.26.46</t>
  </si>
  <si>
    <t>Zhympity Uralsk CE1</t>
  </si>
  <si>
    <t>10.14.58.65</t>
  </si>
  <si>
    <t>10.5.18.33</t>
  </si>
  <si>
    <t>10.1.26.48</t>
  </si>
  <si>
    <t>10.1.26.49</t>
  </si>
  <si>
    <t>10.1.26.50</t>
  </si>
  <si>
    <t>10.1.26.52</t>
  </si>
  <si>
    <t>10.1.26.53</t>
  </si>
  <si>
    <t>10.1.26.54</t>
  </si>
  <si>
    <t>10.1.24.246</t>
  </si>
  <si>
    <t>VPN0598</t>
  </si>
  <si>
    <t>VPN0599</t>
  </si>
  <si>
    <t>VPN0590</t>
  </si>
  <si>
    <t>VPN0591</t>
  </si>
  <si>
    <t>VPN0594</t>
  </si>
  <si>
    <t>VPN0595</t>
  </si>
  <si>
    <t>VPN0596</t>
  </si>
  <si>
    <t>VPN0597</t>
  </si>
  <si>
    <t>VPN0600</t>
  </si>
  <si>
    <t>VPN0601</t>
  </si>
  <si>
    <t>VPN0603</t>
  </si>
  <si>
    <t>VPN0602</t>
  </si>
  <si>
    <t>VPN0592</t>
  </si>
  <si>
    <t>VPN0593</t>
  </si>
  <si>
    <t>10.1.26.56</t>
  </si>
  <si>
    <t>10.1.26.57</t>
  </si>
  <si>
    <t>10.1.26.58</t>
  </si>
  <si>
    <t>10.1.26.60</t>
  </si>
  <si>
    <t>10.1.26.61</t>
  </si>
  <si>
    <t>10.1.26.62</t>
  </si>
  <si>
    <t>10.1.26.64</t>
  </si>
  <si>
    <t>10.1.26.65</t>
  </si>
  <si>
    <t>10.1.26.66</t>
  </si>
  <si>
    <t>10.1.26.68</t>
  </si>
  <si>
    <t>10.1.26.69</t>
  </si>
  <si>
    <t>10.1.26.70</t>
  </si>
  <si>
    <t>10.1.26.72</t>
  </si>
  <si>
    <t>10.1.26.73</t>
  </si>
  <si>
    <t>10.1.26.74</t>
  </si>
  <si>
    <t>Termination point</t>
  </si>
  <si>
    <t>100Mb(KZT)</t>
  </si>
  <si>
    <t>20Gb</t>
  </si>
  <si>
    <t>10Gb</t>
  </si>
  <si>
    <t>1Gb</t>
  </si>
  <si>
    <t>2Gb</t>
  </si>
  <si>
    <t>Akkistau Atyrau CE1</t>
  </si>
  <si>
    <t>Kalamkas AGR</t>
  </si>
  <si>
    <t>Kokpekty AGR_1</t>
  </si>
  <si>
    <t>4Gb</t>
  </si>
  <si>
    <t>10.1.26.76</t>
  </si>
  <si>
    <t>10.1.26.77</t>
  </si>
  <si>
    <t>10.1.26.78</t>
  </si>
  <si>
    <t>10.1.26.80</t>
  </si>
  <si>
    <t>10.1.26.81</t>
  </si>
  <si>
    <t>10.1.26.82</t>
  </si>
  <si>
    <t>AlmatyCE3</t>
  </si>
  <si>
    <t xml:space="preserve">VPN0523 </t>
  </si>
  <si>
    <t>ZhetisayReserve</t>
  </si>
  <si>
    <t>VPN0607</t>
  </si>
  <si>
    <t>VPN0608</t>
  </si>
  <si>
    <t>VPN0604</t>
  </si>
  <si>
    <t>VPN0605</t>
  </si>
  <si>
    <t>VPN0606</t>
  </si>
  <si>
    <t>10.1.26.88</t>
  </si>
  <si>
    <t>10.1.26.89</t>
  </si>
  <si>
    <t>10.1.26.90</t>
  </si>
  <si>
    <t>VPN0609</t>
  </si>
  <si>
    <t>VPN0610</t>
  </si>
  <si>
    <t>10.1.26.92</t>
  </si>
  <si>
    <t>10.1.26.93</t>
  </si>
  <si>
    <t>10.1.26.94</t>
  </si>
  <si>
    <t>10.1.26.96</t>
  </si>
  <si>
    <t>10.1.26.97</t>
  </si>
  <si>
    <t>10.1.26.98</t>
  </si>
  <si>
    <t>10.1.26.100</t>
  </si>
  <si>
    <t>10.1.26.101</t>
  </si>
  <si>
    <t>10.1.26.102</t>
  </si>
  <si>
    <t>10.1.26.108</t>
  </si>
  <si>
    <t>10.1.26.109</t>
  </si>
  <si>
    <t>10.1.26.110</t>
  </si>
  <si>
    <t>10.1.26.104</t>
  </si>
  <si>
    <t>10.1.26.105</t>
  </si>
  <si>
    <t>10.1.26.106</t>
  </si>
  <si>
    <t>10.1.6.190</t>
  </si>
  <si>
    <t>10.1.6.189</t>
  </si>
  <si>
    <t>10.1.6.188</t>
  </si>
  <si>
    <t>10.1.26.112</t>
  </si>
  <si>
    <t>10.1.26.113</t>
  </si>
  <si>
    <t>10.1.26.114</t>
  </si>
  <si>
    <t>10.1.26.116</t>
  </si>
  <si>
    <t>10.1.26.117</t>
  </si>
  <si>
    <t>10.1.26.118</t>
  </si>
  <si>
    <t>Ryskulova - Shymkent CE2</t>
  </si>
  <si>
    <t>?</t>
  </si>
  <si>
    <t>10.5.20.1</t>
  </si>
  <si>
    <t>10.1.26.120</t>
  </si>
  <si>
    <t>10.1.26.121</t>
  </si>
  <si>
    <t>10.1.26.122</t>
  </si>
  <si>
    <t>10.1.26.124</t>
  </si>
  <si>
    <t>10.1.26.125</t>
  </si>
  <si>
    <t>10.1.26.126</t>
  </si>
  <si>
    <t>10.1.26.128</t>
  </si>
  <si>
    <t>10.1.26.129</t>
  </si>
  <si>
    <t>10.1.26.130</t>
  </si>
  <si>
    <t>VPN0614</t>
  </si>
  <si>
    <t>VPN0613</t>
  </si>
  <si>
    <t>10.1.26.132</t>
  </si>
  <si>
    <t>10.1.26.133</t>
  </si>
  <si>
    <t>10.1.26.134</t>
  </si>
  <si>
    <t>10.1.26.136</t>
  </si>
  <si>
    <t>10.1.26.137</t>
  </si>
  <si>
    <t>10.1.26.138</t>
  </si>
  <si>
    <t>VPN0615</t>
  </si>
  <si>
    <t>VPN0616</t>
  </si>
  <si>
    <t>10.1.26.140</t>
  </si>
  <si>
    <t>10.1.26.141</t>
  </si>
  <si>
    <t>10.1.26.142</t>
  </si>
  <si>
    <t>10.1.26.148</t>
  </si>
  <si>
    <t>10.1.26.149</t>
  </si>
  <si>
    <t>10.1.26.150</t>
  </si>
  <si>
    <t>10.1.26.152</t>
  </si>
  <si>
    <t>10.1.26.153</t>
  </si>
  <si>
    <t>10.1.26.154</t>
  </si>
  <si>
    <t>10.1.26.156</t>
  </si>
  <si>
    <t>10.1.26.157</t>
  </si>
  <si>
    <t>10.1.26.158</t>
  </si>
  <si>
    <t>10.1.26.160</t>
  </si>
  <si>
    <t>10.1.26.161</t>
  </si>
  <si>
    <t>10.1.26.162</t>
  </si>
  <si>
    <t>10.1.26.164</t>
  </si>
  <si>
    <t>10.1.26.165</t>
  </si>
  <si>
    <t>10.1.26.166</t>
  </si>
  <si>
    <t>10.1.26.168</t>
  </si>
  <si>
    <t>10.1.26.169</t>
  </si>
  <si>
    <t>10.1.26.170</t>
  </si>
  <si>
    <t>10.1.26.172</t>
  </si>
  <si>
    <t>10.1.26.173</t>
  </si>
  <si>
    <t>10.1.26.174</t>
  </si>
  <si>
    <t>10.1.26.176</t>
  </si>
  <si>
    <t>10.1.26.177</t>
  </si>
  <si>
    <t>10.1.26.178</t>
  </si>
  <si>
    <t>10.1.26.180</t>
  </si>
  <si>
    <t>10.1.26.181</t>
  </si>
  <si>
    <t>10.1.26.182</t>
  </si>
  <si>
    <t>10.1.26.184</t>
  </si>
  <si>
    <t>10.1.26.185</t>
  </si>
  <si>
    <t>10.1.26.186</t>
  </si>
  <si>
    <t>10.1.26.188</t>
  </si>
  <si>
    <t>10.1.26.189</t>
  </si>
  <si>
    <t>10.1.26.190</t>
  </si>
  <si>
    <t>10.1.26.192</t>
  </si>
  <si>
    <t>10.1.26.193</t>
  </si>
  <si>
    <t>10.1.26.194</t>
  </si>
  <si>
    <t>VPN0617</t>
  </si>
  <si>
    <t>VPN0618</t>
  </si>
  <si>
    <t>VPN0619</t>
  </si>
  <si>
    <t>10.1.14.20</t>
  </si>
  <si>
    <t>10.1.14.21</t>
  </si>
  <si>
    <t>10.1.14.22</t>
  </si>
  <si>
    <t>VPN0620</t>
  </si>
  <si>
    <t>10.1.6.120</t>
  </si>
  <si>
    <t>10.1.6.121</t>
  </si>
  <si>
    <t>10.1.6.122</t>
  </si>
  <si>
    <t>10.0.1.152</t>
  </si>
  <si>
    <t>10.0.1.153</t>
  </si>
  <si>
    <t>10.0.1.154</t>
  </si>
  <si>
    <t>10.1.26.196</t>
  </si>
  <si>
    <t>10.1.26.197</t>
  </si>
  <si>
    <t>10.1.26.198</t>
  </si>
  <si>
    <t>10.1.26.200</t>
  </si>
  <si>
    <t>10.1.26.201</t>
  </si>
  <si>
    <t>10.1.26.202</t>
  </si>
  <si>
    <t>VPN0621</t>
  </si>
  <si>
    <t>VPN0625</t>
  </si>
  <si>
    <t>VPN0622</t>
  </si>
  <si>
    <t>VPN0623</t>
  </si>
  <si>
    <t>VPN0624</t>
  </si>
  <si>
    <t>VPN0636</t>
  </si>
  <si>
    <t>VPN0635</t>
  </si>
  <si>
    <t>VPN0634</t>
  </si>
  <si>
    <t>VPN0633</t>
  </si>
  <si>
    <t>VPN0632</t>
  </si>
  <si>
    <t>10.1.1.128</t>
  </si>
  <si>
    <t>10.1.1.129</t>
  </si>
  <si>
    <t>10.1.1.130</t>
  </si>
  <si>
    <t>VPN0639</t>
  </si>
  <si>
    <t>VPN0640</t>
  </si>
  <si>
    <t>10.1.26.204</t>
  </si>
  <si>
    <t>10.1.26.205</t>
  </si>
  <si>
    <t>10.1.26.206</t>
  </si>
  <si>
    <t>10.1.26.212</t>
  </si>
  <si>
    <t>10.1.26.213</t>
  </si>
  <si>
    <t>10.1.26.214</t>
  </si>
  <si>
    <t>10.1.26.208</t>
  </si>
  <si>
    <t>10.1.26.209</t>
  </si>
  <si>
    <t>10.1.26.210</t>
  </si>
  <si>
    <t>VPN0626</t>
  </si>
  <si>
    <t>VPN0627</t>
  </si>
  <si>
    <t>VPN0628</t>
  </si>
  <si>
    <t>VPN0629</t>
  </si>
  <si>
    <t>VPN0630</t>
  </si>
  <si>
    <t>10.1.26.216</t>
  </si>
  <si>
    <t>10.1.26.217</t>
  </si>
  <si>
    <t>10.1.26.218</t>
  </si>
  <si>
    <t>10.1.26.220</t>
  </si>
  <si>
    <t>10.1.26.221</t>
  </si>
  <si>
    <t>10.1.26.222</t>
  </si>
  <si>
    <t>10.1.26.224</t>
  </si>
  <si>
    <t>10.1.26.225</t>
  </si>
  <si>
    <t>10.1.26.226</t>
  </si>
  <si>
    <t>10.1.26.228</t>
  </si>
  <si>
    <t>10.1.26.229</t>
  </si>
  <si>
    <t>10.1.26.230</t>
  </si>
  <si>
    <t>10.1.26.232</t>
  </si>
  <si>
    <t>10.1.26.233</t>
  </si>
  <si>
    <t>10.1.26.234</t>
  </si>
  <si>
    <t>VPN0637</t>
  </si>
  <si>
    <t>VPN0638</t>
  </si>
  <si>
    <t>10.1.26.236</t>
  </si>
  <si>
    <t>10.1.26.237</t>
  </si>
  <si>
    <t>10.1.26.238</t>
  </si>
  <si>
    <t>10.1.26.248</t>
  </si>
  <si>
    <t>10.1.26.249</t>
  </si>
  <si>
    <t>10.1.26.250</t>
  </si>
  <si>
    <t>10.1.26.252</t>
  </si>
  <si>
    <t>10.1.26.253</t>
  </si>
  <si>
    <t>10.1.26.254</t>
  </si>
  <si>
    <t>10.1.26.244</t>
  </si>
  <si>
    <t>10.1.26.245</t>
  </si>
  <si>
    <t>10.1.26.246</t>
  </si>
  <si>
    <t>10.1.26.240</t>
  </si>
  <si>
    <t>10.1.26.241</t>
  </si>
  <si>
    <t>10.1.26.242</t>
  </si>
  <si>
    <t>10.1.25.0</t>
  </si>
  <si>
    <t>10.1.25.1</t>
  </si>
  <si>
    <t>10.1.25.2</t>
  </si>
  <si>
    <t>Taldykorgan CE2</t>
  </si>
  <si>
    <t>10.1.8.32</t>
  </si>
  <si>
    <t>10.1.8.33</t>
  </si>
  <si>
    <t>10.1.8.34</t>
  </si>
  <si>
    <t>10.1.8.36</t>
  </si>
  <si>
    <t>10.1.8.37</t>
  </si>
  <si>
    <t>10.1.8.38</t>
  </si>
  <si>
    <t>VPN0643</t>
  </si>
  <si>
    <t>VPN0641</t>
  </si>
  <si>
    <t>VPN0642</t>
  </si>
  <si>
    <t>10.1.25.8</t>
  </si>
  <si>
    <t>10.1.25.9</t>
  </si>
  <si>
    <t>10.1.25.10</t>
  </si>
  <si>
    <t>10.1.25.4</t>
  </si>
  <si>
    <t>10.1.25.6</t>
  </si>
  <si>
    <t>10.1.25.5</t>
  </si>
  <si>
    <t>10.1.25.32</t>
  </si>
  <si>
    <t>10.1.25.33</t>
  </si>
  <si>
    <t>10.1.25.34</t>
  </si>
  <si>
    <t>10.1.25.12</t>
  </si>
  <si>
    <t>10.1.25.13</t>
  </si>
  <si>
    <t>10.1.25.14</t>
  </si>
  <si>
    <t>10.1.25.16</t>
  </si>
  <si>
    <t>10.1.25.17</t>
  </si>
  <si>
    <t>10.1.25.18</t>
  </si>
  <si>
    <t>10.1.25.20</t>
  </si>
  <si>
    <t>10.1.25.21</t>
  </si>
  <si>
    <t>10.1.25.22</t>
  </si>
  <si>
    <t>10.1.25.24</t>
  </si>
  <si>
    <t>10.1.25.25</t>
  </si>
  <si>
    <t>10.1.25.26</t>
  </si>
  <si>
    <t>10.1.25.28</t>
  </si>
  <si>
    <t>10.1.25.29</t>
  </si>
  <si>
    <t>10.1.25.30</t>
  </si>
  <si>
    <t>10.1.25.36</t>
  </si>
  <si>
    <t>10.1.25.37</t>
  </si>
  <si>
    <t>10.1.25.38</t>
  </si>
  <si>
    <t>10.1.25.40</t>
  </si>
  <si>
    <t>10.1.25.41</t>
  </si>
  <si>
    <t>10.1.25.42</t>
  </si>
  <si>
    <t>VPN0653</t>
  </si>
  <si>
    <t>VPN0654</t>
  </si>
  <si>
    <t>10.1.25.44</t>
  </si>
  <si>
    <t>10.1.25.45</t>
  </si>
  <si>
    <t>10.1.25.46</t>
  </si>
  <si>
    <t>10.1.25.48</t>
  </si>
  <si>
    <t>10.1.25.49</t>
  </si>
  <si>
    <t>10.1.25.50</t>
  </si>
  <si>
    <t>10.1.25.52</t>
  </si>
  <si>
    <t>10.1.25.53</t>
  </si>
  <si>
    <t>10.1.25.54</t>
  </si>
  <si>
    <t>VPN0649</t>
  </si>
  <si>
    <t xml:space="preserve"> VPN0650</t>
  </si>
  <si>
    <t xml:space="preserve"> VPN0651</t>
  </si>
  <si>
    <t xml:space="preserve"> VPN0652</t>
  </si>
  <si>
    <t>VPN0659</t>
  </si>
  <si>
    <t>10.1.25.56</t>
  </si>
  <si>
    <t>10.1.25.57</t>
  </si>
  <si>
    <t>10.1.25.58</t>
  </si>
  <si>
    <t>VPN0661</t>
  </si>
  <si>
    <t>VPN0644</t>
  </si>
  <si>
    <t>VPN0645</t>
  </si>
  <si>
    <t>VPN0646</t>
  </si>
  <si>
    <t>VPN0647</t>
  </si>
  <si>
    <t>VPN0648</t>
  </si>
  <si>
    <t>VPN0657</t>
  </si>
  <si>
    <t>VPN0658</t>
  </si>
  <si>
    <t>VPN0662</t>
  </si>
  <si>
    <t>VPN0663</t>
  </si>
  <si>
    <t>VPN0664</t>
  </si>
  <si>
    <t>10.1.25.72</t>
  </si>
  <si>
    <t>10.1.25.73</t>
  </si>
  <si>
    <t>10.1.25.74</t>
  </si>
  <si>
    <t>10.1.25.68</t>
  </si>
  <si>
    <t>10.1.25.69</t>
  </si>
  <si>
    <t>10.1.25.70</t>
  </si>
  <si>
    <t>10.1.25.60</t>
  </si>
  <si>
    <t>10.1.25.61</t>
  </si>
  <si>
    <t>10.1.25.62</t>
  </si>
  <si>
    <t>10.1.25.64</t>
  </si>
  <si>
    <t>10.1.25.65</t>
  </si>
  <si>
    <t>10.1.25.66</t>
  </si>
  <si>
    <t>VPN0656</t>
  </si>
  <si>
    <t>10.1.25.76</t>
  </si>
  <si>
    <t>10.1.25.77</t>
  </si>
  <si>
    <t>10.1.25.78</t>
  </si>
  <si>
    <t>VPN0665</t>
  </si>
  <si>
    <t>VPN0666</t>
  </si>
  <si>
    <t>IP address KZT</t>
  </si>
  <si>
    <t>IP address Kcell</t>
  </si>
  <si>
    <t>IP address TNS+</t>
  </si>
  <si>
    <t>IP address KazTransCom</t>
  </si>
  <si>
    <t>IP address Transtelecom</t>
  </si>
  <si>
    <t>VPN0670</t>
  </si>
  <si>
    <t>VPN0671</t>
  </si>
  <si>
    <t>VPN0672</t>
  </si>
  <si>
    <t>VPN0673</t>
  </si>
  <si>
    <t>VPN0674</t>
  </si>
  <si>
    <t>VPN0675</t>
  </si>
  <si>
    <t>VPN0676</t>
  </si>
  <si>
    <t>VPN0667</t>
  </si>
  <si>
    <t>10.1.7.4</t>
  </si>
  <si>
    <t>10.1.7.5</t>
  </si>
  <si>
    <t>10.1.7.6</t>
  </si>
  <si>
    <t>10.1.7.12</t>
  </si>
  <si>
    <t>10.1.7.13</t>
  </si>
  <si>
    <t>10.1.7.14</t>
  </si>
  <si>
    <t>Aksay CE1</t>
  </si>
  <si>
    <t>10.1.5.128</t>
  </si>
  <si>
    <t>10.1.5.129</t>
  </si>
  <si>
    <t>10.1.5.130</t>
  </si>
  <si>
    <t>10.1.5.132</t>
  </si>
  <si>
    <t>10.1.5.133</t>
  </si>
  <si>
    <t>10.1.5.134</t>
  </si>
  <si>
    <t>10.1.5.136</t>
  </si>
  <si>
    <t>10.1.5.137</t>
  </si>
  <si>
    <t>10.1.5.138</t>
  </si>
  <si>
    <t>10.1.5.140</t>
  </si>
  <si>
    <t>10.1.5.141</t>
  </si>
  <si>
    <t>10.1.5.142</t>
  </si>
  <si>
    <t>10.1.5.144</t>
  </si>
  <si>
    <t>10.1.5.145</t>
  </si>
  <si>
    <t>10.1.5.146</t>
  </si>
  <si>
    <t>10.1.5.148</t>
  </si>
  <si>
    <t>10.1.5.149</t>
  </si>
  <si>
    <t>10.1.5.150</t>
  </si>
  <si>
    <t>10.1.5.152</t>
  </si>
  <si>
    <t>10.1.5.153</t>
  </si>
  <si>
    <t>10.1.5.154</t>
  </si>
  <si>
    <t>10.1.5.156</t>
  </si>
  <si>
    <t>10.1.5.157</t>
  </si>
  <si>
    <t>10.1.5.158</t>
  </si>
  <si>
    <t>10.1.4.52</t>
  </si>
  <si>
    <t>10.1.4.53</t>
  </si>
  <si>
    <t>10.1.4.54</t>
  </si>
  <si>
    <t>10.1.6.56</t>
  </si>
  <si>
    <t>10.1.6.57</t>
  </si>
  <si>
    <t>10.1.6.58</t>
  </si>
  <si>
    <t>VPN0660</t>
  </si>
  <si>
    <t>10.1.25.80</t>
  </si>
  <si>
    <t>10.1.25.81</t>
  </si>
  <si>
    <t>10.1.25.82</t>
  </si>
  <si>
    <t>10.1.25.84</t>
  </si>
  <si>
    <t>10.1.25.85</t>
  </si>
  <si>
    <t>10.1.25.86</t>
  </si>
  <si>
    <t>10.1.25.88</t>
  </si>
  <si>
    <t>10.1.25.89</t>
  </si>
  <si>
    <t>10.1.25.90</t>
  </si>
  <si>
    <t>10.1.25.92</t>
  </si>
  <si>
    <t>10.1.25.93</t>
  </si>
  <si>
    <t>10.1.25.94</t>
  </si>
  <si>
    <t>STSAG1</t>
  </si>
  <si>
    <t>10.1.0.228</t>
  </si>
  <si>
    <t>10.1.0.229</t>
  </si>
  <si>
    <t>10.1.0.230</t>
  </si>
  <si>
    <t>VPN0681</t>
  </si>
  <si>
    <t>VPN0682</t>
  </si>
  <si>
    <t>noc@ttc.kz</t>
  </si>
  <si>
    <t>VPN0379</t>
  </si>
  <si>
    <t>10.14.37.96</t>
  </si>
  <si>
    <t>10.5.18.224</t>
  </si>
  <si>
    <t>VPN0518</t>
  </si>
  <si>
    <t>10.1.4.48</t>
  </si>
  <si>
    <t>10.1.4.49</t>
  </si>
  <si>
    <t>10.1.4.50</t>
  </si>
  <si>
    <t>VPN0688</t>
  </si>
  <si>
    <t>1 Gb</t>
  </si>
  <si>
    <t>10.1.25.96</t>
  </si>
  <si>
    <t>10.1.25.97</t>
  </si>
  <si>
    <t>10.1.25.98</t>
  </si>
  <si>
    <t>10.1.25.100</t>
  </si>
  <si>
    <t>10.1.25.101</t>
  </si>
  <si>
    <t>10.1.25.102</t>
  </si>
  <si>
    <t>VPN0689</t>
  </si>
  <si>
    <t>10.1.25.108</t>
  </si>
  <si>
    <t>10.1.25.109</t>
  </si>
  <si>
    <t>10.1.25.110</t>
  </si>
  <si>
    <t>10.1.25.104</t>
  </si>
  <si>
    <t>10.1.25.105</t>
  </si>
  <si>
    <t>10.1.25.106</t>
  </si>
  <si>
    <t>VPN0691</t>
  </si>
  <si>
    <t>VPN0692</t>
  </si>
  <si>
    <t>VPN0668</t>
  </si>
  <si>
    <t>VPN0683</t>
  </si>
  <si>
    <t>VPN0684</t>
  </si>
  <si>
    <t>VPN0685</t>
  </si>
  <si>
    <t>VPN0686</t>
  </si>
  <si>
    <t>10.1.25.112</t>
  </si>
  <si>
    <t>10.1.25.113</t>
  </si>
  <si>
    <t>10.1.25.114</t>
  </si>
  <si>
    <t>10.1.4.72</t>
  </si>
  <si>
    <t>10.1.4.73</t>
  </si>
  <si>
    <t>10.1.4.74</t>
  </si>
  <si>
    <t>10.1.25.116</t>
  </si>
  <si>
    <t>10.1.25.117</t>
  </si>
  <si>
    <t>10.1.25.118</t>
  </si>
  <si>
    <t>10.1.25.120</t>
  </si>
  <si>
    <t>10.1.25.121</t>
  </si>
  <si>
    <t>10.1.25.122</t>
  </si>
  <si>
    <t>VPN0693</t>
  </si>
  <si>
    <t>VPN0694</t>
  </si>
  <si>
    <t>VPN0696</t>
  </si>
  <si>
    <t>VPN0695</t>
  </si>
  <si>
    <t>VPN0698</t>
  </si>
  <si>
    <t>VPN0697</t>
  </si>
  <si>
    <t>VPN0700</t>
  </si>
  <si>
    <t>VPN0699</t>
  </si>
  <si>
    <t>Cappacity</t>
  </si>
  <si>
    <t>Procent</t>
  </si>
  <si>
    <t>10.1.25.124</t>
  </si>
  <si>
    <t>10.1.25.125</t>
  </si>
  <si>
    <t>10.1.25.126</t>
  </si>
  <si>
    <t>10.1.25.128</t>
  </si>
  <si>
    <t>10.1.25.129</t>
  </si>
  <si>
    <t>10.1.25.130</t>
  </si>
  <si>
    <t>10.1.25.132</t>
  </si>
  <si>
    <t>10.1.25.133</t>
  </si>
  <si>
    <t>10.1.25.134</t>
  </si>
  <si>
    <t>10.1.25.136</t>
  </si>
  <si>
    <t>10.1.25.137</t>
  </si>
  <si>
    <t>10.1.25.138</t>
  </si>
  <si>
    <t>10.1.25.140</t>
  </si>
  <si>
    <t>10.1.25.141</t>
  </si>
  <si>
    <t>10.1.25.142</t>
  </si>
  <si>
    <t>10.1.25.144</t>
  </si>
  <si>
    <t>10.1.25.145</t>
  </si>
  <si>
    <t>10.1.25.146</t>
  </si>
  <si>
    <t>10.1.25.148</t>
  </si>
  <si>
    <t>10.1.25.149</t>
  </si>
  <si>
    <t>10.1.25.150</t>
  </si>
  <si>
    <t>10.1.25.152</t>
  </si>
  <si>
    <t>10.1.25.153</t>
  </si>
  <si>
    <t>10.1.25.154</t>
  </si>
  <si>
    <t>10.1.25.156</t>
  </si>
  <si>
    <t>10.1.25.157</t>
  </si>
  <si>
    <t>10.1.25.158</t>
  </si>
  <si>
    <t>VPN0701</t>
  </si>
  <si>
    <t>VPN0702</t>
  </si>
  <si>
    <t>VPN0703</t>
  </si>
  <si>
    <t>VPN0704</t>
  </si>
  <si>
    <t>VPN0705</t>
  </si>
  <si>
    <t>10.1.26.146</t>
  </si>
  <si>
    <t>10.1.26.145</t>
  </si>
  <si>
    <t>10.1.26.144</t>
  </si>
  <si>
    <t>10.1.25.160</t>
  </si>
  <si>
    <t>10.1.25.161</t>
  </si>
  <si>
    <t>10.1.25.162</t>
  </si>
  <si>
    <t>VPN0707</t>
  </si>
  <si>
    <t>VPN0706</t>
  </si>
  <si>
    <t>VPN0710</t>
  </si>
  <si>
    <t>Turkestan CE1</t>
  </si>
  <si>
    <t>10.1.7.128</t>
  </si>
  <si>
    <t>10.1.7.129</t>
  </si>
  <si>
    <t>10.1.7.130</t>
  </si>
  <si>
    <t>10.1.7.132</t>
  </si>
  <si>
    <t>10.1.7.133</t>
  </si>
  <si>
    <t>10.1.7.134</t>
  </si>
  <si>
    <t>10.1.7.136</t>
  </si>
  <si>
    <t>10.1.7.137</t>
  </si>
  <si>
    <t>10.1.7.138</t>
  </si>
  <si>
    <t>10.1.7.140</t>
  </si>
  <si>
    <t>10.1.7.141</t>
  </si>
  <si>
    <t>10.1.7.142</t>
  </si>
  <si>
    <t>10.1.7.144</t>
  </si>
  <si>
    <t>10.1.7.145</t>
  </si>
  <si>
    <t>10.1.7.146</t>
  </si>
  <si>
    <t>10.1.10.244</t>
  </si>
  <si>
    <t>10.1.10.245</t>
  </si>
  <si>
    <t>10.1.10.246</t>
  </si>
  <si>
    <t>10.1.6.124</t>
  </si>
  <si>
    <t>10.1.6.125</t>
  </si>
  <si>
    <t>10.1.6.126</t>
  </si>
  <si>
    <t>10.1.25.164</t>
  </si>
  <si>
    <t>10.1.25.165</t>
  </si>
  <si>
    <t>10.1.25.166</t>
  </si>
  <si>
    <t>VPN0711</t>
  </si>
  <si>
    <t>VPN0712</t>
  </si>
  <si>
    <t>VPN0713</t>
  </si>
  <si>
    <t>VPN0714</t>
  </si>
  <si>
    <t>10.14.205.97</t>
  </si>
  <si>
    <t>10.14.205.129</t>
  </si>
  <si>
    <t>Kyzimshek Shymkent CE2</t>
  </si>
  <si>
    <t>Sozak Shymkent CE2</t>
  </si>
  <si>
    <t>10.1.25.168</t>
  </si>
  <si>
    <t>10.1.25.169</t>
  </si>
  <si>
    <t>10.1.25.170</t>
  </si>
  <si>
    <t>VPN0715</t>
  </si>
  <si>
    <t>10.1.25.172</t>
  </si>
  <si>
    <t>10.1.25.173</t>
  </si>
  <si>
    <t>10.1.25.174</t>
  </si>
  <si>
    <t>10.1.25.176</t>
  </si>
  <si>
    <t>10.1.25.177</t>
  </si>
  <si>
    <t>10.1.25.178</t>
  </si>
  <si>
    <t>10.1.25.180</t>
  </si>
  <si>
    <t>10.1.25.181</t>
  </si>
  <si>
    <t>10.1.25.182</t>
  </si>
  <si>
    <t>10.1.25.184</t>
  </si>
  <si>
    <t>10.1.25.185</t>
  </si>
  <si>
    <t>10.1.25.186</t>
  </si>
  <si>
    <t>AKTOGAY Semey CE2</t>
  </si>
  <si>
    <r>
      <t>Zhanatas CE1</t>
    </r>
    <r>
      <rPr>
        <sz val="8"/>
        <color theme="1"/>
        <rFont val="Calibri"/>
        <family val="2"/>
        <charset val="204"/>
        <scheme val="minor"/>
      </rPr>
      <t xml:space="preserve"> </t>
    </r>
  </si>
  <si>
    <t>10.5.96.49</t>
  </si>
  <si>
    <t>VPN0718</t>
  </si>
  <si>
    <t>VPN0719</t>
  </si>
  <si>
    <t>10.1.25.220</t>
  </si>
  <si>
    <t>10.1.25.221</t>
  </si>
  <si>
    <t>10.1.25.222</t>
  </si>
  <si>
    <t>VPN0678</t>
  </si>
  <si>
    <t>OFD</t>
  </si>
  <si>
    <t>10.1.0.236</t>
  </si>
  <si>
    <t>10.1.0.237</t>
  </si>
  <si>
    <t>10.1.0.238</t>
  </si>
  <si>
    <t>10.1.0.240</t>
  </si>
  <si>
    <t>10.1.0.241</t>
  </si>
  <si>
    <t>10.1.0.242</t>
  </si>
  <si>
    <t>VPN0723</t>
  </si>
  <si>
    <t>10.1.25.224</t>
  </si>
  <si>
    <t>10.1.25.225</t>
  </si>
  <si>
    <t>10.1.25.226</t>
  </si>
  <si>
    <t>10.1.25.228</t>
  </si>
  <si>
    <t>10.1.25.229</t>
  </si>
  <si>
    <t>10.1.25.230</t>
  </si>
  <si>
    <t>10.1.25.232</t>
  </si>
  <si>
    <t>10.1.25.233</t>
  </si>
  <si>
    <t>10.1.25.234</t>
  </si>
  <si>
    <t>10.1.25.216</t>
  </si>
  <si>
    <t>10.1.25.212</t>
  </si>
  <si>
    <t>10.1.25.217</t>
  </si>
  <si>
    <t>10.1.25.213</t>
  </si>
  <si>
    <t>10.1.25.218</t>
  </si>
  <si>
    <t>10.1.25.214</t>
  </si>
  <si>
    <t>10.1.25.204</t>
  </si>
  <si>
    <t>10.1.25.200</t>
  </si>
  <si>
    <t>10.1.25.208</t>
  </si>
  <si>
    <t>10.1.25.205</t>
  </si>
  <si>
    <t>10.1.25.201</t>
  </si>
  <si>
    <t>10.1.25.209</t>
  </si>
  <si>
    <t>10.1.25.206</t>
  </si>
  <si>
    <t>10.1.25.202</t>
  </si>
  <si>
    <t>10.1.25.210</t>
  </si>
  <si>
    <t>10.1.25.192</t>
  </si>
  <si>
    <t>10.1.25.193</t>
  </si>
  <si>
    <t>10.1.25.194</t>
  </si>
  <si>
    <t>10.1.25.190</t>
  </si>
  <si>
    <t>10.1.25.189</t>
  </si>
  <si>
    <t>10.1.25.188</t>
  </si>
  <si>
    <t>10.1.25.196</t>
  </si>
  <si>
    <t>10.1.25.197</t>
  </si>
  <si>
    <t>10.1.25.198</t>
  </si>
  <si>
    <t>10.1.2.40</t>
  </si>
  <si>
    <t>10.1.2.41</t>
  </si>
  <si>
    <t>10.1.2.42</t>
  </si>
  <si>
    <t>VPN0720</t>
  </si>
  <si>
    <t>VPN0721</t>
  </si>
  <si>
    <t>VPN0726</t>
  </si>
  <si>
    <t>VPN0727</t>
  </si>
  <si>
    <t>10.1.25.236</t>
  </si>
  <si>
    <t>10.1.25.237</t>
  </si>
  <si>
    <t>10.1.25.238</t>
  </si>
  <si>
    <t>10.1.25.240</t>
  </si>
  <si>
    <t>10.1.25.241</t>
  </si>
  <si>
    <t>10.1.25.242</t>
  </si>
  <si>
    <t>10.192.116.193</t>
  </si>
  <si>
    <t>10.196.116.193</t>
  </si>
  <si>
    <t>10.1.3.92</t>
  </si>
  <si>
    <t>10.1.3.93</t>
  </si>
  <si>
    <t>10.1.3.94</t>
  </si>
  <si>
    <t>3Gb</t>
  </si>
  <si>
    <t>VPN0734</t>
  </si>
  <si>
    <t>VPN0735</t>
  </si>
  <si>
    <t>VPN0730</t>
  </si>
  <si>
    <t>VPN0729</t>
  </si>
  <si>
    <t>10.1.24.180</t>
  </si>
  <si>
    <t>10.1.24.181</t>
  </si>
  <si>
    <t>10.1.24.182</t>
  </si>
  <si>
    <t>10.1.24.136</t>
  </si>
  <si>
    <t>10.1.24.137</t>
  </si>
  <si>
    <t>10.1.24.138</t>
  </si>
  <si>
    <t>SHUBARKOL Astana CE2</t>
  </si>
  <si>
    <t>10.192.98.193</t>
  </si>
  <si>
    <t>10.196.98.193</t>
  </si>
  <si>
    <t>10.14.66.97</t>
  </si>
  <si>
    <t>10.5.5.241</t>
  </si>
  <si>
    <t>VPN0736</t>
  </si>
  <si>
    <t>10.1.24.8</t>
  </si>
  <si>
    <t>10.1.24.9</t>
  </si>
  <si>
    <t>10.1.24.10</t>
  </si>
  <si>
    <t>10.1.24.12</t>
  </si>
  <si>
    <t>10.1.24.13</t>
  </si>
  <si>
    <t>10.1.24.14</t>
  </si>
  <si>
    <t>10.1.24.132</t>
  </si>
  <si>
    <t>10.1.24.133</t>
  </si>
  <si>
    <t>10.1.24.134</t>
  </si>
  <si>
    <t>10.1.5.80</t>
  </si>
  <si>
    <t>10.1.5.81</t>
  </si>
  <si>
    <t>10.1.5.82</t>
  </si>
  <si>
    <t>10.1.5.84</t>
  </si>
  <si>
    <t>10.1.5.85</t>
  </si>
  <si>
    <t>10.1.5.86</t>
  </si>
  <si>
    <t>10.1.5.88</t>
  </si>
  <si>
    <t>10.1.5.89</t>
  </si>
  <si>
    <t>10.1.5.90</t>
  </si>
  <si>
    <t>Saryagash</t>
  </si>
  <si>
    <t>10.1.26.12</t>
  </si>
  <si>
    <t>10.1.26.13</t>
  </si>
  <si>
    <t>10.1.26.14</t>
  </si>
  <si>
    <t>10.1.27.0</t>
  </si>
  <si>
    <t>10.1.27.1</t>
  </si>
  <si>
    <t>10.1.27.2</t>
  </si>
  <si>
    <t>10.1.27.4</t>
  </si>
  <si>
    <t>10.1.27.5</t>
  </si>
  <si>
    <t>10.1.27.6</t>
  </si>
  <si>
    <t>10.1.27.8</t>
  </si>
  <si>
    <t>10.1.27.9</t>
  </si>
  <si>
    <t>10.1.27.10</t>
  </si>
  <si>
    <t>VPN0737</t>
  </si>
  <si>
    <t>10.1.3.88</t>
  </si>
  <si>
    <t>10.1.3.89</t>
  </si>
  <si>
    <t>10.1.3.90</t>
  </si>
  <si>
    <t>10.1.3.104</t>
  </si>
  <si>
    <t>10.1.3.105</t>
  </si>
  <si>
    <t>10.1.3.106</t>
  </si>
  <si>
    <t>10.13.43.192</t>
  </si>
  <si>
    <t>10.1.4.0</t>
  </si>
  <si>
    <t>10.1.4.1</t>
  </si>
  <si>
    <t>10.1.4.2</t>
  </si>
  <si>
    <t>10.1.27.12</t>
  </si>
  <si>
    <t>10.1.27.13</t>
  </si>
  <si>
    <t>10.1.27.14</t>
  </si>
  <si>
    <t>10.1.27.16</t>
  </si>
  <si>
    <t>10.1.27.17</t>
  </si>
  <si>
    <t>10.1.27.18</t>
  </si>
  <si>
    <t>10.1.27.20</t>
  </si>
  <si>
    <t>10.1.27.21</t>
  </si>
  <si>
    <t>10.1.27.22</t>
  </si>
  <si>
    <t>10.1.27.24</t>
  </si>
  <si>
    <t>10.1.27.25</t>
  </si>
  <si>
    <t>10.1.27.26</t>
  </si>
  <si>
    <t>10.1.27.28</t>
  </si>
  <si>
    <t>10.1.27.29</t>
  </si>
  <si>
    <t>10.1.27.30</t>
  </si>
  <si>
    <t>10.1.27.32</t>
  </si>
  <si>
    <t>10.1.27.33</t>
  </si>
  <si>
    <t>10.1.27.34</t>
  </si>
  <si>
    <t>10.1.27.36</t>
  </si>
  <si>
    <t>10.1.27.37</t>
  </si>
  <si>
    <t>10.1.27.38</t>
  </si>
  <si>
    <t>10.1.27.40</t>
  </si>
  <si>
    <t>10.1.27.41</t>
  </si>
  <si>
    <t>10.1.27.42</t>
  </si>
  <si>
    <t>10.1.27.44</t>
  </si>
  <si>
    <t>10.1.27.45</t>
  </si>
  <si>
    <t>10.1.27.46</t>
  </si>
  <si>
    <t>10.1.11.48</t>
  </si>
  <si>
    <t>10.1.11.49</t>
  </si>
  <si>
    <t>10.1.11.50</t>
  </si>
  <si>
    <t>KBT</t>
  </si>
  <si>
    <t>10.1.1.192</t>
  </si>
  <si>
    <t>10.1.1.193</t>
  </si>
  <si>
    <t>10.1.1.194</t>
  </si>
  <si>
    <t>10.1.1.196</t>
  </si>
  <si>
    <t>10.1.1.197</t>
  </si>
  <si>
    <t>10.1.1.198</t>
  </si>
  <si>
    <t>10.1.1.200</t>
  </si>
  <si>
    <t>10.1.1.201</t>
  </si>
  <si>
    <t>10.1.1.202</t>
  </si>
  <si>
    <t>10.1.1.204</t>
  </si>
  <si>
    <t>10.1.1.205</t>
  </si>
  <si>
    <t>10.1.1.206</t>
  </si>
  <si>
    <t>10.1.1.208</t>
  </si>
  <si>
    <t>10.1.1.209</t>
  </si>
  <si>
    <t>10.1.1.210</t>
  </si>
  <si>
    <t>10.1.1.212</t>
  </si>
  <si>
    <t>10.1.1.213</t>
  </si>
  <si>
    <t>10.1.1.214</t>
  </si>
  <si>
    <t>VPN0743</t>
  </si>
  <si>
    <t>VPN0744</t>
  </si>
  <si>
    <t>VPN0745</t>
  </si>
  <si>
    <t>10.1.27.48</t>
  </si>
  <si>
    <t>10.1.27.49</t>
  </si>
  <si>
    <t>10.1.27.50</t>
  </si>
  <si>
    <t>VPN0306</t>
  </si>
  <si>
    <t>10.1.27.52</t>
  </si>
  <si>
    <t>10.1.27.53</t>
  </si>
  <si>
    <t>10.1.27.54</t>
  </si>
  <si>
    <t>10.1.27.56</t>
  </si>
  <si>
    <t>10.1.27.57</t>
  </si>
  <si>
    <t>10.1.27.58</t>
  </si>
  <si>
    <t>10.1.27.60</t>
  </si>
  <si>
    <t>10.1.27.61</t>
  </si>
  <si>
    <t>10.1.27.62</t>
  </si>
  <si>
    <t>VPN0749</t>
  </si>
  <si>
    <t>VPN0750</t>
  </si>
  <si>
    <t>VPN0751</t>
  </si>
  <si>
    <t>VPN0747</t>
  </si>
  <si>
    <t>VPN0740</t>
  </si>
  <si>
    <t>VPN0741</t>
  </si>
  <si>
    <t>VPN0742</t>
  </si>
  <si>
    <t>VPN0725</t>
  </si>
  <si>
    <t>VPN0771</t>
  </si>
  <si>
    <t>VPN0772</t>
  </si>
  <si>
    <t>VPN0773</t>
  </si>
  <si>
    <t>VPN0774</t>
  </si>
  <si>
    <t>VPN0775</t>
  </si>
  <si>
    <t>VPN0776</t>
  </si>
  <si>
    <t>10.1.1.216</t>
  </si>
  <si>
    <t>10.1.1.217</t>
  </si>
  <si>
    <t>10.1.1.218</t>
  </si>
  <si>
    <t>VPN0769</t>
  </si>
  <si>
    <t>VPN0770</t>
  </si>
  <si>
    <t>10.1.27.64</t>
  </si>
  <si>
    <t>10.1.27.65</t>
  </si>
  <si>
    <t>10.1.27.66</t>
  </si>
  <si>
    <t>Port to KZT via TN</t>
  </si>
  <si>
    <t>VPN0780</t>
  </si>
  <si>
    <t>VPN0781</t>
  </si>
  <si>
    <t>VPN0782</t>
  </si>
  <si>
    <t>20GB</t>
  </si>
  <si>
    <t>10.0.215.32</t>
  </si>
  <si>
    <t>10.0.215.33</t>
  </si>
  <si>
    <t>10.0.215.34</t>
  </si>
  <si>
    <t>10.0.215.36</t>
  </si>
  <si>
    <t>10.0.215.37</t>
  </si>
  <si>
    <t>10.0.215.38</t>
  </si>
  <si>
    <t>VPN0768</t>
  </si>
  <si>
    <t>VPN0788</t>
  </si>
  <si>
    <t>VPN0783</t>
  </si>
  <si>
    <t>VPN0784</t>
  </si>
  <si>
    <t>VPN0777</t>
  </si>
  <si>
    <t>VPN0778</t>
  </si>
  <si>
    <t>VPN0779</t>
  </si>
  <si>
    <t>VPN0789</t>
  </si>
  <si>
    <t>VPN0790</t>
  </si>
  <si>
    <t>VPN0748</t>
  </si>
  <si>
    <t>10.1.5.124</t>
  </si>
  <si>
    <t>10.1.5.125</t>
  </si>
  <si>
    <t>10.1.5.126</t>
  </si>
  <si>
    <t>10.1.5.120</t>
  </si>
  <si>
    <t>10.1.5.121</t>
  </si>
  <si>
    <t>10.1.5.122</t>
  </si>
  <si>
    <t>10.1.5.116</t>
  </si>
  <si>
    <t>10.1.5.117</t>
  </si>
  <si>
    <t>10.1.5.118</t>
  </si>
  <si>
    <t>10.1.12.72</t>
  </si>
  <si>
    <t>10.1.12.73</t>
  </si>
  <si>
    <t>10.1.12.74</t>
  </si>
  <si>
    <t>VPN0791</t>
  </si>
  <si>
    <t>VPN0795</t>
  </si>
  <si>
    <t>VPN0794</t>
  </si>
  <si>
    <t>10.1.5.92</t>
  </si>
  <si>
    <t>10.1.5.93</t>
  </si>
  <si>
    <t>10.1.5.94</t>
  </si>
  <si>
    <t>10.1.5.160</t>
  </si>
  <si>
    <t>10.1.5.161</t>
  </si>
  <si>
    <t>10.1.5.162</t>
  </si>
  <si>
    <t>10.1.5.164</t>
  </si>
  <si>
    <t>10.1.5.165</t>
  </si>
  <si>
    <t>10.1.5.166</t>
  </si>
  <si>
    <t>10.1.5.168</t>
  </si>
  <si>
    <t>10.1.5.169</t>
  </si>
  <si>
    <t>10.1.5.170</t>
  </si>
  <si>
    <t>10.1.14.52</t>
  </si>
  <si>
    <t>10.1.14.53</t>
  </si>
  <si>
    <t>10.1.14.54</t>
  </si>
  <si>
    <t>VPN0716</t>
  </si>
  <si>
    <t>Turkestan CE2</t>
  </si>
  <si>
    <t>10.1.10.152</t>
  </si>
  <si>
    <t>10.1.10.153</t>
  </si>
  <si>
    <t>10.1.10.154</t>
  </si>
  <si>
    <t>30Gb</t>
  </si>
  <si>
    <t>10.1.27.68</t>
  </si>
  <si>
    <t>10.1.27.69</t>
  </si>
  <si>
    <t>10.1.27.70</t>
  </si>
  <si>
    <t>10.1.27.72</t>
  </si>
  <si>
    <t>10.1.27.73</t>
  </si>
  <si>
    <t>10.1.27.74</t>
  </si>
  <si>
    <t>VPN0797</t>
  </si>
  <si>
    <t>VPN0798</t>
  </si>
  <si>
    <t>VPN0799</t>
  </si>
  <si>
    <t>VPN0792</t>
  </si>
  <si>
    <t>VPN0793</t>
  </si>
  <si>
    <t xml:space="preserve">VPN0786 </t>
  </si>
  <si>
    <t>VPN0785</t>
  </si>
  <si>
    <t>10.1.27.76</t>
  </si>
  <si>
    <t>10.1.27.77</t>
  </si>
  <si>
    <t>10.1.27.78</t>
  </si>
  <si>
    <t>10.1.27.80</t>
  </si>
  <si>
    <t>10.1.27.81</t>
  </si>
  <si>
    <t>10.1.27.82</t>
  </si>
  <si>
    <t>10.1.27.84</t>
  </si>
  <si>
    <t>10.1.27.85</t>
  </si>
  <si>
    <t>10.1.27.86</t>
  </si>
  <si>
    <t>VPN0787</t>
  </si>
  <si>
    <t>10.1.0.212</t>
  </si>
  <si>
    <t>10.1.0.213</t>
  </si>
  <si>
    <t>10.1.0.214</t>
  </si>
  <si>
    <t>10.1.6.236</t>
  </si>
  <si>
    <t>10.1.6.237</t>
  </si>
  <si>
    <t>10.1.6.238</t>
  </si>
  <si>
    <t>10.1.27.88</t>
  </si>
  <si>
    <t>10.1.27.89</t>
  </si>
  <si>
    <t>10.1.27.90</t>
  </si>
  <si>
    <t>10.1.27.92</t>
  </si>
  <si>
    <t>10.1.27.93</t>
  </si>
  <si>
    <t>10.1.27.94</t>
  </si>
  <si>
    <t>10.1.27.96</t>
  </si>
  <si>
    <t>10.1.27.97</t>
  </si>
  <si>
    <t>10.1.27.98</t>
  </si>
  <si>
    <t>10.1.27.100</t>
  </si>
  <si>
    <t>10.1.27.101</t>
  </si>
  <si>
    <t>10.1.27.102</t>
  </si>
  <si>
    <t>10.1.27.104</t>
  </si>
  <si>
    <t>10.1.27.105</t>
  </si>
  <si>
    <t>10.1.27.106</t>
  </si>
  <si>
    <t>10.1.27.108</t>
  </si>
  <si>
    <t>10.1.27.109</t>
  </si>
  <si>
    <t>10.1.27.110</t>
  </si>
  <si>
    <t>VPN0796</t>
  </si>
  <si>
    <t>VPN0800</t>
  </si>
  <si>
    <t>10.1.12.116</t>
  </si>
  <si>
    <t>10.1.12.117</t>
  </si>
  <si>
    <t>10.1.12.118</t>
  </si>
  <si>
    <t>10.1.27.112</t>
  </si>
  <si>
    <t>10.1.27.113</t>
  </si>
  <si>
    <t>10.1.27.114</t>
  </si>
  <si>
    <t>10.1.27.116</t>
  </si>
  <si>
    <t>10.1.27.117</t>
  </si>
  <si>
    <t>10.1.27.118</t>
  </si>
  <si>
    <t>10.1.27.120</t>
  </si>
  <si>
    <t>10.1.27.121</t>
  </si>
  <si>
    <t>10.1.27.122</t>
  </si>
  <si>
    <t>10.1.7.32</t>
  </si>
  <si>
    <t>10.1.7.33</t>
  </si>
  <si>
    <t>10.1.7.34</t>
  </si>
  <si>
    <t>10.1.7.36</t>
  </si>
  <si>
    <t>10.1.7.37</t>
  </si>
  <si>
    <t>10.1.7.38</t>
  </si>
  <si>
    <t>10.1.7.40</t>
  </si>
  <si>
    <t>10.1.7.41</t>
  </si>
  <si>
    <t>10.1.7.42</t>
  </si>
  <si>
    <t xml:space="preserve"> VPN0897</t>
  </si>
  <si>
    <t>VPN0899</t>
  </si>
  <si>
    <t>VPN0900</t>
  </si>
  <si>
    <t>VPN0901</t>
  </si>
  <si>
    <t>VPN0902</t>
  </si>
  <si>
    <t>VPN0898</t>
  </si>
  <si>
    <t>VPN0903</t>
  </si>
  <si>
    <t>VPN0904</t>
  </si>
  <si>
    <t>VPN0905</t>
  </si>
  <si>
    <t>VPN0907</t>
  </si>
  <si>
    <t>VPN0906</t>
  </si>
  <si>
    <t>VPN0908</t>
  </si>
  <si>
    <t>VPN0909</t>
  </si>
  <si>
    <t>10.1.26.84</t>
  </si>
  <si>
    <t>10.1.26.85</t>
  </si>
  <si>
    <t>10.1.26.86</t>
  </si>
  <si>
    <t>10.1.27.124</t>
  </si>
  <si>
    <t>10.1.27.125</t>
  </si>
  <si>
    <t>10.1.27.126</t>
  </si>
  <si>
    <t>GB1</t>
  </si>
  <si>
    <t>VPN0913</t>
  </si>
  <si>
    <t>10.1.12.68</t>
  </si>
  <si>
    <t>10.1.12.69</t>
  </si>
  <si>
    <t>10.1.12.70</t>
  </si>
  <si>
    <t>10.1.8.96</t>
  </si>
  <si>
    <t>10.1.8.97</t>
  </si>
  <si>
    <t>10.1.8.98</t>
  </si>
  <si>
    <t>10.1.8.24</t>
  </si>
  <si>
    <t>10.1.8.25</t>
  </si>
  <si>
    <t>10.1.8.26</t>
  </si>
  <si>
    <t>10.1.10.8</t>
  </si>
  <si>
    <t>10.1.10.9</t>
  </si>
  <si>
    <t>10.1.10.10</t>
  </si>
  <si>
    <t>10.1.10.24</t>
  </si>
  <si>
    <t>10.1.10.25</t>
  </si>
  <si>
    <t>10.1.10.26</t>
  </si>
  <si>
    <t>10.1.12.8</t>
  </si>
  <si>
    <t>10.1.12.9</t>
  </si>
  <si>
    <t>10.1.12.10</t>
  </si>
  <si>
    <t>10.1.10.228</t>
  </si>
  <si>
    <t>10.1.10.229</t>
  </si>
  <si>
    <t>10.1.10.230</t>
  </si>
  <si>
    <t>10.1.10.132</t>
  </si>
  <si>
    <t>10.1.10.133</t>
  </si>
  <si>
    <t>10.1.10.134</t>
  </si>
  <si>
    <t>10.1.10.40</t>
  </si>
  <si>
    <t>10.1.10.41</t>
  </si>
  <si>
    <t>10.1.10.42</t>
  </si>
  <si>
    <t>10.1.14.40</t>
  </si>
  <si>
    <t>10.1.14.41</t>
  </si>
  <si>
    <t>10.1.14.42</t>
  </si>
  <si>
    <t>10.1.10.164</t>
  </si>
  <si>
    <t>10.1.10.165</t>
  </si>
  <si>
    <t>10.1.10.166</t>
  </si>
  <si>
    <t>10.1.10.72</t>
  </si>
  <si>
    <t>10.1.10.73</t>
  </si>
  <si>
    <t>10.1.10.74</t>
  </si>
  <si>
    <t>10.1.10.100</t>
  </si>
  <si>
    <t>10.1.10.101</t>
  </si>
  <si>
    <t>10.1.10.102</t>
  </si>
  <si>
    <t>10.1.14.44</t>
  </si>
  <si>
    <t>10.1.14.45</t>
  </si>
  <si>
    <t>10.1.14.46</t>
  </si>
  <si>
    <t>10.1.10.196</t>
  </si>
  <si>
    <t>10.1.10.197</t>
  </si>
  <si>
    <t>10.1.10.198</t>
  </si>
  <si>
    <t>10.1.14.16</t>
  </si>
  <si>
    <t>10.1.14.17</t>
  </si>
  <si>
    <t>10.1.14.18</t>
  </si>
  <si>
    <t>10.1.15.100</t>
  </si>
  <si>
    <t>10.1.15.101</t>
  </si>
  <si>
    <t>10.1.15.102</t>
  </si>
  <si>
    <t>10.1.15.96</t>
  </si>
  <si>
    <t>10.1.15.97</t>
  </si>
  <si>
    <t>10.1.15.98</t>
  </si>
  <si>
    <t>10.1.12.40</t>
  </si>
  <si>
    <t>10.1.12.41</t>
  </si>
  <si>
    <t>10.1.12.42</t>
  </si>
  <si>
    <t>10.1.14.28</t>
  </si>
  <si>
    <t>10.1.14.29</t>
  </si>
  <si>
    <t>10.1.14.30</t>
  </si>
  <si>
    <t>10.1.8.40</t>
  </si>
  <si>
    <t>10.1.8.41</t>
  </si>
  <si>
    <t>10.1.8.42</t>
  </si>
  <si>
    <t>10.1.27.128</t>
  </si>
  <si>
    <t>10.1.27.129</t>
  </si>
  <si>
    <t>10.1.27.130</t>
  </si>
  <si>
    <t>Запрос отправлен 24.12.19</t>
  </si>
  <si>
    <t>VPN0914</t>
  </si>
  <si>
    <t>10.1.27.132</t>
  </si>
  <si>
    <t>10.1.27.133</t>
  </si>
  <si>
    <t>10.1.27.134</t>
  </si>
  <si>
    <t>VPN0910</t>
  </si>
  <si>
    <t>VPN0911</t>
  </si>
  <si>
    <t>VPN0916</t>
  </si>
  <si>
    <t>Расширение портовой емкости Atyrau/Almaty/Uralsk</t>
  </si>
  <si>
    <t>Расширение портовой емкости Aksu/Lenger</t>
  </si>
  <si>
    <t>Запрос отправлен 16.10.19</t>
  </si>
  <si>
    <t>Расширение портовой емкости Kentau/Merke</t>
  </si>
  <si>
    <t>Запрос отправлен 12.01.20</t>
  </si>
  <si>
    <t>Расширение портовой емкости Kordai/Talgar/Usharal/Zharkent/Kegen/Kabanbai-Taldyk</t>
  </si>
  <si>
    <t>Расширение портовой емкости Akshukur/Ganushkino/Inder/Makat/Miyaly/Zhetybai/Tengiz/Uil/Zhalpaktal/Zhanazhol</t>
  </si>
  <si>
    <t>Расширение портовой емкости Bayanaul-Fakel/Zaysan</t>
  </si>
  <si>
    <t>Расширение портовой емкости Balkhash/Tahtabrod</t>
  </si>
  <si>
    <t>VPN0917</t>
  </si>
  <si>
    <t>Организован 24.01.20</t>
  </si>
  <si>
    <t>Организован 27.01.20</t>
  </si>
  <si>
    <t>10.1.7.148</t>
  </si>
  <si>
    <t>10.1.7.149</t>
  </si>
  <si>
    <t>10.1.7.150</t>
  </si>
  <si>
    <t>VPN0919</t>
  </si>
  <si>
    <t>10.1.27.136</t>
  </si>
  <si>
    <t>10.1.27.137</t>
  </si>
  <si>
    <t>10.1.27.138</t>
  </si>
  <si>
    <t>10.1.27.140</t>
  </si>
  <si>
    <t>10.1.27.141</t>
  </si>
  <si>
    <t>10.1.27.142</t>
  </si>
  <si>
    <t>Запрос отправлен 03.02.20</t>
  </si>
  <si>
    <t>10.1.27.144</t>
  </si>
  <si>
    <t>10.1.27.145</t>
  </si>
  <si>
    <t>10.1.27.146</t>
  </si>
  <si>
    <t>10.1.27.148</t>
  </si>
  <si>
    <t>10.1.27.149</t>
  </si>
  <si>
    <t>10.1.27.150</t>
  </si>
  <si>
    <t>Caspiangaz Aktau CE2</t>
  </si>
  <si>
    <t>10.5.112.193</t>
  </si>
  <si>
    <t>Tazhen Aktau CE2</t>
  </si>
  <si>
    <t>10.5.112.201</t>
  </si>
  <si>
    <t>10.1.7.64</t>
  </si>
  <si>
    <t>10.1.7.65</t>
  </si>
  <si>
    <t>10.1.7.66</t>
  </si>
  <si>
    <t>10.1.2.184</t>
  </si>
  <si>
    <t>10.1.2.185</t>
  </si>
  <si>
    <t>10.1.2.186</t>
  </si>
  <si>
    <t>10.1.3.100</t>
  </si>
  <si>
    <t>10.1.3.101</t>
  </si>
  <si>
    <t>10.1.3.102</t>
  </si>
  <si>
    <t>10.1.27.152</t>
  </si>
  <si>
    <t>10.1.27.153</t>
  </si>
  <si>
    <t>10.1.27.154</t>
  </si>
  <si>
    <t>10.1.27.156</t>
  </si>
  <si>
    <t>10.1.27.157</t>
  </si>
  <si>
    <t>10.1.27.158</t>
  </si>
  <si>
    <t>VPN0920</t>
  </si>
  <si>
    <t>VPN0921</t>
  </si>
  <si>
    <t>VPN0923</t>
  </si>
  <si>
    <t>VPN0690</t>
  </si>
  <si>
    <t>Необходимо проложить оптику до КТ</t>
  </si>
  <si>
    <t xml:space="preserve">Необходимо сделать соединение с КЗТ </t>
  </si>
  <si>
    <t>Ответ получен 11.03.20</t>
  </si>
  <si>
    <t>VPN0922</t>
  </si>
  <si>
    <t>10.1.10.84</t>
  </si>
  <si>
    <t>10.1.10.85</t>
  </si>
  <si>
    <t>10.1.10.86</t>
  </si>
  <si>
    <t>10.0.211.60</t>
  </si>
  <si>
    <t>10.0.211.61</t>
  </si>
  <si>
    <t>10.0.211.62</t>
  </si>
  <si>
    <t>10.1.14.32</t>
  </si>
  <si>
    <t>10.1.14.33</t>
  </si>
  <si>
    <t>10.1.14.34</t>
  </si>
  <si>
    <t>10.1.27.160</t>
  </si>
  <si>
    <t>10.1.27.161</t>
  </si>
  <si>
    <t>10.1.27.162</t>
  </si>
  <si>
    <t>10.1.27.164</t>
  </si>
  <si>
    <t>10.1.27.165</t>
  </si>
  <si>
    <t>10.1.27.166</t>
  </si>
  <si>
    <t>10.1.27.168</t>
  </si>
  <si>
    <t>10.1.27.169</t>
  </si>
  <si>
    <t>10.1.27.170</t>
  </si>
  <si>
    <t>10.1.27.172</t>
  </si>
  <si>
    <t>10.1.27.173</t>
  </si>
  <si>
    <t>10.1.27.174</t>
  </si>
  <si>
    <t>VPN0925</t>
  </si>
  <si>
    <t>VPN0927</t>
  </si>
  <si>
    <t>VPN0926</t>
  </si>
  <si>
    <t>10.1.27.176</t>
  </si>
  <si>
    <t>10.1.27.177</t>
  </si>
  <si>
    <t>10.1.27.178</t>
  </si>
  <si>
    <t>10.1.27.180</t>
  </si>
  <si>
    <t>10.1.27.181</t>
  </si>
  <si>
    <t>10.1.27.182</t>
  </si>
  <si>
    <t>VPN0930</t>
  </si>
  <si>
    <t>VPN0931</t>
  </si>
  <si>
    <t>VPN0932</t>
  </si>
  <si>
    <t>VPN0933</t>
  </si>
  <si>
    <t>ХС-1013</t>
  </si>
  <si>
    <t>ХС-1072</t>
  </si>
  <si>
    <t>10.13.205.129</t>
  </si>
  <si>
    <t>10.13.205.97</t>
  </si>
  <si>
    <t>Выполнен 23.04.2020</t>
  </si>
  <si>
    <t>Организован 24.04.20</t>
  </si>
  <si>
    <t>Расширение портовой емкости Atyrau</t>
  </si>
  <si>
    <t>10.1.27.184</t>
  </si>
  <si>
    <t>10.1.27.185</t>
  </si>
  <si>
    <t>10.1.27.186</t>
  </si>
  <si>
    <t>10.1.27.188</t>
  </si>
  <si>
    <t>10.1.27.189</t>
  </si>
  <si>
    <t>10.1.27.190</t>
  </si>
  <si>
    <t>10.1.27.192</t>
  </si>
  <si>
    <t>10.1.27.193</t>
  </si>
  <si>
    <t>10.1.27.194</t>
  </si>
  <si>
    <t>10.1.27.196</t>
  </si>
  <si>
    <t>10.1.27.197</t>
  </si>
  <si>
    <t>10.1.27.198</t>
  </si>
  <si>
    <t>10.1.27.200</t>
  </si>
  <si>
    <t>10.1.27.201</t>
  </si>
  <si>
    <t>10.1.27.202</t>
  </si>
  <si>
    <t>10.1.27.204</t>
  </si>
  <si>
    <t>10.1.27.205</t>
  </si>
  <si>
    <t>10.1.27.206</t>
  </si>
  <si>
    <t>10.1.27.208</t>
  </si>
  <si>
    <t>10.1.27.209</t>
  </si>
  <si>
    <t>10.1.27.210</t>
  </si>
  <si>
    <t>10.1.27.212</t>
  </si>
  <si>
    <t>10.1.27.213</t>
  </si>
  <si>
    <t>10.1.27.214</t>
  </si>
  <si>
    <t>10.1.6.60</t>
  </si>
  <si>
    <t>10.1.6.61</t>
  </si>
  <si>
    <t>10.1.6.62</t>
  </si>
  <si>
    <t>OFDS</t>
  </si>
  <si>
    <t>10.1.0.220</t>
  </si>
  <si>
    <t>10.1.0.221</t>
  </si>
  <si>
    <t>10.1.0.222</t>
  </si>
  <si>
    <t>10.1.2.8</t>
  </si>
  <si>
    <t>10.1.2.9</t>
  </si>
  <si>
    <t>10.1.2.10</t>
  </si>
  <si>
    <t>10.1.27.216</t>
  </si>
  <si>
    <t>10.1.27.217</t>
  </si>
  <si>
    <t>10.1.27.218</t>
  </si>
  <si>
    <t>10.1.5.172</t>
  </si>
  <si>
    <t>10.1.5.173</t>
  </si>
  <si>
    <t>10.1.5.174</t>
  </si>
  <si>
    <t>10.1.27.220</t>
  </si>
  <si>
    <t>10.1.27.221</t>
  </si>
  <si>
    <t>10.1.27.222</t>
  </si>
  <si>
    <t>VPN0944</t>
  </si>
  <si>
    <t>VPN0945</t>
  </si>
  <si>
    <t>VPN0936</t>
  </si>
  <si>
    <t>VPN0935</t>
  </si>
  <si>
    <t>VPN0949</t>
  </si>
  <si>
    <t>VPN0950</t>
  </si>
  <si>
    <t>VPN0948</t>
  </si>
  <si>
    <t>10.1.5.184</t>
  </si>
  <si>
    <t>10.1.5.185</t>
  </si>
  <si>
    <t>10.1.5.186</t>
  </si>
  <si>
    <t>10.1.5.188</t>
  </si>
  <si>
    <t>10.1.5.189</t>
  </si>
  <si>
    <t>10.1.5.190</t>
  </si>
  <si>
    <t>VPN0954</t>
  </si>
  <si>
    <t>VPN0955</t>
  </si>
  <si>
    <t>VPN0956</t>
  </si>
  <si>
    <t>10.1.5.192</t>
  </si>
  <si>
    <t>10.1.5.193</t>
  </si>
  <si>
    <t>10.1.5.194</t>
  </si>
  <si>
    <t>10.1.5.196</t>
  </si>
  <si>
    <t>10.1.5.197</t>
  </si>
  <si>
    <t>10.1.5.198</t>
  </si>
  <si>
    <t>VPN0937</t>
  </si>
  <si>
    <t>VPN0938</t>
  </si>
  <si>
    <t>VPN0939</t>
  </si>
  <si>
    <t>10.1.27.224</t>
  </si>
  <si>
    <t>10.1.27.225</t>
  </si>
  <si>
    <t>10.1.27.226</t>
  </si>
  <si>
    <t>10.1.27.228</t>
  </si>
  <si>
    <t>10.1.27.229</t>
  </si>
  <si>
    <t>10.1.27.230</t>
  </si>
  <si>
    <t>5G</t>
  </si>
  <si>
    <t>10.1.8.252</t>
  </si>
  <si>
    <t>10.1.8.253</t>
  </si>
  <si>
    <t>10.1.8.254</t>
  </si>
  <si>
    <t>VPN0947</t>
  </si>
  <si>
    <t>VPN0946</t>
  </si>
  <si>
    <t>10.1.27.232</t>
  </si>
  <si>
    <t>10.1.27.233</t>
  </si>
  <si>
    <t>10.1.27.234</t>
  </si>
  <si>
    <t>10.1.27.236</t>
  </si>
  <si>
    <t>10.1.27.237</t>
  </si>
  <si>
    <t>10.1.27.238</t>
  </si>
  <si>
    <t>10.1.27.240</t>
  </si>
  <si>
    <t>10.1.27.241</t>
  </si>
  <si>
    <t>10.1.27.242</t>
  </si>
  <si>
    <t>10.1.27.244</t>
  </si>
  <si>
    <t>10.1.27.245</t>
  </si>
  <si>
    <t>10.1.27.246</t>
  </si>
  <si>
    <t>VPN0942</t>
  </si>
  <si>
    <t>VPN0943</t>
  </si>
  <si>
    <t>10.5.96.177</t>
  </si>
  <si>
    <t>10.13.95.33</t>
  </si>
  <si>
    <t>10.1.27.248</t>
  </si>
  <si>
    <t>10.1.27.249</t>
  </si>
  <si>
    <t>10.1.27.250</t>
  </si>
  <si>
    <t>10.1.27.252</t>
  </si>
  <si>
    <t>10.1.27.253</t>
  </si>
  <si>
    <t>10.1.27.254</t>
  </si>
  <si>
    <t>10.1.28.0</t>
  </si>
  <si>
    <t>10.1.28.1</t>
  </si>
  <si>
    <t>10.1.28.2</t>
  </si>
  <si>
    <t>VPN0961</t>
  </si>
  <si>
    <t>VPN0962</t>
  </si>
  <si>
    <t>10.1.28.12</t>
  </si>
  <si>
    <t>10.1.28.13</t>
  </si>
  <si>
    <t>10.1.28.14</t>
  </si>
  <si>
    <t>10.1.28.16</t>
  </si>
  <si>
    <t>10.1.28.17</t>
  </si>
  <si>
    <t>10.1.28.18</t>
  </si>
  <si>
    <t xml:space="preserve">Aktau </t>
  </si>
  <si>
    <t>10.1.28.20</t>
  </si>
  <si>
    <t>10.1.28.21</t>
  </si>
  <si>
    <t>10.1.28.22</t>
  </si>
  <si>
    <t>10.1.28.24</t>
  </si>
  <si>
    <t>10.1.28.25</t>
  </si>
  <si>
    <t>10.1.28.26</t>
  </si>
  <si>
    <t>10.1.28.28</t>
  </si>
  <si>
    <t>10.1.28.29</t>
  </si>
  <si>
    <t>10.1.28.30</t>
  </si>
  <si>
    <t>10.1.7.97</t>
  </si>
  <si>
    <t>10.1.7.96</t>
  </si>
  <si>
    <t>10.1.7.98</t>
  </si>
  <si>
    <t>10.1.7.100</t>
  </si>
  <si>
    <t>10.1.7.101</t>
  </si>
  <si>
    <t>10.1.7.102</t>
  </si>
  <si>
    <t>10.1.7.104</t>
  </si>
  <si>
    <t>10.1.7.105</t>
  </si>
  <si>
    <t>10.1.7.106</t>
  </si>
  <si>
    <t>TANSYK Semey CE2</t>
  </si>
  <si>
    <t>10.1.5.224</t>
  </si>
  <si>
    <t>10.1.5.225</t>
  </si>
  <si>
    <t>10.1.5.226</t>
  </si>
  <si>
    <t>10.1.5.228</t>
  </si>
  <si>
    <t>10.1.5.229</t>
  </si>
  <si>
    <t>10.1.5.230</t>
  </si>
  <si>
    <t>10.1.5.232</t>
  </si>
  <si>
    <t>10.1.5.233</t>
  </si>
  <si>
    <t>10.1.5.234</t>
  </si>
  <si>
    <t>10.1.28.32</t>
  </si>
  <si>
    <t>10.1.28.33</t>
  </si>
  <si>
    <t>10.1.28.34</t>
  </si>
  <si>
    <t>vRAN_TEST</t>
  </si>
  <si>
    <t>10.1.0.216</t>
  </si>
  <si>
    <t>10.1.0.217</t>
  </si>
  <si>
    <t>10.1.0.218</t>
  </si>
  <si>
    <t>VPN0966</t>
  </si>
  <si>
    <t>VPN0964</t>
  </si>
  <si>
    <t>10.1.28.36</t>
  </si>
  <si>
    <t>10.1.28.37</t>
  </si>
  <si>
    <t>10.1.28.38</t>
  </si>
  <si>
    <t>10.1.28.40</t>
  </si>
  <si>
    <t>10.1.28.41</t>
  </si>
  <si>
    <t>10.1.28.42</t>
  </si>
  <si>
    <t>10.1.28.44</t>
  </si>
  <si>
    <t>10.1.28.45</t>
  </si>
  <si>
    <t>10.1.28.46</t>
  </si>
  <si>
    <t>10.1.28.48</t>
  </si>
  <si>
    <t>10.1.28.49</t>
  </si>
  <si>
    <t>10.1.28.50</t>
  </si>
  <si>
    <t>10.1.28.52</t>
  </si>
  <si>
    <t>10.1.28.53</t>
  </si>
  <si>
    <t>10.1.28.54</t>
  </si>
  <si>
    <t>10.1.28.56</t>
  </si>
  <si>
    <t>10.1.28.57</t>
  </si>
  <si>
    <t>10.1.28.58</t>
  </si>
  <si>
    <t>10.1.28.60</t>
  </si>
  <si>
    <t>10.1.28.61</t>
  </si>
  <si>
    <t>10.1.28.62</t>
  </si>
  <si>
    <t>10.1.28.64</t>
  </si>
  <si>
    <t>10.1.28.65</t>
  </si>
  <si>
    <t>10.1.28.66</t>
  </si>
  <si>
    <t>10.1.28.68</t>
  </si>
  <si>
    <t>10.1.28.69</t>
  </si>
  <si>
    <t>10.1.28.70</t>
  </si>
  <si>
    <t>10.1.28.72</t>
  </si>
  <si>
    <t>10.1.28.73</t>
  </si>
  <si>
    <t>10.1.28.74</t>
  </si>
  <si>
    <t>10.1.28.76</t>
  </si>
  <si>
    <t>10.1.28.77</t>
  </si>
  <si>
    <t>10.1.28.78</t>
  </si>
  <si>
    <t>VPN0972</t>
  </si>
  <si>
    <t>VPN0973</t>
  </si>
  <si>
    <t>10.1.28.80</t>
  </si>
  <si>
    <t>10.1.28.81</t>
  </si>
  <si>
    <t>10.1.28.82</t>
  </si>
  <si>
    <t>10.1.28.84</t>
  </si>
  <si>
    <t>10.1.28.85</t>
  </si>
  <si>
    <t>10.1.28.86</t>
  </si>
  <si>
    <t>10.1.28.88</t>
  </si>
  <si>
    <t>10.1.28.89</t>
  </si>
  <si>
    <t>10.1.28.90</t>
  </si>
  <si>
    <t>10.1.28.92</t>
  </si>
  <si>
    <t>10.1.28.93</t>
  </si>
  <si>
    <t>10.1.28.94</t>
  </si>
  <si>
    <t>10.1.28.96</t>
  </si>
  <si>
    <t>10.1.28.97</t>
  </si>
  <si>
    <t>10.1.28.98</t>
  </si>
  <si>
    <t>10.1.28.100</t>
  </si>
  <si>
    <t>10.1.28.101</t>
  </si>
  <si>
    <t>10.1.28.102</t>
  </si>
  <si>
    <t>Zhetisay CE2</t>
  </si>
  <si>
    <t>10.1.14.92</t>
  </si>
  <si>
    <t>10.1.14.93</t>
  </si>
  <si>
    <t>10.1.14.94</t>
  </si>
  <si>
    <t>10.1.14.88</t>
  </si>
  <si>
    <t>10.1.14.89</t>
  </si>
  <si>
    <t>10.1.14.90</t>
  </si>
  <si>
    <t xml:space="preserve"> VPN0970</t>
  </si>
  <si>
    <t xml:space="preserve"> VPN0971</t>
  </si>
  <si>
    <t>10.1.7.44</t>
  </si>
  <si>
    <t>10.1.7.45</t>
  </si>
  <si>
    <t>10.1.7.46</t>
  </si>
  <si>
    <t>10.1.7.49</t>
  </si>
  <si>
    <t>10.1.7.50</t>
  </si>
  <si>
    <t>10.1.7.48</t>
  </si>
  <si>
    <t>10.1.28.104</t>
  </si>
  <si>
    <t>10.1.28.105</t>
  </si>
  <si>
    <t>10.1.28.106</t>
  </si>
  <si>
    <t>10.1.28.108</t>
  </si>
  <si>
    <t>10.1.28.109</t>
  </si>
  <si>
    <t>10.1.28.110</t>
  </si>
  <si>
    <t>10.1.28.112</t>
  </si>
  <si>
    <t>10.1.28.113</t>
  </si>
  <si>
    <t>10.1.28.114</t>
  </si>
  <si>
    <t xml:space="preserve"> VPN0965</t>
  </si>
  <si>
    <t>10.1.28.120</t>
  </si>
  <si>
    <t>10.1.28.121</t>
  </si>
  <si>
    <t>10.1.28.122</t>
  </si>
  <si>
    <t>10.1.28.124</t>
  </si>
  <si>
    <t>10.1.28.125</t>
  </si>
  <si>
    <t>10.1.28.126</t>
  </si>
  <si>
    <t>10.1.28.128</t>
  </si>
  <si>
    <t>10.1.28.129</t>
  </si>
  <si>
    <t>10.1.28.130</t>
  </si>
  <si>
    <t>10.1.28.132</t>
  </si>
  <si>
    <t>10.1.28.133</t>
  </si>
  <si>
    <t>10.1.28.134</t>
  </si>
  <si>
    <t>10.1.28.136</t>
  </si>
  <si>
    <t>10.1.28.137</t>
  </si>
  <si>
    <t>10.1.28.138</t>
  </si>
  <si>
    <t>10.5.96.193</t>
  </si>
  <si>
    <t>10.13.95.49</t>
  </si>
  <si>
    <t>TARHANKA Oskemen CE2</t>
  </si>
  <si>
    <t xml:space="preserve"> VPN0963</t>
  </si>
  <si>
    <t>VPN0978</t>
  </si>
  <si>
    <t>VPN0979</t>
  </si>
  <si>
    <t>VPN0980</t>
  </si>
  <si>
    <t>VPN0940</t>
  </si>
  <si>
    <t>VPN0975</t>
  </si>
  <si>
    <t>VPN0976</t>
  </si>
  <si>
    <t>VPN0996</t>
  </si>
  <si>
    <t>VPN0998</t>
  </si>
  <si>
    <t>VPN1001</t>
  </si>
  <si>
    <t>VPN1002</t>
  </si>
  <si>
    <t>VPN0957</t>
  </si>
  <si>
    <t>VPN0958</t>
  </si>
  <si>
    <t>10.1.28.140</t>
  </si>
  <si>
    <t>10.1.28.141</t>
  </si>
  <si>
    <t>10.1.28.142</t>
  </si>
  <si>
    <t>10.1.28.152</t>
  </si>
  <si>
    <t>10.1.28.153</t>
  </si>
  <si>
    <t>10.1.28.154</t>
  </si>
  <si>
    <t>10.1.28.156</t>
  </si>
  <si>
    <t>10.1.28.157</t>
  </si>
  <si>
    <t>10.1.28.158</t>
  </si>
  <si>
    <t xml:space="preserve"> ORDERED</t>
  </si>
  <si>
    <t>10.1.28.144</t>
  </si>
  <si>
    <t>10.1.28.145</t>
  </si>
  <si>
    <t>10.1.28.146</t>
  </si>
  <si>
    <t>10.1.28.148</t>
  </si>
  <si>
    <t>10.1.28.149</t>
  </si>
  <si>
    <t>10.1.28.150</t>
  </si>
  <si>
    <t>VPN1011</t>
  </si>
  <si>
    <t>VPN1012</t>
  </si>
  <si>
    <t>VPN1006</t>
  </si>
  <si>
    <t>VPN1007</t>
  </si>
  <si>
    <t>VPN0959</t>
  </si>
  <si>
    <t>VPN0960</t>
  </si>
  <si>
    <t>10.1.28.160</t>
  </si>
  <si>
    <t>10.1.28.161</t>
  </si>
  <si>
    <t>10.1.28.162</t>
  </si>
  <si>
    <t>10.1.28.164</t>
  </si>
  <si>
    <t>10.1.28.165</t>
  </si>
  <si>
    <t>10.1.28.166</t>
  </si>
  <si>
    <t>10.1.28.168</t>
  </si>
  <si>
    <t>10.1.28.169</t>
  </si>
  <si>
    <t>10.1.28.170</t>
  </si>
  <si>
    <t>10.1.28.172</t>
  </si>
  <si>
    <t>10.1.28.173</t>
  </si>
  <si>
    <t>10.1.28.174</t>
  </si>
  <si>
    <t>10.1.28.176</t>
  </si>
  <si>
    <t>10.1.28.177</t>
  </si>
  <si>
    <t>10.1.28.178</t>
  </si>
  <si>
    <t>10.1.28.180</t>
  </si>
  <si>
    <t>10.1.28.181</t>
  </si>
  <si>
    <t>10.1.28.182</t>
  </si>
  <si>
    <t>10.1.5.100</t>
  </si>
  <si>
    <t>10.1.5.101</t>
  </si>
  <si>
    <t>10.1.5.102</t>
  </si>
  <si>
    <t>10.1.5.104</t>
  </si>
  <si>
    <t>10.1.5.105</t>
  </si>
  <si>
    <t>10.1.5.106</t>
  </si>
  <si>
    <t>Запрос выполнен 10.07.20</t>
  </si>
  <si>
    <t>VPN1000</t>
  </si>
  <si>
    <t>VPN0999</t>
  </si>
  <si>
    <t>10.1.28.184</t>
  </si>
  <si>
    <t>10.1.28.185</t>
  </si>
  <si>
    <t>10.1.28.186</t>
  </si>
  <si>
    <t>10.1.28.188</t>
  </si>
  <si>
    <t>10.1.28.189</t>
  </si>
  <si>
    <t>10.1.28.190</t>
  </si>
  <si>
    <t>VPN1005</t>
  </si>
  <si>
    <t>VPN1003</t>
  </si>
  <si>
    <t>VPN1004</t>
  </si>
  <si>
    <t>10.1.28.192</t>
  </si>
  <si>
    <t>10.1.28.193</t>
  </si>
  <si>
    <t>10.1.28.194</t>
  </si>
  <si>
    <t>VPN1008</t>
  </si>
  <si>
    <t>VPN1010</t>
  </si>
  <si>
    <t>VPN1009</t>
  </si>
  <si>
    <t>VPN1020</t>
  </si>
  <si>
    <t>VPN0990</t>
  </si>
  <si>
    <t>VPN0992</t>
  </si>
  <si>
    <t>VPN0991</t>
  </si>
  <si>
    <t>VPN0989</t>
  </si>
  <si>
    <t>VPN0988</t>
  </si>
  <si>
    <t>VPN1019</t>
  </si>
  <si>
    <t>VPN1018</t>
  </si>
  <si>
    <t>VPN0984</t>
  </si>
  <si>
    <t>VPN0985</t>
  </si>
  <si>
    <t>VPN0982</t>
  </si>
  <si>
    <t>VPN0981</t>
  </si>
  <si>
    <t>VPN0983</t>
  </si>
  <si>
    <t>VPN0967</t>
  </si>
  <si>
    <t>VPN1025</t>
  </si>
  <si>
    <t>VPN1030</t>
  </si>
  <si>
    <t>10.1.28.196</t>
  </si>
  <si>
    <t>10.1.28.197</t>
  </si>
  <si>
    <t>10.1.28.198</t>
  </si>
  <si>
    <t>10.1.28.200</t>
  </si>
  <si>
    <t>10.1.28.201</t>
  </si>
  <si>
    <t>10.1.28.202</t>
  </si>
  <si>
    <t>10.1.28.204</t>
  </si>
  <si>
    <t>10.1.28.205</t>
  </si>
  <si>
    <t>10.1.28.206</t>
  </si>
  <si>
    <t>10.1.28.208</t>
  </si>
  <si>
    <t>10.1.28.209</t>
  </si>
  <si>
    <t>10.1.28.210</t>
  </si>
  <si>
    <t>10.1.6.32</t>
  </si>
  <si>
    <t>10.1.6.33</t>
  </si>
  <si>
    <t>10.1.6.34</t>
  </si>
  <si>
    <t xml:space="preserve"> VPN1027</t>
  </si>
  <si>
    <t xml:space="preserve"> VPN1032</t>
  </si>
  <si>
    <t>VPN1031</t>
  </si>
  <si>
    <t>VPN1026</t>
  </si>
  <si>
    <t xml:space="preserve"> VPN0987</t>
  </si>
  <si>
    <t xml:space="preserve"> VPN0986</t>
  </si>
  <si>
    <t>VPN1034</t>
  </si>
  <si>
    <t>VPN1033</t>
  </si>
  <si>
    <t>10.1.28.212</t>
  </si>
  <si>
    <t>10.1.28.213</t>
  </si>
  <si>
    <t>10.1.28.214</t>
  </si>
  <si>
    <t>10.1.28.216</t>
  </si>
  <si>
    <t>10.1.28.217</t>
  </si>
  <si>
    <t>10.1.28.218</t>
  </si>
  <si>
    <t>Kumkol Kyzilorda CE2</t>
  </si>
  <si>
    <t>10.1.28.228</t>
  </si>
  <si>
    <t>10.1.28.229</t>
  </si>
  <si>
    <t>10.1.28.230</t>
  </si>
  <si>
    <t>10.1.28.232</t>
  </si>
  <si>
    <t>10.1.28.233</t>
  </si>
  <si>
    <t>10.1.28.234</t>
  </si>
  <si>
    <t>10.1.28.236</t>
  </si>
  <si>
    <t>10.1.28.237</t>
  </si>
  <si>
    <t>10.1.28.238</t>
  </si>
  <si>
    <t>10.1.28.248</t>
  </si>
  <si>
    <t>10.1.28.249</t>
  </si>
  <si>
    <t>10.1.28.250</t>
  </si>
  <si>
    <t>10.1.28.252</t>
  </si>
  <si>
    <t>10.1.28.253</t>
  </si>
  <si>
    <t>10.1.28.254</t>
  </si>
  <si>
    <t>10.1.5.108</t>
  </si>
  <si>
    <t>10.1.5.109</t>
  </si>
  <si>
    <t>10.1.5.110</t>
  </si>
  <si>
    <t>10.1.5.112</t>
  </si>
  <si>
    <t>10.1.5.113</t>
  </si>
  <si>
    <t>10.1.5.114</t>
  </si>
  <si>
    <t>10.1.5.176</t>
  </si>
  <si>
    <t>10.1.5.177</t>
  </si>
  <si>
    <t>10.1.5.178</t>
  </si>
  <si>
    <t>10.1.5.180</t>
  </si>
  <si>
    <t>10.1.5.181</t>
  </si>
  <si>
    <t>10.1.5.182</t>
  </si>
  <si>
    <t>10.1.5.200</t>
  </si>
  <si>
    <t>10.1.5.201</t>
  </si>
  <si>
    <t>10.1.5.202</t>
  </si>
  <si>
    <t>10.1.5.204</t>
  </si>
  <si>
    <t>10.1.5.205</t>
  </si>
  <si>
    <t>10.1.5.206</t>
  </si>
  <si>
    <t>10.1.5.208</t>
  </si>
  <si>
    <t>10.1.5.209</t>
  </si>
  <si>
    <t>10.1.5.210</t>
  </si>
  <si>
    <t>10.1.5.212</t>
  </si>
  <si>
    <t>10.1.5.213</t>
  </si>
  <si>
    <t>10.1.5.214</t>
  </si>
  <si>
    <t>10.1.5.216</t>
  </si>
  <si>
    <t>10.1.5.217</t>
  </si>
  <si>
    <t>10.1.5.218</t>
  </si>
  <si>
    <t>10.1.5.220</t>
  </si>
  <si>
    <t>10.1.5.221</t>
  </si>
  <si>
    <t>10.1.5.222</t>
  </si>
  <si>
    <t>VPN1036</t>
  </si>
  <si>
    <t>VPN1035</t>
  </si>
  <si>
    <t>VPN1043</t>
  </si>
  <si>
    <t>VPN1021</t>
  </si>
  <si>
    <t>VPN1022</t>
  </si>
  <si>
    <t>10.1.1.116</t>
  </si>
  <si>
    <t>10.1.1.117</t>
  </si>
  <si>
    <t>10.1.1.118</t>
  </si>
  <si>
    <t>10.1.1.120</t>
  </si>
  <si>
    <t>10.1.1.121</t>
  </si>
  <si>
    <t>10.1.1.122</t>
  </si>
  <si>
    <t>VPN1037</t>
  </si>
  <si>
    <t>VPN1038</t>
  </si>
  <si>
    <t>VPN0953</t>
  </si>
  <si>
    <t>10.1.29.0</t>
  </si>
  <si>
    <t>10.1.29.1</t>
  </si>
  <si>
    <t>10.1.29.2</t>
  </si>
  <si>
    <t>VPN1039</t>
  </si>
  <si>
    <t>VPN1041</t>
  </si>
  <si>
    <t>VPN1053</t>
  </si>
  <si>
    <t>VPN1052</t>
  </si>
  <si>
    <t>VPN1051</t>
  </si>
  <si>
    <t>10.1.29.4</t>
  </si>
  <si>
    <t>10.1.29.5</t>
  </si>
  <si>
    <t>10.1.29.6</t>
  </si>
  <si>
    <t>10.1.29.8</t>
  </si>
  <si>
    <t>10.1.29.9</t>
  </si>
  <si>
    <t>10.1.29.10</t>
  </si>
  <si>
    <t>10.1.29.12</t>
  </si>
  <si>
    <t>10.1.29.13</t>
  </si>
  <si>
    <t>10.1.29.14</t>
  </si>
  <si>
    <t>10.1.29.16</t>
  </si>
  <si>
    <t>10.1.29.17</t>
  </si>
  <si>
    <t>10.1.29.18</t>
  </si>
  <si>
    <t>10.1.29.20</t>
  </si>
  <si>
    <t>10.1.29.21</t>
  </si>
  <si>
    <t>10.1.29.22</t>
  </si>
  <si>
    <t>10.1.29.24</t>
  </si>
  <si>
    <t>10.1.29.25</t>
  </si>
  <si>
    <t>10.1.29.26</t>
  </si>
  <si>
    <t>Запрос отправлен 27.08.2020</t>
  </si>
  <si>
    <t>Организовать новый порт емкостью 10 Гбит/с и обьединить в LAG</t>
  </si>
  <si>
    <t xml:space="preserve">Организовать порт емкостью 10 Гбит/с в г. Чимкент, и объединить новый порт c существующим портом емкостью 30 Гбит/с </t>
  </si>
  <si>
    <t>Организовать порт емкостью 10 Гбит/с в г. Кызылорда, и объединить новый порт c существующим портом емкостью 10 Гбит/с</t>
  </si>
  <si>
    <t xml:space="preserve">Организовать 2 порта емкостью по 1 Гбит/с в г. Темиртау, и объединить c существующими портами емкостью 2 Гбит/с </t>
  </si>
  <si>
    <t>с KZT 10G</t>
  </si>
  <si>
    <t>10.1.29.28</t>
  </si>
  <si>
    <t>10.1.29.29</t>
  </si>
  <si>
    <t>10.1.29.30</t>
  </si>
  <si>
    <t>10.1.29.32</t>
  </si>
  <si>
    <t>10.1.29.33</t>
  </si>
  <si>
    <t>10.1.29.34</t>
  </si>
  <si>
    <t>10.1.29.36</t>
  </si>
  <si>
    <t>10.1.29.37</t>
  </si>
  <si>
    <t>10.1.29.38</t>
  </si>
  <si>
    <t>10.1.29.40</t>
  </si>
  <si>
    <t>10.1.29.41</t>
  </si>
  <si>
    <t>10.1.29.42</t>
  </si>
  <si>
    <t>10.1.29.44</t>
  </si>
  <si>
    <t>10.1.29.45</t>
  </si>
  <si>
    <t>10.1.29.46</t>
  </si>
  <si>
    <t>Запрос выполнен 09.09.20</t>
  </si>
  <si>
    <t>VPN1057</t>
  </si>
  <si>
    <t>VPN1056</t>
  </si>
  <si>
    <t>Запрос отправлен 11.09.2020</t>
  </si>
  <si>
    <t>Организовать порт емкостью 10 Гбит/с , и объединить новый порт c существующим портом емкостью 10 Гбит/с</t>
  </si>
  <si>
    <t>Запрос отправлен 09.09.2020</t>
  </si>
  <si>
    <t>10.1.29.48</t>
  </si>
  <si>
    <t>10.1.29.49</t>
  </si>
  <si>
    <t>10.1.29.50</t>
  </si>
  <si>
    <t>10.1.29.52</t>
  </si>
  <si>
    <t>10.1.29.53</t>
  </si>
  <si>
    <t>10.1.29.54</t>
  </si>
  <si>
    <t>10.1.29.56</t>
  </si>
  <si>
    <t>10.1.29.57</t>
  </si>
  <si>
    <t>10.1.29.58</t>
  </si>
  <si>
    <t>10.1.29.60</t>
  </si>
  <si>
    <t>10.1.29.61</t>
  </si>
  <si>
    <t>10.1.29.62</t>
  </si>
  <si>
    <t>10.1.29.64</t>
  </si>
  <si>
    <t>10.1.29.65</t>
  </si>
  <si>
    <t>10.1.29.66</t>
  </si>
  <si>
    <t>VPN1049</t>
  </si>
  <si>
    <t>VPN1050</t>
  </si>
  <si>
    <t>10.1.29.68</t>
  </si>
  <si>
    <t>10.1.29.69</t>
  </si>
  <si>
    <t>10.1.29.70</t>
  </si>
  <si>
    <t>10.1.29.72</t>
  </si>
  <si>
    <t>10.1.29.73</t>
  </si>
  <si>
    <t>10.1.29.74</t>
  </si>
  <si>
    <t>10.1.29.76</t>
  </si>
  <si>
    <t>10.1.29.77</t>
  </si>
  <si>
    <t>10.1.29.78</t>
  </si>
  <si>
    <t>10.1.29.80</t>
  </si>
  <si>
    <t>10.1.29.81</t>
  </si>
  <si>
    <t>10.1.29.82</t>
  </si>
  <si>
    <t>VPN1092</t>
  </si>
  <si>
    <t>VPN1093</t>
  </si>
  <si>
    <t>10.1.29.84</t>
  </si>
  <si>
    <t>10.1.29.85</t>
  </si>
  <si>
    <t>10.1.29.86</t>
  </si>
  <si>
    <t>10.1.29.88</t>
  </si>
  <si>
    <t>10.1.29.89</t>
  </si>
  <si>
    <t>10.1.29.90</t>
  </si>
  <si>
    <t>10.1.29.92</t>
  </si>
  <si>
    <t>10.1.29.93</t>
  </si>
  <si>
    <t>10.1.29.94</t>
  </si>
  <si>
    <t>10.1.29.96</t>
  </si>
  <si>
    <t>10.1.29.97</t>
  </si>
  <si>
    <t>10.1.29.98</t>
  </si>
  <si>
    <t>10.1.29.100</t>
  </si>
  <si>
    <t>10.1.29.101</t>
  </si>
  <si>
    <t>10.1.29.102</t>
  </si>
  <si>
    <t>10.1.29.104</t>
  </si>
  <si>
    <t>10.1.29.105</t>
  </si>
  <si>
    <t>10.1.29.106</t>
  </si>
  <si>
    <t>10.1.29.108</t>
  </si>
  <si>
    <t>10.1.29.109</t>
  </si>
  <si>
    <t>10.1.29.110</t>
  </si>
  <si>
    <t>10.1.29.112</t>
  </si>
  <si>
    <t>10.1.29.113</t>
  </si>
  <si>
    <t>10.1.29.114</t>
  </si>
  <si>
    <t>10.1.29.116</t>
  </si>
  <si>
    <t>10.1.29.117</t>
  </si>
  <si>
    <t>10.1.29.118</t>
  </si>
  <si>
    <t>10.1.29.120</t>
  </si>
  <si>
    <t>10.1.29.121</t>
  </si>
  <si>
    <t>10.1.29.122</t>
  </si>
  <si>
    <t>10.1.29.124</t>
  </si>
  <si>
    <t>10.1.29.125</t>
  </si>
  <si>
    <t>10.1.29.126</t>
  </si>
  <si>
    <t>10.1.29.128</t>
  </si>
  <si>
    <t>10.1.29.129</t>
  </si>
  <si>
    <t>10.1.29.130</t>
  </si>
  <si>
    <t>10.1.29.132</t>
  </si>
  <si>
    <t>10.1.29.133</t>
  </si>
  <si>
    <t>10.1.29.134</t>
  </si>
  <si>
    <t>10.1.29.136</t>
  </si>
  <si>
    <t>10.1.29.137</t>
  </si>
  <si>
    <t>10.1.29.138</t>
  </si>
  <si>
    <t>10.1.29.148</t>
  </si>
  <si>
    <t>10.1.29.149</t>
  </si>
  <si>
    <t>10.1.29.150</t>
  </si>
  <si>
    <t>10.1.29.152</t>
  </si>
  <si>
    <t>10.1.29.153</t>
  </si>
  <si>
    <t>10.1.29.154</t>
  </si>
  <si>
    <t>10.1.29.156</t>
  </si>
  <si>
    <t>10.1.29.157</t>
  </si>
  <si>
    <t>10.1.29.158</t>
  </si>
  <si>
    <t>VPN1086</t>
  </si>
  <si>
    <t>VPN1087</t>
  </si>
  <si>
    <t>VPN1088</t>
  </si>
  <si>
    <t>Запрос отправлен 25.09.2020</t>
  </si>
  <si>
    <t>Расширение портовой емкости Чимкент</t>
  </si>
  <si>
    <t>10.14.215.1</t>
  </si>
  <si>
    <t>10.13.215.1</t>
  </si>
  <si>
    <t>10.1.29.164</t>
  </si>
  <si>
    <t>10.1.29.165</t>
  </si>
  <si>
    <t>10.1.29.166</t>
  </si>
  <si>
    <t>10.1.29.168</t>
  </si>
  <si>
    <t>10.1.29.169</t>
  </si>
  <si>
    <t>10.1.29.170</t>
  </si>
  <si>
    <t>10.1.29.172</t>
  </si>
  <si>
    <t>10.1.29.173</t>
  </si>
  <si>
    <t>10.1.29.174</t>
  </si>
  <si>
    <t>10.1.29.176</t>
  </si>
  <si>
    <t>10.1.29.177</t>
  </si>
  <si>
    <t>10.1.29.178</t>
  </si>
  <si>
    <t>10.1.29.180</t>
  </si>
  <si>
    <t>10.1.29.181</t>
  </si>
  <si>
    <t>10.1.29.182</t>
  </si>
  <si>
    <t>10.1.29.184</t>
  </si>
  <si>
    <t>10.1.29.185</t>
  </si>
  <si>
    <t>10.1.29.186</t>
  </si>
  <si>
    <t>10.1.29.188</t>
  </si>
  <si>
    <t>10.1.29.189</t>
  </si>
  <si>
    <t>10.1.29.190</t>
  </si>
  <si>
    <t>10.1.29.192</t>
  </si>
  <si>
    <t>10.1.29.193</t>
  </si>
  <si>
    <t>10.1.29.194</t>
  </si>
  <si>
    <t>10.1.29.196</t>
  </si>
  <si>
    <t>10.1.29.197</t>
  </si>
  <si>
    <t>10.1.29.198</t>
  </si>
  <si>
    <t>10.1.29.200</t>
  </si>
  <si>
    <t>10.1.29.201</t>
  </si>
  <si>
    <t>10.1.29.202</t>
  </si>
  <si>
    <t>10.1.29.204</t>
  </si>
  <si>
    <t>10.1.29.205</t>
  </si>
  <si>
    <t>10.1.29.206</t>
  </si>
  <si>
    <t>10.1.29.208</t>
  </si>
  <si>
    <t>10.1.29.209</t>
  </si>
  <si>
    <t>10.1.29.210</t>
  </si>
  <si>
    <t>10.1.29.212</t>
  </si>
  <si>
    <t>10.1.29.213</t>
  </si>
  <si>
    <t>10.1.29.214</t>
  </si>
  <si>
    <t>10.1.29.216</t>
  </si>
  <si>
    <t>10.1.29.217</t>
  </si>
  <si>
    <t>10.1.29.218</t>
  </si>
  <si>
    <t>10.1.29.220</t>
  </si>
  <si>
    <t>10.1.29.221</t>
  </si>
  <si>
    <t>10.1.29.222</t>
  </si>
  <si>
    <t>10.1.29.224</t>
  </si>
  <si>
    <t>10.1.29.225</t>
  </si>
  <si>
    <t>10.1.29.226</t>
  </si>
  <si>
    <t>10.1.29.228</t>
  </si>
  <si>
    <t>10.1.29.229</t>
  </si>
  <si>
    <t>10.1.29.230</t>
  </si>
  <si>
    <t>10.1.29.232</t>
  </si>
  <si>
    <t>10.1.29.233</t>
  </si>
  <si>
    <t>10.1.29.234</t>
  </si>
  <si>
    <t>10.1.29.236</t>
  </si>
  <si>
    <t>10.1.29.237</t>
  </si>
  <si>
    <t>10.1.29.238</t>
  </si>
  <si>
    <t>VPN1080</t>
  </si>
  <si>
    <t>VPN1081</t>
  </si>
  <si>
    <t>VPN1082</t>
  </si>
  <si>
    <t>100Mb(Mlnet)</t>
  </si>
  <si>
    <t>KUANDARIYA Kyzylorda CE2</t>
  </si>
  <si>
    <t>10.14.215.33</t>
  </si>
  <si>
    <t>10.13.215.33</t>
  </si>
  <si>
    <t>10.1.29.240</t>
  </si>
  <si>
    <t>10.1.29.241</t>
  </si>
  <si>
    <t>10.1.29.242</t>
  </si>
  <si>
    <t>10.1.29.244</t>
  </si>
  <si>
    <t>10.1.29.245</t>
  </si>
  <si>
    <t>10.1.29.246</t>
  </si>
  <si>
    <t>VPN1095</t>
  </si>
  <si>
    <t>VPN1096</t>
  </si>
  <si>
    <t xml:space="preserve"> VPN1083</t>
  </si>
  <si>
    <t xml:space="preserve"> VPN1084</t>
  </si>
  <si>
    <t>VPN1094</t>
  </si>
  <si>
    <t>10.1.29.248</t>
  </si>
  <si>
    <t>10.1.29.249</t>
  </si>
  <si>
    <t>10.1.29.250</t>
  </si>
  <si>
    <t>10.1.29.252</t>
  </si>
  <si>
    <t>10.1.29.253</t>
  </si>
  <si>
    <t>10.1.29.254</t>
  </si>
  <si>
    <t>10.1.30.0</t>
  </si>
  <si>
    <t>10.1.30.1</t>
  </si>
  <si>
    <t>10.1.30.2</t>
  </si>
  <si>
    <t>10.1.30.4</t>
  </si>
  <si>
    <t>10.1.30.5</t>
  </si>
  <si>
    <t>10.1.30.6</t>
  </si>
  <si>
    <t>10.1.30.8</t>
  </si>
  <si>
    <t>10.1.30.9</t>
  </si>
  <si>
    <t>10.1.30.10</t>
  </si>
  <si>
    <t>10.1.30.12</t>
  </si>
  <si>
    <t>10.1.30.13</t>
  </si>
  <si>
    <t>10.1.30.14</t>
  </si>
  <si>
    <t>10.1.30.16</t>
  </si>
  <si>
    <t>10.1.30.17</t>
  </si>
  <si>
    <t>10.1.30.18</t>
  </si>
  <si>
    <t>10.1.30.20</t>
  </si>
  <si>
    <t>10.1.30.21</t>
  </si>
  <si>
    <t>10.1.30.22</t>
  </si>
  <si>
    <t>10.1.30.24</t>
  </si>
  <si>
    <t>10.1.30.25</t>
  </si>
  <si>
    <t>10.1.30.26</t>
  </si>
  <si>
    <t>10.1.30.28</t>
  </si>
  <si>
    <t>10.1.30.29</t>
  </si>
  <si>
    <t>10.1.30.30</t>
  </si>
  <si>
    <t>10.1.30.32</t>
  </si>
  <si>
    <t>10.1.30.33</t>
  </si>
  <si>
    <t>10.1.30.34</t>
  </si>
  <si>
    <t>10.1.30.36</t>
  </si>
  <si>
    <t>10.1.30.37</t>
  </si>
  <si>
    <t>10.1.30.38</t>
  </si>
  <si>
    <t>BOLASHAK Aktau CE2</t>
  </si>
  <si>
    <t>10.14.44.145</t>
  </si>
  <si>
    <t>10.1.30.40</t>
  </si>
  <si>
    <t>10.1.30.41</t>
  </si>
  <si>
    <t>10.1.30.42</t>
  </si>
  <si>
    <t>10.1.30.44</t>
  </si>
  <si>
    <t>10.1.30.45</t>
  </si>
  <si>
    <t>10.1.30.46</t>
  </si>
  <si>
    <t>Reminder 06.10.2020</t>
  </si>
  <si>
    <t>Reminder 06.10.2020, Ответ получен 11.03.20</t>
  </si>
  <si>
    <t>Запрос отправлен 06.10.2020</t>
  </si>
  <si>
    <t>Запрос отправлен 06.10.20</t>
  </si>
  <si>
    <t>Запрос отправлен 07.10.2020</t>
  </si>
  <si>
    <t>Запрос отправлен 07.10.20</t>
  </si>
  <si>
    <t>ТВ есть , ответ 07.10.2020</t>
  </si>
  <si>
    <t>VPN1116</t>
  </si>
  <si>
    <t>VPN1117</t>
  </si>
  <si>
    <t>10.1.30.56</t>
  </si>
  <si>
    <t>10.1.30.57</t>
  </si>
  <si>
    <t>10.1.30.58</t>
  </si>
  <si>
    <t>10.1.30.60</t>
  </si>
  <si>
    <t>10.1.30.61</t>
  </si>
  <si>
    <t>10.1.30.62</t>
  </si>
  <si>
    <t>10.1.30.64</t>
  </si>
  <si>
    <t>10.1.30.65</t>
  </si>
  <si>
    <t>10.1.30.66</t>
  </si>
  <si>
    <t>10.1.30.68</t>
  </si>
  <si>
    <t>10.1.30.69</t>
  </si>
  <si>
    <t>10.1.30.70</t>
  </si>
  <si>
    <t>10.1.30.72</t>
  </si>
  <si>
    <t>10.1.30.73</t>
  </si>
  <si>
    <t>10.1.30.74</t>
  </si>
  <si>
    <t>10.1.30.76</t>
  </si>
  <si>
    <t>10.1.30.77</t>
  </si>
  <si>
    <t>10.1.30.78</t>
  </si>
  <si>
    <t>10.1.30.80</t>
  </si>
  <si>
    <t>10.1.30.81</t>
  </si>
  <si>
    <t>10.1.30.82</t>
  </si>
  <si>
    <t>10.1.30.84</t>
  </si>
  <si>
    <t>10.1.30.85</t>
  </si>
  <si>
    <t>10.1.30.86</t>
  </si>
  <si>
    <t>10.1.30.88</t>
  </si>
  <si>
    <t>10.1.30.89</t>
  </si>
  <si>
    <t>10.1.30.90</t>
  </si>
  <si>
    <t>10.1.30.92</t>
  </si>
  <si>
    <t>10.1.30.93</t>
  </si>
  <si>
    <t>10.1.30.94</t>
  </si>
  <si>
    <t>10.1.30.96</t>
  </si>
  <si>
    <t>10.1.30.97</t>
  </si>
  <si>
    <t>10.1.30.98</t>
  </si>
  <si>
    <t>10.1.30.100</t>
  </si>
  <si>
    <t>10.1.30.101</t>
  </si>
  <si>
    <t>10.1.30.102</t>
  </si>
  <si>
    <t>10.1.30.104</t>
  </si>
  <si>
    <t>10.1.30.105</t>
  </si>
  <si>
    <t>10.1.30.106</t>
  </si>
  <si>
    <t>10.1.30.108</t>
  </si>
  <si>
    <t>10.1.30.109</t>
  </si>
  <si>
    <t>10.1.30.110</t>
  </si>
  <si>
    <t>VPN1107</t>
  </si>
  <si>
    <t>VPN1108</t>
  </si>
  <si>
    <t>VPN1109</t>
  </si>
  <si>
    <t>VPN1110</t>
  </si>
  <si>
    <t>VPN1111</t>
  </si>
  <si>
    <t>VPN1125</t>
  </si>
  <si>
    <t>VPN1127</t>
  </si>
  <si>
    <t>VPN1126</t>
  </si>
  <si>
    <t>VPN1128</t>
  </si>
  <si>
    <t>VPN1130</t>
  </si>
  <si>
    <t>VPN1129</t>
  </si>
  <si>
    <t>10.1.30.112</t>
  </si>
  <si>
    <t>10.1.30.113</t>
  </si>
  <si>
    <t>10.1.30.114</t>
  </si>
  <si>
    <t>Запрос отправлен 20.10.20</t>
  </si>
  <si>
    <t>Расширили 23.10.2020</t>
  </si>
  <si>
    <t>10.1.30.116</t>
  </si>
  <si>
    <t>10.1.30.117</t>
  </si>
  <si>
    <t>10.1.30.118</t>
  </si>
  <si>
    <t xml:space="preserve"> VPN0993</t>
  </si>
  <si>
    <t xml:space="preserve"> VPN0994</t>
  </si>
  <si>
    <t xml:space="preserve"> VPN0995</t>
  </si>
  <si>
    <t>10.1.30.128</t>
  </si>
  <si>
    <t>10.1.30.129</t>
  </si>
  <si>
    <t>10.1.30.130</t>
  </si>
  <si>
    <t>10.1.30.120</t>
  </si>
  <si>
    <t>10.1.30.121</t>
  </si>
  <si>
    <t>10.1.30.122</t>
  </si>
  <si>
    <t>10.1.30.124</t>
  </si>
  <si>
    <t>10.1.30.125</t>
  </si>
  <si>
    <t>10.1.30.126</t>
  </si>
  <si>
    <t>10.1.30.132</t>
  </si>
  <si>
    <t>10.1.30.133</t>
  </si>
  <si>
    <t>10.1.30.134</t>
  </si>
  <si>
    <t>TLTE</t>
  </si>
  <si>
    <t>10.1.30.136</t>
  </si>
  <si>
    <t>10.1.30.137</t>
  </si>
  <si>
    <t>10.1.30.138</t>
  </si>
  <si>
    <t>10.1.30.140</t>
  </si>
  <si>
    <t>10.1.30.141</t>
  </si>
  <si>
    <t>10.1.30.142</t>
  </si>
  <si>
    <t>MON</t>
  </si>
  <si>
    <t>10.252.240.0</t>
  </si>
  <si>
    <t>10.252.240.1</t>
  </si>
  <si>
    <t>10.252.240.2</t>
  </si>
  <si>
    <t>10.252.240.4</t>
  </si>
  <si>
    <t>10.252.240.5</t>
  </si>
  <si>
    <t>10.252.240.6</t>
  </si>
  <si>
    <t>10.252.240.8</t>
  </si>
  <si>
    <t>10.252.240.9</t>
  </si>
  <si>
    <t>10.252.240.10</t>
  </si>
  <si>
    <t>10.252.240.16</t>
  </si>
  <si>
    <t>10.252.240.17</t>
  </si>
  <si>
    <t>10.252.240.18</t>
  </si>
  <si>
    <t>10.252.240.20</t>
  </si>
  <si>
    <t>10.252.240.21</t>
  </si>
  <si>
    <t>10.252.240.22</t>
  </si>
  <si>
    <t>10.252.240.24</t>
  </si>
  <si>
    <t>10.252.240.25</t>
  </si>
  <si>
    <t>10.252.240.26</t>
  </si>
  <si>
    <t>10.252.240.28</t>
  </si>
  <si>
    <t>10.252.240.29</t>
  </si>
  <si>
    <t>10.252.240.30</t>
  </si>
  <si>
    <t>10.255.240.4</t>
  </si>
  <si>
    <t>10.255.240.5</t>
  </si>
  <si>
    <t>10.255.240.6</t>
  </si>
  <si>
    <t>10.255.240.8</t>
  </si>
  <si>
    <t>10.255.240.9</t>
  </si>
  <si>
    <t>10.255.240.10</t>
  </si>
  <si>
    <t>10.255.240.12</t>
  </si>
  <si>
    <t>10.255.240.13</t>
  </si>
  <si>
    <t>10.255.240.14</t>
  </si>
  <si>
    <t>10.255.240.16</t>
  </si>
  <si>
    <t>10.255.240.17</t>
  </si>
  <si>
    <t>10.255.240.18</t>
  </si>
  <si>
    <t>10.255.240.20</t>
  </si>
  <si>
    <t>10.255.240.21</t>
  </si>
  <si>
    <t>10.255.240.22</t>
  </si>
  <si>
    <t>10.255.240.0</t>
  </si>
  <si>
    <t>10.255.240.1</t>
  </si>
  <si>
    <t>10.255.240.2</t>
  </si>
  <si>
    <t>10.1.5.236</t>
  </si>
  <si>
    <t>10.1.5.237</t>
  </si>
  <si>
    <t>10.1.5.238</t>
  </si>
  <si>
    <t>10.5.114.145</t>
  </si>
  <si>
    <t>T2MA</t>
  </si>
  <si>
    <t>10.1.30.152</t>
  </si>
  <si>
    <t>10.1.30.153</t>
  </si>
  <si>
    <t>10.1.30.154</t>
  </si>
  <si>
    <t>10.1.30.156</t>
  </si>
  <si>
    <t>10.1.30.157</t>
  </si>
  <si>
    <t>10.1.30.158</t>
  </si>
  <si>
    <t>10.1.30.160</t>
  </si>
  <si>
    <t>10.1.30.161</t>
  </si>
  <si>
    <t>10.1.30.162</t>
  </si>
  <si>
    <t>10.1.30.168</t>
  </si>
  <si>
    <t>10.1.30.169</t>
  </si>
  <si>
    <t>10.1.30.170</t>
  </si>
  <si>
    <t>10.1.30.172</t>
  </si>
  <si>
    <t>10.1.30.173</t>
  </si>
  <si>
    <t>10.1.30.174</t>
  </si>
  <si>
    <t>10.1.30.176</t>
  </si>
  <si>
    <t>10.1.30.177</t>
  </si>
  <si>
    <t>10.1.30.178</t>
  </si>
  <si>
    <t>10.1.30.180</t>
  </si>
  <si>
    <t>10.1.30.181</t>
  </si>
  <si>
    <t>10.1.30.182</t>
  </si>
  <si>
    <t>10.1.30.192</t>
  </si>
  <si>
    <t>10.1.30.193</t>
  </si>
  <si>
    <t>10.1.30.194</t>
  </si>
  <si>
    <t>10.1.30.196</t>
  </si>
  <si>
    <t>10.1.30.197</t>
  </si>
  <si>
    <t>10.1.30.198</t>
  </si>
  <si>
    <t>10.1.30.200</t>
  </si>
  <si>
    <t>10.1.30.201</t>
  </si>
  <si>
    <t>10.1.30.202</t>
  </si>
  <si>
    <t>10.1.30.204</t>
  </si>
  <si>
    <t>10.1.30.205</t>
  </si>
  <si>
    <t>10.1.30.206</t>
  </si>
  <si>
    <t>Zhuantobe Shymkent CE2</t>
  </si>
  <si>
    <t>10.14.205.224</t>
  </si>
  <si>
    <t>10.13.205.224</t>
  </si>
  <si>
    <t>VPN1061</t>
  </si>
  <si>
    <t>VPN1060</t>
  </si>
  <si>
    <t>VPN1151</t>
  </si>
  <si>
    <t>VPN1152</t>
  </si>
  <si>
    <t>10.1.30.220</t>
  </si>
  <si>
    <t>10.1.30.221</t>
  </si>
  <si>
    <t>10.1.30.222</t>
  </si>
  <si>
    <t>10.1.30.224</t>
  </si>
  <si>
    <t>10.1.30.225</t>
  </si>
  <si>
    <t>10.1.30.226</t>
  </si>
  <si>
    <t>10.1.30.228</t>
  </si>
  <si>
    <t>10.1.30.229</t>
  </si>
  <si>
    <t>10.1.30.230</t>
  </si>
  <si>
    <t>10.1.30.232</t>
  </si>
  <si>
    <t>10.1.30.233</t>
  </si>
  <si>
    <t>10.1.30.234</t>
  </si>
  <si>
    <t>10.1.30.236</t>
  </si>
  <si>
    <t>10.1.30.237</t>
  </si>
  <si>
    <t>10.1.30.238</t>
  </si>
  <si>
    <t>10.1.30.240</t>
  </si>
  <si>
    <t>10.1.30.241</t>
  </si>
  <si>
    <t>10.1.30.242</t>
  </si>
  <si>
    <t>10.1.2.52</t>
  </si>
  <si>
    <t>10.1.2.53</t>
  </si>
  <si>
    <t>10.1.2.54</t>
  </si>
  <si>
    <t>10.1.30.244</t>
  </si>
  <si>
    <t>10.1.30.245</t>
  </si>
  <si>
    <t>10.1.30.246</t>
  </si>
  <si>
    <t>VPN1159</t>
  </si>
  <si>
    <t>VPN1118</t>
  </si>
  <si>
    <t>VPN1119</t>
  </si>
  <si>
    <t>10.1.30.248</t>
  </si>
  <si>
    <t>10.1.30.249</t>
  </si>
  <si>
    <t>10.1.30.250</t>
  </si>
  <si>
    <t>10.1.30.252</t>
  </si>
  <si>
    <t>10.1.30.253</t>
  </si>
  <si>
    <t>10.1.30.254</t>
  </si>
  <si>
    <t>VPN1210</t>
  </si>
  <si>
    <t>VPN1207</t>
  </si>
  <si>
    <t>VPN1208</t>
  </si>
  <si>
    <t>VPN1209</t>
  </si>
  <si>
    <t>10.1.31.0</t>
  </si>
  <si>
    <t>10.1.31.1</t>
  </si>
  <si>
    <t>10.1.31.2</t>
  </si>
  <si>
    <t>10.1.31.4</t>
  </si>
  <si>
    <t>10.1.31.5</t>
  </si>
  <si>
    <t>10.1.31.6</t>
  </si>
  <si>
    <t>10.1.31.8</t>
  </si>
  <si>
    <t>10.1.31.9</t>
  </si>
  <si>
    <t>10.1.31.10</t>
  </si>
  <si>
    <t>SHUBARKOL Almaty CE2</t>
  </si>
  <si>
    <t xml:space="preserve"> VPN1156</t>
  </si>
  <si>
    <t xml:space="preserve"> VPN1158</t>
  </si>
  <si>
    <t xml:space="preserve"> VPN1157</t>
  </si>
  <si>
    <t xml:space="preserve"> VPN1089</t>
  </si>
  <si>
    <t xml:space="preserve"> VPN1090</t>
  </si>
  <si>
    <t xml:space="preserve"> VPN1091</t>
  </si>
  <si>
    <t>10.252.240.36</t>
  </si>
  <si>
    <t>10.252.240.37</t>
  </si>
  <si>
    <t>10.252.240.38</t>
  </si>
  <si>
    <t>VPN1242</t>
  </si>
  <si>
    <t xml:space="preserve"> VPN1243</t>
  </si>
  <si>
    <t>10.1.31.16</t>
  </si>
  <si>
    <t>10.1.31.17</t>
  </si>
  <si>
    <t>10.1.31.18</t>
  </si>
  <si>
    <t>18.11.2020. ТВ иммется, отправмли в регион на организацию LM</t>
  </si>
  <si>
    <t>18.11.2020. ТВ имеется, отправили в регион на организацию LM</t>
  </si>
  <si>
    <t>VPN1071</t>
  </si>
  <si>
    <t>VPN1070</t>
  </si>
  <si>
    <t>Расширение портовой емкости Kostanay</t>
  </si>
  <si>
    <t>Организован --.10.20</t>
  </si>
  <si>
    <t>10.1.31.20</t>
  </si>
  <si>
    <t>10.1.31.21</t>
  </si>
  <si>
    <t>10.1.31.22</t>
  </si>
  <si>
    <t>10.1.31.24</t>
  </si>
  <si>
    <t>10.1.31.25</t>
  </si>
  <si>
    <t>10.1.31.26</t>
  </si>
  <si>
    <t>10.1.31.28</t>
  </si>
  <si>
    <t>10.1.31.29</t>
  </si>
  <si>
    <t>10.1.31.30</t>
  </si>
  <si>
    <t>10.1.31.32</t>
  </si>
  <si>
    <t>10.1.31.33</t>
  </si>
  <si>
    <t>10.1.31.34</t>
  </si>
  <si>
    <t>10.1.31.36</t>
  </si>
  <si>
    <t>10.1.31.37</t>
  </si>
  <si>
    <t>10.1.31.38</t>
  </si>
  <si>
    <t>10.1.31.40</t>
  </si>
  <si>
    <t>10.1.31.41</t>
  </si>
  <si>
    <t>10.1.31.42</t>
  </si>
  <si>
    <t>10.1.31.44</t>
  </si>
  <si>
    <t>10.1.31.45</t>
  </si>
  <si>
    <t>10.1.31.46</t>
  </si>
  <si>
    <t>10.1.31.48</t>
  </si>
  <si>
    <t>10.1.31.49</t>
  </si>
  <si>
    <t>10.1.31.50</t>
  </si>
  <si>
    <t>10.1.31.52</t>
  </si>
  <si>
    <t>10.1.31.53</t>
  </si>
  <si>
    <t>10.1.31.54</t>
  </si>
  <si>
    <t>10.1.31.56</t>
  </si>
  <si>
    <t>10.1.31.57</t>
  </si>
  <si>
    <t>10.1.31.58</t>
  </si>
  <si>
    <t>10.1.31.60</t>
  </si>
  <si>
    <t>10.1.31.61</t>
  </si>
  <si>
    <t>10.1.31.62</t>
  </si>
  <si>
    <t>10.1.31.64</t>
  </si>
  <si>
    <t>10.1.31.65</t>
  </si>
  <si>
    <t>10.1.31.66</t>
  </si>
  <si>
    <t>10.1.31.68</t>
  </si>
  <si>
    <t>10.1.31.69</t>
  </si>
  <si>
    <t>10.1.31.70</t>
  </si>
  <si>
    <t>10.1.31.72</t>
  </si>
  <si>
    <t>10.1.31.73</t>
  </si>
  <si>
    <t>10.1.31.74</t>
  </si>
  <si>
    <t>10.1.31.76</t>
  </si>
  <si>
    <t>10.1.31.77</t>
  </si>
  <si>
    <t>10.1.31.78</t>
  </si>
  <si>
    <t>10.1.31.80</t>
  </si>
  <si>
    <t>10.1.31.81</t>
  </si>
  <si>
    <t>10.1.31.82</t>
  </si>
  <si>
    <t>10.1.31.84</t>
  </si>
  <si>
    <t>10.1.31.85</t>
  </si>
  <si>
    <t>10.1.31.86</t>
  </si>
  <si>
    <t>10.1.31.88</t>
  </si>
  <si>
    <t>10.1.31.89</t>
  </si>
  <si>
    <t>10.1.31.90</t>
  </si>
  <si>
    <t>10.1.31.92</t>
  </si>
  <si>
    <t>10.1.31.93</t>
  </si>
  <si>
    <t>10.1.31.94</t>
  </si>
  <si>
    <t>10.1.31.96</t>
  </si>
  <si>
    <t>10.1.31.97</t>
  </si>
  <si>
    <t>10.1.31.98</t>
  </si>
  <si>
    <t>10.1.31.100</t>
  </si>
  <si>
    <t>10.1.31.101</t>
  </si>
  <si>
    <t>10.1.31.102</t>
  </si>
  <si>
    <t>10.1.31.104</t>
  </si>
  <si>
    <t>10.1.31.105</t>
  </si>
  <si>
    <t>10.1.31.106</t>
  </si>
  <si>
    <t>10.1.31.108</t>
  </si>
  <si>
    <t>10.1.31.109</t>
  </si>
  <si>
    <t>10.1.31.110</t>
  </si>
  <si>
    <t>Almaty (Astana)</t>
  </si>
  <si>
    <t>10.1.31.112</t>
  </si>
  <si>
    <t>10.1.31.113</t>
  </si>
  <si>
    <t>10.1.31.114</t>
  </si>
  <si>
    <t>10.1.31.116</t>
  </si>
  <si>
    <t>10.1.31.117</t>
  </si>
  <si>
    <t>10.1.31.118</t>
  </si>
  <si>
    <t>10.1.31.120</t>
  </si>
  <si>
    <t>10.1.31.121</t>
  </si>
  <si>
    <t>10.1.31.122</t>
  </si>
  <si>
    <t>10.1.31.124</t>
  </si>
  <si>
    <t>10.1.31.125</t>
  </si>
  <si>
    <t>10.1.31.126</t>
  </si>
  <si>
    <t>10.1.31.128</t>
  </si>
  <si>
    <t>10.1.31.129</t>
  </si>
  <si>
    <t>10.1.31.130</t>
  </si>
  <si>
    <t>VPN1257</t>
  </si>
  <si>
    <t>VPN1255</t>
  </si>
  <si>
    <t>VPN1256</t>
  </si>
  <si>
    <t>VPN1259</t>
  </si>
  <si>
    <t>VPN1258</t>
  </si>
  <si>
    <t>VPN1254</t>
  </si>
  <si>
    <t>10.1.31.132</t>
  </si>
  <si>
    <t>10.1.31.133</t>
  </si>
  <si>
    <t>10.1.31.134</t>
  </si>
  <si>
    <t>10.1.31.136</t>
  </si>
  <si>
    <t>10.1.31.137</t>
  </si>
  <si>
    <t>10.1.31.138</t>
  </si>
  <si>
    <t>VPN1266</t>
  </si>
  <si>
    <t>VPN1267</t>
  </si>
  <si>
    <t>VPN1268</t>
  </si>
  <si>
    <t>10.1.31.140</t>
  </si>
  <si>
    <t>10.1.31.141</t>
  </si>
  <si>
    <t>10.1.31.142</t>
  </si>
  <si>
    <t>10.1.31.144</t>
  </si>
  <si>
    <t>10.1.31.145</t>
  </si>
  <si>
    <t>10.1.31.146</t>
  </si>
  <si>
    <t>10.1.31.148</t>
  </si>
  <si>
    <t>10.1.31.149</t>
  </si>
  <si>
    <t>10.1.31.150</t>
  </si>
  <si>
    <t>10.1.31.152</t>
  </si>
  <si>
    <t>10.1.31.153</t>
  </si>
  <si>
    <t>10.1.31.154</t>
  </si>
  <si>
    <t>10.252.240.40</t>
  </si>
  <si>
    <t>10.252.240.41</t>
  </si>
  <si>
    <t>10.252.240.42</t>
  </si>
  <si>
    <t>10.252.240.44</t>
  </si>
  <si>
    <t>10.252.240.45</t>
  </si>
  <si>
    <t>10.252.240.46</t>
  </si>
  <si>
    <t>VPN1244</t>
  </si>
  <si>
    <t>VPN1247</t>
  </si>
  <si>
    <t>VPN1248</t>
  </si>
  <si>
    <t>VPN1137</t>
  </si>
  <si>
    <t>VPN1139</t>
  </si>
  <si>
    <t>VPN1138</t>
  </si>
  <si>
    <t>10.252.240.48</t>
  </si>
  <si>
    <t>10.252.240.49</t>
  </si>
  <si>
    <t>10.252.240.50</t>
  </si>
  <si>
    <t>10.1.31.156</t>
  </si>
  <si>
    <t>10.1.31.157</t>
  </si>
  <si>
    <t>10.1.31.158</t>
  </si>
  <si>
    <t>10.1.31.160</t>
  </si>
  <si>
    <t>10.1.31.161</t>
  </si>
  <si>
    <t>10.1.31.162</t>
  </si>
  <si>
    <t>10.1.31.164</t>
  </si>
  <si>
    <t>10.1.31.165</t>
  </si>
  <si>
    <t>10.1.31.166</t>
  </si>
  <si>
    <t>10.1.31.168</t>
  </si>
  <si>
    <t>10.1.31.169</t>
  </si>
  <si>
    <t>10.1.31.170</t>
  </si>
  <si>
    <t>10.1.31.172</t>
  </si>
  <si>
    <t>10.1.31.173</t>
  </si>
  <si>
    <t>10.1.31.174</t>
  </si>
  <si>
    <t>10.255.240.24</t>
  </si>
  <si>
    <t>10.255.240.25</t>
  </si>
  <si>
    <t>10.255.240.26</t>
  </si>
  <si>
    <t>10.255.240.28</t>
  </si>
  <si>
    <t>10.255.240.29</t>
  </si>
  <si>
    <t>10.255.240.30</t>
  </si>
  <si>
    <t>10.255.240.32</t>
  </si>
  <si>
    <t>10.255.240.33</t>
  </si>
  <si>
    <t>10.255.240.34</t>
  </si>
  <si>
    <t>10.255.240.36</t>
  </si>
  <si>
    <t>10.255.240.37</t>
  </si>
  <si>
    <t>10.255.240.38</t>
  </si>
  <si>
    <t>10.255.240.40</t>
  </si>
  <si>
    <t>10.255.240.41</t>
  </si>
  <si>
    <t>10.255.240.42</t>
  </si>
  <si>
    <t>10.1.31.176</t>
  </si>
  <si>
    <t>10.1.31.177</t>
  </si>
  <si>
    <t>10.1.31.178</t>
  </si>
  <si>
    <t xml:space="preserve"> VPN1067</t>
  </si>
  <si>
    <t xml:space="preserve"> VPN1066</t>
  </si>
  <si>
    <t>VPN1288</t>
  </si>
  <si>
    <t>VPN1289</t>
  </si>
  <si>
    <t>10.1.31.180</t>
  </si>
  <si>
    <t>10.1.31.181</t>
  </si>
  <si>
    <t>10.1.31.182</t>
  </si>
  <si>
    <t>10.1.31.184</t>
  </si>
  <si>
    <t>10.1.31.185</t>
  </si>
  <si>
    <t>10.1.31.186</t>
  </si>
  <si>
    <t>Нет ТВ. Ответ 02.12.2020. Нет возможности объединения LAG c существующими портами, так как действ линк организован на оборуд. akki.atyr-cat-1. А на оборуд. akki.atyr-cat-1 нет свободных портов.</t>
  </si>
  <si>
    <t>Нет ТВ. Ответ 02.12.2020. Нет возможности объединения LAG c существующими портами, так как действ линк организован на оборуд. aygz.ustk-cat-03. А на оборуд. aygz.ustk-cat-03 нет свободных портов</t>
  </si>
  <si>
    <t>Нет ТВ. Ответ 02.12.2020. Нет возможности объединения LAG c существующими портами, так как действ линк организован на оборуд. zays.ustk-cat-01. А на оборуд. zays.ustk-cat-01 нет свободных портов</t>
  </si>
  <si>
    <t>Нет ТВ. Ответ 02.12.2020. плата Gi3 не поддерживает CoS - политики</t>
  </si>
  <si>
    <t>02.12.2020. ТВ имеется, отправили в регион на организацию LM</t>
  </si>
  <si>
    <t>LM готов 03.12.2020</t>
  </si>
  <si>
    <t>VPN1309</t>
  </si>
  <si>
    <t>VPN1278</t>
  </si>
  <si>
    <t>VPN1269</t>
  </si>
  <si>
    <t>VPN1271</t>
  </si>
  <si>
    <t>VPN1270</t>
  </si>
  <si>
    <t>VPN1272</t>
  </si>
  <si>
    <t>VPN1275</t>
  </si>
  <si>
    <t>VPN1284</t>
  </si>
  <si>
    <t>VPN1286</t>
  </si>
  <si>
    <t>VPN1283</t>
  </si>
  <si>
    <t>10.1.31.188</t>
  </si>
  <si>
    <t>10.1.31.189</t>
  </si>
  <si>
    <t>10.1.31.190</t>
  </si>
  <si>
    <t>10.1.31.192</t>
  </si>
  <si>
    <t>10.1.31.193</t>
  </si>
  <si>
    <t>10.1.31.194</t>
  </si>
  <si>
    <t>10.1.31.196</t>
  </si>
  <si>
    <t>10.1.31.197</t>
  </si>
  <si>
    <t>10.1.31.198</t>
  </si>
  <si>
    <t>10.1.31.200</t>
  </si>
  <si>
    <t>10.1.31.201</t>
  </si>
  <si>
    <t>10.1.31.202</t>
  </si>
  <si>
    <t>10.1.31.204</t>
  </si>
  <si>
    <t>10.1.31.205</t>
  </si>
  <si>
    <t>10.1.31.206</t>
  </si>
  <si>
    <t>VPN1285</t>
  </si>
  <si>
    <t>VPN1273</t>
  </si>
  <si>
    <t>VPN1316</t>
  </si>
  <si>
    <t>VPN1314</t>
  </si>
  <si>
    <t>VPN1315</t>
  </si>
  <si>
    <t>VPN1318</t>
  </si>
  <si>
    <t>VPN1319</t>
  </si>
  <si>
    <t>VPN1320</t>
  </si>
  <si>
    <t xml:space="preserve">08.12.2020 Отправлен запрос на организацию нового порта 10G </t>
  </si>
  <si>
    <t>10.1.31.208</t>
  </si>
  <si>
    <t>10.1.31.209</t>
  </si>
  <si>
    <t>10.1.31.210</t>
  </si>
  <si>
    <t>10.130.225.51</t>
  </si>
  <si>
    <t>10.130.227.51</t>
  </si>
  <si>
    <t>10.130.229.51</t>
  </si>
  <si>
    <t>10.130.224.3</t>
  </si>
  <si>
    <t>10.130.226.3</t>
  </si>
  <si>
    <t>10.130.228.3</t>
  </si>
  <si>
    <t>AKTOGAY(ABIS) Almaty CE2</t>
  </si>
  <si>
    <t>AKTOGAY(IuB) Almaty CE2</t>
  </si>
  <si>
    <t>AKTOGAY(MuB) Almaty CE2</t>
  </si>
  <si>
    <t>TANSYK(ABIS) Almaty CE2</t>
  </si>
  <si>
    <t>TANSYK(IuB) Almaty CE2</t>
  </si>
  <si>
    <t>TANSYK(MuB) Almaty CE2</t>
  </si>
  <si>
    <t>10.1.31.220</t>
  </si>
  <si>
    <t>10.1.31.221</t>
  </si>
  <si>
    <t>10.1.31.222</t>
  </si>
  <si>
    <t>10.1.31.224</t>
  </si>
  <si>
    <t>10.1.31.225</t>
  </si>
  <si>
    <t>10.1.31.226</t>
  </si>
  <si>
    <t>10.1.31.212</t>
  </si>
  <si>
    <t>10.1.31.213</t>
  </si>
  <si>
    <t>10.1.31.214</t>
  </si>
  <si>
    <t>10.1.31.216</t>
  </si>
  <si>
    <t>10.1.31.217</t>
  </si>
  <si>
    <t>10.1.31.218</t>
  </si>
  <si>
    <t>10.254.240.0</t>
  </si>
  <si>
    <t>10.254.240.1</t>
  </si>
  <si>
    <t>10.254.240.2</t>
  </si>
  <si>
    <t>10.255.240.44</t>
  </si>
  <si>
    <t>10.255.240.45</t>
  </si>
  <si>
    <t>10.255.240.46</t>
  </si>
  <si>
    <t>10.255.240.48</t>
  </si>
  <si>
    <t>10.255.240.49</t>
  </si>
  <si>
    <t>10.255.240.50</t>
  </si>
  <si>
    <t>10.255.240.52</t>
  </si>
  <si>
    <t>10.255.240.53</t>
  </si>
  <si>
    <t>10.255.240.54</t>
  </si>
  <si>
    <t>ERG</t>
  </si>
  <si>
    <t>10.1.31.240</t>
  </si>
  <si>
    <t>10.1.31.241</t>
  </si>
  <si>
    <t>10.1.31.242</t>
  </si>
  <si>
    <t>10.1.31.228</t>
  </si>
  <si>
    <t>10.1.31.229</t>
  </si>
  <si>
    <t>10.1.31.230</t>
  </si>
  <si>
    <t>10.1.31.232</t>
  </si>
  <si>
    <t>10.1.31.233</t>
  </si>
  <si>
    <t>10.1.31.234</t>
  </si>
  <si>
    <t>10.255.240.56</t>
  </si>
  <si>
    <t>10.255.240.57</t>
  </si>
  <si>
    <t>10.255.240.58</t>
  </si>
  <si>
    <t>10.1.31.244</t>
  </si>
  <si>
    <t>10.1.31.245</t>
  </si>
  <si>
    <t>10.1.31.246</t>
  </si>
  <si>
    <t>VPN1307</t>
  </si>
  <si>
    <t>VPN1305</t>
  </si>
  <si>
    <t>VPN1306</t>
  </si>
  <si>
    <t>Karaganda CE2</t>
  </si>
  <si>
    <t>10.1.33.44</t>
  </si>
  <si>
    <t>10.1.33.45</t>
  </si>
  <si>
    <t>10.1.33.46</t>
  </si>
  <si>
    <t>10.1.34.0</t>
  </si>
  <si>
    <t>10.1.34.1</t>
  </si>
  <si>
    <t>10.1.34.2</t>
  </si>
  <si>
    <t>10.1.34.4</t>
  </si>
  <si>
    <t>10.1.34.5</t>
  </si>
  <si>
    <t>10.1.34.6</t>
  </si>
  <si>
    <t>10.1.34.8</t>
  </si>
  <si>
    <t>10.1.34.9</t>
  </si>
  <si>
    <t>10.1.34.10</t>
  </si>
  <si>
    <t>10.1.34.12</t>
  </si>
  <si>
    <t>10.1.34.13</t>
  </si>
  <si>
    <t>10.1.34.14</t>
  </si>
  <si>
    <t>10.1.34.16</t>
  </si>
  <si>
    <t>10.1.34.17</t>
  </si>
  <si>
    <t>10.1.34.18</t>
  </si>
  <si>
    <t>10.1.34.20</t>
  </si>
  <si>
    <t>10.1.34.21</t>
  </si>
  <si>
    <t>10.1.34.22</t>
  </si>
  <si>
    <t>10.1.34.24</t>
  </si>
  <si>
    <t>10.1.34.25</t>
  </si>
  <si>
    <t>10.1.34.26</t>
  </si>
  <si>
    <t>10.1.34.28</t>
  </si>
  <si>
    <t>10.1.34.29</t>
  </si>
  <si>
    <t>10.1.34.30</t>
  </si>
  <si>
    <t>10.1.34.36</t>
  </si>
  <si>
    <t>10.1.34.37</t>
  </si>
  <si>
    <t>10.1.34.38</t>
  </si>
  <si>
    <t xml:space="preserve">VPN1337 </t>
  </si>
  <si>
    <t>VPN1338</t>
  </si>
  <si>
    <t>VPN1339</t>
  </si>
  <si>
    <t>ABAY Kyzylorda CE2</t>
  </si>
  <si>
    <t>10.14.212.225</t>
  </si>
  <si>
    <t>10.13.212.225</t>
  </si>
  <si>
    <t>10.5.28.49</t>
  </si>
  <si>
    <t>AKTOGAY Pavlodar CE2</t>
  </si>
  <si>
    <t>10.192.100.1</t>
  </si>
  <si>
    <t>10.196.100.1</t>
  </si>
  <si>
    <t>10.14.95.1</t>
  </si>
  <si>
    <t>10.1.31.248</t>
  </si>
  <si>
    <t>10.1.31.249</t>
  </si>
  <si>
    <t>10.1.31.250</t>
  </si>
  <si>
    <t>10.1.31.252</t>
  </si>
  <si>
    <t>10.1.31.253</t>
  </si>
  <si>
    <t>10.1.31.254</t>
  </si>
  <si>
    <t>10.1.34.40</t>
  </si>
  <si>
    <t>10.1.34.41</t>
  </si>
  <si>
    <t>10.1.34.42</t>
  </si>
  <si>
    <t>10.1.34.44</t>
  </si>
  <si>
    <t>10.1.34.45</t>
  </si>
  <si>
    <t>10.1.34.46</t>
  </si>
  <si>
    <t>10.1.34.48</t>
  </si>
  <si>
    <t>10.1.34.49</t>
  </si>
  <si>
    <t>10.1.34.50</t>
  </si>
  <si>
    <t>10.1.34.52</t>
  </si>
  <si>
    <t>10.1.34.53</t>
  </si>
  <si>
    <t>10.1.34.54</t>
  </si>
  <si>
    <t>21.12.2020. LM готов</t>
  </si>
  <si>
    <t xml:space="preserve">22.12.2020 Отправлен запрос на организацию нового порта 10G </t>
  </si>
  <si>
    <t>VPN1352</t>
  </si>
  <si>
    <t>VPN1353</t>
  </si>
  <si>
    <t xml:space="preserve"> VPN1213</t>
  </si>
  <si>
    <t>10.1.34.56</t>
  </si>
  <si>
    <t>10.1.34.57</t>
  </si>
  <si>
    <t>10.1.34.58</t>
  </si>
  <si>
    <t>10.1.34.60</t>
  </si>
  <si>
    <t>10.1.34.61</t>
  </si>
  <si>
    <t>10.1.34.62</t>
  </si>
  <si>
    <t>10.1.34.64</t>
  </si>
  <si>
    <t>10.1.34.65</t>
  </si>
  <si>
    <t>10.1.34.66</t>
  </si>
  <si>
    <t>10.1.34.68</t>
  </si>
  <si>
    <t>10.1.34.69</t>
  </si>
  <si>
    <t>10.1.34.70</t>
  </si>
  <si>
    <t>VPN1343</t>
  </si>
  <si>
    <t>VPN1345</t>
  </si>
  <si>
    <t>VPN1344</t>
  </si>
  <si>
    <t>VPN1346</t>
  </si>
  <si>
    <t>VPN1347</t>
  </si>
  <si>
    <t>VPN1348</t>
  </si>
  <si>
    <t>10.254.240.4</t>
  </si>
  <si>
    <t>10.254.240.5</t>
  </si>
  <si>
    <t>10.254.240.6</t>
  </si>
  <si>
    <t>VPN1327</t>
  </si>
  <si>
    <t>VPN1328</t>
  </si>
  <si>
    <t>VPN1329</t>
  </si>
  <si>
    <t>VPN1360</t>
  </si>
  <si>
    <t>VPN1356</t>
  </si>
  <si>
    <t>VPN1357</t>
  </si>
  <si>
    <t>VPN1359</t>
  </si>
  <si>
    <t>VPN1358</t>
  </si>
  <si>
    <t>VPN1355</t>
  </si>
  <si>
    <t>Галымхан +7 747 522 6797</t>
  </si>
  <si>
    <t>Taraz CE2</t>
  </si>
  <si>
    <t xml:space="preserve">24.12.2020 Отправлен запрос  на организацию 2 портов емкостью по 1Гбит/с </t>
  </si>
  <si>
    <t>10.1.33.92</t>
  </si>
  <si>
    <t>10.1.33.93</t>
  </si>
  <si>
    <t>10.1.33.94</t>
  </si>
  <si>
    <t>ORTAKSHIL Kyzylorda CE2</t>
  </si>
  <si>
    <t>10.13.215.64</t>
  </si>
  <si>
    <t>10.14.215.64</t>
  </si>
  <si>
    <t>VPN1341</t>
  </si>
  <si>
    <t>VPN1342</t>
  </si>
  <si>
    <t>Запрос отправлен 25.12.20. Организовать порт емкостью 1 Гбит/с в , и объединить новый порт c существующим портом емкостью 1 Гбит/с по технологии LAG для получения портов с емкостью 2 Гбит/с</t>
  </si>
  <si>
    <t>VPN1252</t>
  </si>
  <si>
    <t>VPN1331</t>
  </si>
  <si>
    <t>VPN1332</t>
  </si>
  <si>
    <t>VPN1363</t>
  </si>
  <si>
    <t>VPN1333</t>
  </si>
  <si>
    <t>VPN1334</t>
  </si>
  <si>
    <t>VPN1335</t>
  </si>
  <si>
    <t>VPN1336</t>
  </si>
  <si>
    <t>VPN1364</t>
  </si>
  <si>
    <t>VPN1330</t>
  </si>
  <si>
    <t>VPN1380</t>
  </si>
  <si>
    <t>VPN1381</t>
  </si>
  <si>
    <t>VPN1372</t>
  </si>
  <si>
    <t>VPN1373</t>
  </si>
  <si>
    <t>VPN1374</t>
  </si>
  <si>
    <t>VPN1375</t>
  </si>
  <si>
    <t>VPN1376</t>
  </si>
  <si>
    <t>VPN1377</t>
  </si>
  <si>
    <t>VPN1378</t>
  </si>
  <si>
    <t>VPN1379</t>
  </si>
  <si>
    <t>Запрос выполнен 31.12.2020</t>
  </si>
  <si>
    <t>Уточнить у провайдера ТВ на 1G</t>
  </si>
  <si>
    <t>У КТ нет ТВ организовать LAG</t>
  </si>
  <si>
    <t>05.01.2021 Отправлен запрос на организацию</t>
  </si>
  <si>
    <t>05.01.2021 Отправлен запрос на ТВ</t>
  </si>
  <si>
    <t>VPN1349</t>
  </si>
  <si>
    <t>Запрос отправлен 05.01.2021</t>
  </si>
  <si>
    <t>Расширение портовой емкости</t>
  </si>
  <si>
    <t>05.01.2021. Отправлен запрос на организацию в КЗТ</t>
  </si>
  <si>
    <t>Запрос на ТВ отправлен 06.01.21</t>
  </si>
  <si>
    <t>Запрос на ТВ 60G отправлен 06.01.21</t>
  </si>
  <si>
    <t xml:space="preserve">06.01.2021 Отправлен запрос на организацию нового порта 10G </t>
  </si>
  <si>
    <t xml:space="preserve"> Расширение портовой емкости Baiserke/Akshi </t>
  </si>
  <si>
    <t>Запрос отправлен 06.01.21</t>
  </si>
  <si>
    <t>VPN1282</t>
  </si>
  <si>
    <t>10.1.34.72</t>
  </si>
  <si>
    <t>10.1.34.73</t>
  </si>
  <si>
    <t>10.1.34.74</t>
  </si>
  <si>
    <t>Almaty (Atyrau)</t>
  </si>
  <si>
    <t>VPN1112</t>
  </si>
  <si>
    <t>VPN1114</t>
  </si>
  <si>
    <t>VPN1113</t>
  </si>
  <si>
    <t xml:space="preserve"> VPN1211</t>
  </si>
  <si>
    <t xml:space="preserve"> VPN1350</t>
  </si>
  <si>
    <t>VPN1224</t>
  </si>
  <si>
    <t>VPN1226</t>
  </si>
  <si>
    <t xml:space="preserve"> VPN1148</t>
  </si>
  <si>
    <t xml:space="preserve"> VPN1150</t>
  </si>
  <si>
    <t xml:space="preserve"> VPN1149</t>
  </si>
  <si>
    <t>VPN1225</t>
  </si>
  <si>
    <t>Расширили 15.01.2021</t>
  </si>
  <si>
    <t>15.01.2021. Отправлен запрос на организацию в КЗТ</t>
  </si>
  <si>
    <t>14.01.2021 LM готов.</t>
  </si>
  <si>
    <t xml:space="preserve"> VPN1261</t>
  </si>
  <si>
    <t xml:space="preserve"> VPN1262</t>
  </si>
  <si>
    <t xml:space="preserve"> VPN1260</t>
  </si>
  <si>
    <t xml:space="preserve"> VPN1263</t>
  </si>
  <si>
    <t>Запрос отправлен 18.01.2021</t>
  </si>
  <si>
    <t>Организация LM</t>
  </si>
  <si>
    <t>10.1.34.76</t>
  </si>
  <si>
    <t>10.1.34.77</t>
  </si>
  <si>
    <t>10.1.34.78</t>
  </si>
  <si>
    <t>10.1.34.80</t>
  </si>
  <si>
    <t>10.1.34.81</t>
  </si>
  <si>
    <t>10.1.34.82</t>
  </si>
  <si>
    <t>10.1.34.84</t>
  </si>
  <si>
    <t>10.1.34.85</t>
  </si>
  <si>
    <t>10.1.34.86</t>
  </si>
  <si>
    <t>10.254.240.8</t>
  </si>
  <si>
    <t>10.254.240.9</t>
  </si>
  <si>
    <t>10.254.240.10</t>
  </si>
  <si>
    <t>VPN1340</t>
  </si>
  <si>
    <t>VPN1310</t>
  </si>
  <si>
    <t>VPN1311</t>
  </si>
  <si>
    <t>VPN1062</t>
  </si>
  <si>
    <t>VPN1063</t>
  </si>
  <si>
    <t>VPN1064</t>
  </si>
  <si>
    <t>VPN1065</t>
  </si>
  <si>
    <t>10.1.31.12</t>
  </si>
  <si>
    <t>10.1.31.13</t>
  </si>
  <si>
    <t>10.1.31.14</t>
  </si>
  <si>
    <t>10.1.34.88</t>
  </si>
  <si>
    <t>10.1.34.89</t>
  </si>
  <si>
    <t>10.1.34.90</t>
  </si>
  <si>
    <t>10.1.34.92</t>
  </si>
  <si>
    <t>10.1.34.93</t>
  </si>
  <si>
    <t>10.1.34.94</t>
  </si>
  <si>
    <t>10.1.34.96</t>
  </si>
  <si>
    <t>10.1.34.97</t>
  </si>
  <si>
    <t>10.1.34.98</t>
  </si>
  <si>
    <t>10.255.240.60</t>
  </si>
  <si>
    <t>10.255.240.61</t>
  </si>
  <si>
    <t>10.255.240.62</t>
  </si>
  <si>
    <t>Запрос отправлен 25.01.21</t>
  </si>
  <si>
    <t>10.1.34.100</t>
  </si>
  <si>
    <t>10.1.34.101</t>
  </si>
  <si>
    <t>10.1.34.102</t>
  </si>
  <si>
    <t>VPN1250</t>
  </si>
  <si>
    <t>VPN1251</t>
  </si>
  <si>
    <t>VPN1249</t>
  </si>
  <si>
    <t>10.1.5.240</t>
  </si>
  <si>
    <t>10.1.5.241</t>
  </si>
  <si>
    <t>10.1.5.242</t>
  </si>
  <si>
    <t>10.1.5.244</t>
  </si>
  <si>
    <t>10.1.5.245</t>
  </si>
  <si>
    <t>10.1.5.246</t>
  </si>
  <si>
    <t>VPN1324</t>
  </si>
  <si>
    <t xml:space="preserve"> VPN1351</t>
  </si>
  <si>
    <t>VPN1323</t>
  </si>
  <si>
    <t>10.0.214.0</t>
  </si>
  <si>
    <t>10.0.214.1</t>
  </si>
  <si>
    <t>10.0.214.2</t>
  </si>
  <si>
    <t>10.1.34.108</t>
  </si>
  <si>
    <t>10.1.34.109</t>
  </si>
  <si>
    <t>10.1.34.110</t>
  </si>
  <si>
    <t>10.1.34.112</t>
  </si>
  <si>
    <t>10.1.34.113</t>
  </si>
  <si>
    <t>10.1.34.114</t>
  </si>
  <si>
    <t>10.252.240.56</t>
  </si>
  <si>
    <t>10.252.240.57</t>
  </si>
  <si>
    <t>10.252.240.58</t>
  </si>
  <si>
    <t>10.252.240.60</t>
  </si>
  <si>
    <t>10.252.240.61</t>
  </si>
  <si>
    <t>10.252.240.62</t>
  </si>
  <si>
    <t>10.252.240.64</t>
  </si>
  <si>
    <t>10.252.240.65</t>
  </si>
  <si>
    <t>10.252.240.66</t>
  </si>
  <si>
    <t>10.1.34.116</t>
  </si>
  <si>
    <t>10.1.34.117</t>
  </si>
  <si>
    <t>10.1.34.118</t>
  </si>
  <si>
    <t>10.1.4.4</t>
  </si>
  <si>
    <t>10.1.4.5</t>
  </si>
  <si>
    <t>10.1.4.6</t>
  </si>
  <si>
    <t>10.1.34.120</t>
  </si>
  <si>
    <t>10.1.34.121</t>
  </si>
  <si>
    <t>10.1.34.122</t>
  </si>
  <si>
    <t>10.1.34.124</t>
  </si>
  <si>
    <t>10.1.34.125</t>
  </si>
  <si>
    <t>10.1.34.126</t>
  </si>
  <si>
    <t>VPN0248</t>
  </si>
  <si>
    <t>VPN1383</t>
  </si>
  <si>
    <t>10.1.11.4</t>
  </si>
  <si>
    <t>10.1.11.5</t>
  </si>
  <si>
    <t>10.1.11.6</t>
  </si>
  <si>
    <t>10.1.11.32</t>
  </si>
  <si>
    <t>10.1.11.33</t>
  </si>
  <si>
    <t>10.1.11.34</t>
  </si>
  <si>
    <t>10.1.11.36</t>
  </si>
  <si>
    <t>10.1.11.37</t>
  </si>
  <si>
    <t>10.1.11.38</t>
  </si>
  <si>
    <t>10.1.11.64</t>
  </si>
  <si>
    <t>10.1.11.65</t>
  </si>
  <si>
    <t>10.1.11.66</t>
  </si>
  <si>
    <t>10.1.11.68</t>
  </si>
  <si>
    <t>10.1.11.69</t>
  </si>
  <si>
    <t>10.1.11.70</t>
  </si>
  <si>
    <t>10.1.15.0</t>
  </si>
  <si>
    <t>10.1.15.1</t>
  </si>
  <si>
    <t>10.1.15.2</t>
  </si>
  <si>
    <t>10.1.9.0</t>
  </si>
  <si>
    <t>10.1.9.1</t>
  </si>
  <si>
    <t>10.1.9.2</t>
  </si>
  <si>
    <t>10.1.9.4</t>
  </si>
  <si>
    <t>10.1.9.5</t>
  </si>
  <si>
    <t>10.1.9.6</t>
  </si>
  <si>
    <t>10.1.34.128</t>
  </si>
  <si>
    <t>10.1.34.129</t>
  </si>
  <si>
    <t>10.1.34.130</t>
  </si>
  <si>
    <t>10.1.34.132</t>
  </si>
  <si>
    <t>10.1.34.133</t>
  </si>
  <si>
    <t>10.1.34.134</t>
  </si>
  <si>
    <t>Almaty (Pavlodar)</t>
  </si>
  <si>
    <t>10.1.34.136</t>
  </si>
  <si>
    <t>10.1.34.137</t>
  </si>
  <si>
    <t>10.1.34.138</t>
  </si>
  <si>
    <t>10.255.240.64</t>
  </si>
  <si>
    <t>10.255.240.65</t>
  </si>
  <si>
    <t>10.255.240.66</t>
  </si>
  <si>
    <t>10.255.240.68</t>
  </si>
  <si>
    <t>10.255.240.69</t>
  </si>
  <si>
    <t>10.255.240.70</t>
  </si>
  <si>
    <t>10.255.240.72</t>
  </si>
  <si>
    <t>10.255.240.73</t>
  </si>
  <si>
    <t>10.255.240.74</t>
  </si>
  <si>
    <t>10.1.34.140</t>
  </si>
  <si>
    <t>10.1.34.141</t>
  </si>
  <si>
    <t>10.1.34.142</t>
  </si>
  <si>
    <t>ТВ есть , ответ 08.02.2021</t>
  </si>
  <si>
    <t>ТВ нет , ответ 08.02.2021</t>
  </si>
  <si>
    <t>Организован --.11.02.2021</t>
  </si>
  <si>
    <t>VPN1384</t>
  </si>
  <si>
    <t>VPN1235</t>
  </si>
  <si>
    <t>VPN1234</t>
  </si>
  <si>
    <t>Расширение выполнено 18.02.21</t>
  </si>
  <si>
    <t>VPN1236</t>
  </si>
  <si>
    <t>VPN1264</t>
  </si>
  <si>
    <t> 1440</t>
  </si>
  <si>
    <t> 1450</t>
  </si>
  <si>
    <t>18.02.2021. Отправлен запрос на организацию 10G в КЗТ</t>
  </si>
  <si>
    <t>VLAN</t>
  </si>
  <si>
    <t>CITY A</t>
  </si>
  <si>
    <t>CITY B</t>
  </si>
  <si>
    <t>PIC</t>
  </si>
  <si>
    <t>24.02.2021 LM организован</t>
  </si>
  <si>
    <t xml:space="preserve">25.02.2021Отправлен запрос на организацию нового порта 10G </t>
  </si>
  <si>
    <t>Нет ТВ 26.02.2021</t>
  </si>
  <si>
    <t>10.1.30.212</t>
  </si>
  <si>
    <t>10.1.30.213</t>
  </si>
  <si>
    <t>10.1.30.214</t>
  </si>
  <si>
    <t>10.1.30.216</t>
  </si>
  <si>
    <t>10.1.30.217</t>
  </si>
  <si>
    <t>10.1.30.218</t>
  </si>
  <si>
    <t>03.03.2021 Запрос выполнен</t>
  </si>
  <si>
    <t>VPN0482</t>
  </si>
  <si>
    <t>VPN0483</t>
  </si>
  <si>
    <t>VPN0484</t>
  </si>
  <si>
    <t>VPN0334</t>
  </si>
  <si>
    <t>VPN0335</t>
  </si>
  <si>
    <t>03.03.21 отправлен запрос на объединение в LAG</t>
  </si>
  <si>
    <t>10.5.28.161</t>
  </si>
  <si>
    <t>Uspenka</t>
  </si>
  <si>
    <t>Sherbakty</t>
  </si>
  <si>
    <t>VPN1146</t>
  </si>
  <si>
    <t>VPN1145</t>
  </si>
  <si>
    <t>VPN1147</t>
  </si>
  <si>
    <t>VPN1230</t>
  </si>
  <si>
    <t>VPN1231</t>
  </si>
  <si>
    <t>VPN0302</t>
  </si>
  <si>
    <t>VPN1395</t>
  </si>
  <si>
    <t>VPN1396</t>
  </si>
  <si>
    <t>VPN1397</t>
  </si>
  <si>
    <t>VPN1398</t>
  </si>
  <si>
    <t xml:space="preserve">VPN1229 </t>
  </si>
  <si>
    <t xml:space="preserve">VPN1228 </t>
  </si>
  <si>
    <t>VPN0298</t>
  </si>
  <si>
    <t>VPN1265</t>
  </si>
  <si>
    <t>10.1.34.144</t>
  </si>
  <si>
    <t>10.1.34.145</t>
  </si>
  <si>
    <t>10.1.34.146</t>
  </si>
  <si>
    <t>10.1.34.148</t>
  </si>
  <si>
    <t>10.1.34.149</t>
  </si>
  <si>
    <t>10.1.34.150</t>
  </si>
  <si>
    <t>10.1.34.152</t>
  </si>
  <si>
    <t>10.1.34.153</t>
  </si>
  <si>
    <t>10.1.34.154</t>
  </si>
  <si>
    <t>10.255.240.76</t>
  </si>
  <si>
    <t>10.255.240.77</t>
  </si>
  <si>
    <t>10.255.240.78</t>
  </si>
  <si>
    <t>10.1.34.156</t>
  </si>
  <si>
    <t>10.1.34.157</t>
  </si>
  <si>
    <t>10.1.34.158</t>
  </si>
  <si>
    <t>10.1.34.160</t>
  </si>
  <si>
    <t>10.1.34.161</t>
  </si>
  <si>
    <t>10.1.34.162</t>
  </si>
  <si>
    <t>10.255.240.80</t>
  </si>
  <si>
    <t>10.255.240.81</t>
  </si>
  <si>
    <t>10.255.240.82</t>
  </si>
  <si>
    <t>10.1.34.164</t>
  </si>
  <si>
    <t>10.1.34.165</t>
  </si>
  <si>
    <t>10.1.34.166</t>
  </si>
  <si>
    <t>10.1.34.168</t>
  </si>
  <si>
    <t>10.1.34.169</t>
  </si>
  <si>
    <t>10.1.34.170</t>
  </si>
  <si>
    <t>10.255.240.84</t>
  </si>
  <si>
    <t>10.255.240.85</t>
  </si>
  <si>
    <t>10.255.240.86</t>
  </si>
  <si>
    <t>10.1.34.172</t>
  </si>
  <si>
    <t>10.1.34.173</t>
  </si>
  <si>
    <t>10.1.34.174</t>
  </si>
  <si>
    <t>10.1.34.176</t>
  </si>
  <si>
    <t>10.1.34.177</t>
  </si>
  <si>
    <t>10.1.34.178</t>
  </si>
  <si>
    <t>10.255.240.88</t>
  </si>
  <si>
    <t>10.255.240.89</t>
  </si>
  <si>
    <t>10.255.240.90</t>
  </si>
  <si>
    <t>10.1.34.180</t>
  </si>
  <si>
    <t>10.1.34.181</t>
  </si>
  <si>
    <t>10.1.34.182</t>
  </si>
  <si>
    <t>10.255.240.92</t>
  </si>
  <si>
    <t>10.255.240.93</t>
  </si>
  <si>
    <t>10.255.240.94</t>
  </si>
  <si>
    <t>10.255.240.96</t>
  </si>
  <si>
    <t>10.255.240.97</t>
  </si>
  <si>
    <t>10.255.240.98</t>
  </si>
  <si>
    <t>10.255.240.100</t>
  </si>
  <si>
    <t>10.255.240.101</t>
  </si>
  <si>
    <t>10.255.240.104</t>
  </si>
  <si>
    <t>10.255.240.105</t>
  </si>
  <si>
    <t>10.255.240.106</t>
  </si>
  <si>
    <t>VPN1227</t>
  </si>
  <si>
    <t>VPN1142</t>
  </si>
  <si>
    <t>VPN1143</t>
  </si>
  <si>
    <t>VPN1144</t>
  </si>
  <si>
    <t>Запрос на оарганизацию отправлен 15.03.2021</t>
  </si>
  <si>
    <t>VPN1427</t>
  </si>
  <si>
    <t>VPN1428</t>
  </si>
  <si>
    <t>Нет ТВ. Ответ 16.03.2021.</t>
  </si>
  <si>
    <t>VPN1233</t>
  </si>
  <si>
    <t>VPN0524</t>
  </si>
  <si>
    <t>VPN0525</t>
  </si>
  <si>
    <t>VPN0526</t>
  </si>
  <si>
    <t>VPN0527</t>
  </si>
  <si>
    <t xml:space="preserve"> VPN1370</t>
  </si>
  <si>
    <t xml:space="preserve"> VPN1371</t>
  </si>
  <si>
    <t>10.254.240.13</t>
  </si>
  <si>
    <t>10.254.240.14</t>
  </si>
  <si>
    <t>10.254.240.12</t>
  </si>
  <si>
    <t>10.1.34.184</t>
  </si>
  <si>
    <t>10.1.34.185</t>
  </si>
  <si>
    <t>10.1.34.186</t>
  </si>
  <si>
    <t>VPN1414</t>
  </si>
  <si>
    <t>Запрос отправлен 25.12.20. Организовать порт емкостью 1 Гбит/с в , и переключить существующий порт 100Мбит/c на новый 1 Гбит/с. + Запрос отправлен 25.03.21</t>
  </si>
  <si>
    <t>VPN1425</t>
  </si>
  <si>
    <t>VPN1426</t>
  </si>
  <si>
    <t>VPN1415</t>
  </si>
  <si>
    <t>10.1.34.188</t>
  </si>
  <si>
    <t>10.1.34.189</t>
  </si>
  <si>
    <t>10.1.34.190</t>
  </si>
  <si>
    <t>10.1.34.192</t>
  </si>
  <si>
    <t>10.1.34.193</t>
  </si>
  <si>
    <t>10.1.34.194</t>
  </si>
  <si>
    <t>10.1.34.196</t>
  </si>
  <si>
    <t>10.1.34.197</t>
  </si>
  <si>
    <t>10.1.34.198</t>
  </si>
  <si>
    <t>10.1.34.200</t>
  </si>
  <si>
    <t>10.1.34.201</t>
  </si>
  <si>
    <t>10.1.34.202</t>
  </si>
  <si>
    <t>10.1.34.204</t>
  </si>
  <si>
    <t>10.1.34.205</t>
  </si>
  <si>
    <t>10.1.34.206</t>
  </si>
  <si>
    <t>Расширение выполнено 30.03.21</t>
  </si>
  <si>
    <t>Koszhar Kyzilorda CE2</t>
  </si>
  <si>
    <t>Saksaulsk Kyzilorda CE2</t>
  </si>
  <si>
    <t>VPN0242</t>
  </si>
  <si>
    <t>VPN0249</t>
  </si>
  <si>
    <t>10.1.34.208</t>
  </si>
  <si>
    <t>10.1.34.209</t>
  </si>
  <si>
    <t>10.1.34.210</t>
  </si>
  <si>
    <t>10.1.34.212</t>
  </si>
  <si>
    <t>10.1.34.213</t>
  </si>
  <si>
    <t>10.1.34.214</t>
  </si>
  <si>
    <t>10.1.34.216</t>
  </si>
  <si>
    <t>10.1.34.217</t>
  </si>
  <si>
    <t>10.1.34.218</t>
  </si>
  <si>
    <t>1GB</t>
  </si>
  <si>
    <t>10.255.240.108</t>
  </si>
  <si>
    <t>10.255.240.109</t>
  </si>
  <si>
    <t>10.255.240.110</t>
  </si>
  <si>
    <t>VPN1429</t>
  </si>
  <si>
    <t>VPN1430</t>
  </si>
  <si>
    <t>VPN1431</t>
  </si>
  <si>
    <t>VPN1432</t>
  </si>
  <si>
    <t>06.04.2021 LM 10G готов</t>
  </si>
  <si>
    <t>10.14.215.97</t>
  </si>
  <si>
    <t>10.13.215.97</t>
  </si>
  <si>
    <t>Организован --08.04.2021</t>
  </si>
  <si>
    <t>Организован 08.04.21</t>
  </si>
  <si>
    <t>10.252.240.68</t>
  </si>
  <si>
    <t>10.252.240.69</t>
  </si>
  <si>
    <t>10.252.240.70</t>
  </si>
  <si>
    <t>10.252.240.72</t>
  </si>
  <si>
    <t>10.252.240.73</t>
  </si>
  <si>
    <t>10.252.240.74</t>
  </si>
  <si>
    <t>10.252.240.76</t>
  </si>
  <si>
    <t>10.252.240.77</t>
  </si>
  <si>
    <t>10.252.240.78</t>
  </si>
  <si>
    <t>10.252.240.80</t>
  </si>
  <si>
    <t>10.252.240.81</t>
  </si>
  <si>
    <t>10.252.240.82</t>
  </si>
  <si>
    <t>10.5.99.33</t>
  </si>
  <si>
    <t>10.5.99.1</t>
  </si>
  <si>
    <t>10.14.121.1</t>
  </si>
  <si>
    <t>10.14.121.33</t>
  </si>
  <si>
    <t>Uspenka Pavlodar CE1</t>
  </si>
  <si>
    <t>Korgalzhin</t>
  </si>
  <si>
    <t>Korgalzhin Astana CE1</t>
  </si>
  <si>
    <t>VPN0537</t>
  </si>
  <si>
    <t>10.1.7.152</t>
  </si>
  <si>
    <t>10.1.7.153</t>
  </si>
  <si>
    <t>10.1.7.154</t>
  </si>
  <si>
    <t>VPN1438</t>
  </si>
  <si>
    <t>VPN1439</t>
  </si>
  <si>
    <t>VPN1440</t>
  </si>
  <si>
    <t>VPN1441</t>
  </si>
  <si>
    <t>VPN1442</t>
  </si>
  <si>
    <t>10.14.215.129</t>
  </si>
  <si>
    <t>10.13.215.129</t>
  </si>
  <si>
    <t>Kyzilorda</t>
  </si>
  <si>
    <t>Bekarystanbi</t>
  </si>
  <si>
    <t>VPN1447</t>
  </si>
  <si>
    <t>VPN1449</t>
  </si>
  <si>
    <t>VPN1443</t>
  </si>
  <si>
    <t>VPN1444</t>
  </si>
  <si>
    <t>VPN1445</t>
  </si>
  <si>
    <t>10.1.34.220</t>
  </si>
  <si>
    <t>10.1.34.221</t>
  </si>
  <si>
    <t>10.1.34.222</t>
  </si>
  <si>
    <t>10.1.34.224</t>
  </si>
  <si>
    <t>10.1.34.225</t>
  </si>
  <si>
    <t>10.1.34.226</t>
  </si>
  <si>
    <t>10.1.34.228</t>
  </si>
  <si>
    <t>10.1.34.229</t>
  </si>
  <si>
    <t>10.1.34.230</t>
  </si>
  <si>
    <t>10.255.240.112</t>
  </si>
  <si>
    <t>10.255.240.113</t>
  </si>
  <si>
    <t>10.255.240.114</t>
  </si>
  <si>
    <t>10.1.34.232</t>
  </si>
  <si>
    <t>10.1.34.233</t>
  </si>
  <si>
    <t>10.1.34.234</t>
  </si>
  <si>
    <t>10.1.34.236</t>
  </si>
  <si>
    <t>10.1.34.237</t>
  </si>
  <si>
    <t>10.1.34.238</t>
  </si>
  <si>
    <t>10.1.34.240</t>
  </si>
  <si>
    <t>10.1.34.241</t>
  </si>
  <si>
    <t>10.1.34.242</t>
  </si>
  <si>
    <t>10.1.34.244</t>
  </si>
  <si>
    <t>10.1.34.245</t>
  </si>
  <si>
    <t>10.1.34.246</t>
  </si>
  <si>
    <t>KUANDARIYA Shymkent CE2</t>
  </si>
  <si>
    <t>ORTAKSHIL Shymkent CE2</t>
  </si>
  <si>
    <t>ABAY Shymkent CE2</t>
  </si>
  <si>
    <t>VPN1454</t>
  </si>
  <si>
    <t>10.1.29.160</t>
  </si>
  <si>
    <t>10.1.29.161</t>
  </si>
  <si>
    <t>10.1.29.162</t>
  </si>
  <si>
    <t>10.1.29.140</t>
  </si>
  <si>
    <t>10.1.29.141</t>
  </si>
  <si>
    <t>10.1.29.142</t>
  </si>
  <si>
    <t>10.1.29.144</t>
  </si>
  <si>
    <t>10.1.29.145</t>
  </si>
  <si>
    <t>10.1.29.146</t>
  </si>
  <si>
    <t>10.1.28.224</t>
  </si>
  <si>
    <t>10.1.28.225</t>
  </si>
  <si>
    <t>10.1.28.226</t>
  </si>
  <si>
    <t>10.255.240.116</t>
  </si>
  <si>
    <t>10.255.240.117</t>
  </si>
  <si>
    <t>10.255.240.118</t>
  </si>
  <si>
    <t>10.1.35.0</t>
  </si>
  <si>
    <t>10.1.35.1</t>
  </si>
  <si>
    <t>10.1.35.2</t>
  </si>
  <si>
    <t>10.1.35.4</t>
  </si>
  <si>
    <t>10.1.35.5</t>
  </si>
  <si>
    <t>10.1.35.6</t>
  </si>
  <si>
    <t>10.1.35.8</t>
  </si>
  <si>
    <t>10.1.35.9</t>
  </si>
  <si>
    <t>10.1.35.10</t>
  </si>
  <si>
    <t>10.1.35.12</t>
  </si>
  <si>
    <t>10.1.35.13</t>
  </si>
  <si>
    <t>10.1.35.14</t>
  </si>
  <si>
    <t>10.252.240.12</t>
  </si>
  <si>
    <t>10.252.240.13</t>
  </si>
  <si>
    <t>10.252.240.14</t>
  </si>
  <si>
    <t>05.05.2021 Организованно 20Гбит</t>
  </si>
  <si>
    <t>SHUBARKOL(ERG) Astana CE2</t>
  </si>
  <si>
    <t>VPN1462</t>
  </si>
  <si>
    <t>Контракт на 2021 год 300Gb</t>
  </si>
  <si>
    <t>AlmatyCE1(MBH)</t>
  </si>
  <si>
    <t>MBH(GB)</t>
  </si>
  <si>
    <t>AlmatyCE3(MBH)</t>
  </si>
  <si>
    <t>KostanayCE1(MBH)</t>
  </si>
  <si>
    <t>KostanayCE2(MBH)</t>
  </si>
  <si>
    <t>PavlodarCE1(MBH)</t>
  </si>
  <si>
    <t>10.1.35.16</t>
  </si>
  <si>
    <t>10.1.35.17</t>
  </si>
  <si>
    <t>10.1.35.18</t>
  </si>
  <si>
    <t>VPN1453</t>
  </si>
  <si>
    <t>VPN1452</t>
  </si>
  <si>
    <t>VPN1450</t>
  </si>
  <si>
    <t>VPN1451</t>
  </si>
  <si>
    <t>10.1.35.20</t>
  </si>
  <si>
    <t>10.1.35.21</t>
  </si>
  <si>
    <t>10.1.35.22</t>
  </si>
  <si>
    <t>Sholaksay</t>
  </si>
  <si>
    <t>10.5.99.65</t>
  </si>
  <si>
    <t xml:space="preserve"> VPN1465</t>
  </si>
  <si>
    <t xml:space="preserve"> VPN1466</t>
  </si>
  <si>
    <t>10.1.2.200</t>
  </si>
  <si>
    <t>10.1.2.201</t>
  </si>
  <si>
    <t>10.1.2.202</t>
  </si>
  <si>
    <t>VPN0262</t>
  </si>
  <si>
    <t>VPN0260</t>
  </si>
  <si>
    <t>Организован 20.05.21</t>
  </si>
  <si>
    <t>PavlodarCE2(MBH)</t>
  </si>
  <si>
    <t>VPN1470</t>
  </si>
  <si>
    <t>VPN1471</t>
  </si>
  <si>
    <t>VPN1472</t>
  </si>
  <si>
    <t>VPN1473</t>
  </si>
  <si>
    <t>Bakanas</t>
  </si>
  <si>
    <t>10.255.240.120</t>
  </si>
  <si>
    <t>10.255.240.121</t>
  </si>
  <si>
    <t>10.255.240.122</t>
  </si>
  <si>
    <t xml:space="preserve">Karaul(Semey) </t>
  </si>
  <si>
    <t>10.253.242.17</t>
  </si>
  <si>
    <t>10.1.35.24</t>
  </si>
  <si>
    <t>10.1.35.25</t>
  </si>
  <si>
    <t>10.1.35.26</t>
  </si>
  <si>
    <t>Karaul SemeyCE1</t>
  </si>
  <si>
    <t xml:space="preserve"> VPN0746  </t>
  </si>
  <si>
    <t>Расширение выполнено 28.05.21</t>
  </si>
  <si>
    <t>10.255.240.124</t>
  </si>
  <si>
    <t>10.255.240.125</t>
  </si>
  <si>
    <t>10.255.240.126</t>
  </si>
  <si>
    <t>10.255.240.128</t>
  </si>
  <si>
    <t>10.255.240.129</t>
  </si>
  <si>
    <t>10.255.240.130</t>
  </si>
  <si>
    <t>10.255.240.132</t>
  </si>
  <si>
    <t>10.255.240.133</t>
  </si>
  <si>
    <t>10.255.240.134</t>
  </si>
  <si>
    <t>10.255.240.136</t>
  </si>
  <si>
    <t>10.255.240.137</t>
  </si>
  <si>
    <t>10.255.240.138</t>
  </si>
  <si>
    <t>10.255.240.140</t>
  </si>
  <si>
    <t>10.255.240.141</t>
  </si>
  <si>
    <t>10.255.240.142</t>
  </si>
  <si>
    <t>10.255.240.144</t>
  </si>
  <si>
    <t>10.255.240.145</t>
  </si>
  <si>
    <t>10.255.240.146</t>
  </si>
  <si>
    <t>10.255.240.148</t>
  </si>
  <si>
    <t>10.255.240.149</t>
  </si>
  <si>
    <t>10.255.240.150</t>
  </si>
  <si>
    <t>VPN1491</t>
  </si>
  <si>
    <t>VPN1238</t>
  </si>
  <si>
    <t>VPN1237</t>
  </si>
  <si>
    <t>VPN1492</t>
  </si>
  <si>
    <t>VPN1493</t>
  </si>
  <si>
    <t>VPN1494</t>
  </si>
  <si>
    <t>VPN1495</t>
  </si>
  <si>
    <t>VPN1496</t>
  </si>
  <si>
    <t xml:space="preserve">Bekarystanbi Kyzylorda CE1 </t>
  </si>
  <si>
    <t>Bekarystanbi Shymkent CE1</t>
  </si>
  <si>
    <t>10.13.215.161</t>
  </si>
  <si>
    <t>10.14.215.161</t>
  </si>
  <si>
    <t>10.192.183.65</t>
  </si>
  <si>
    <t>10.196.183.65</t>
  </si>
  <si>
    <t xml:space="preserve">Центра активации сетевых сервисов ГЦУСТ (ЦАСС) </t>
  </si>
  <si>
    <t>ЦАСС тел. 88000800079.</t>
  </si>
  <si>
    <t>VPN1514</t>
  </si>
  <si>
    <t xml:space="preserve"> VPN1515</t>
  </si>
  <si>
    <t>VPN1516</t>
  </si>
  <si>
    <t>VPN1506</t>
  </si>
  <si>
    <t>VPN1507</t>
  </si>
  <si>
    <t>VPN1508</t>
  </si>
  <si>
    <t>VPN1509</t>
  </si>
  <si>
    <t>VPN1510</t>
  </si>
  <si>
    <t>VPN1511</t>
  </si>
  <si>
    <t>VPN1512</t>
  </si>
  <si>
    <t>VPN1513</t>
  </si>
  <si>
    <t>VPN1469</t>
  </si>
  <si>
    <t>VPN0264</t>
  </si>
  <si>
    <t>10.1.35.28</t>
  </si>
  <si>
    <t>10.1.35.29</t>
  </si>
  <si>
    <t>10.1.35.30</t>
  </si>
  <si>
    <t>10.1.35.32</t>
  </si>
  <si>
    <t>10.1.35.33</t>
  </si>
  <si>
    <t>10.1.35.34</t>
  </si>
  <si>
    <t>10.1.35.36</t>
  </si>
  <si>
    <t>10.1.35.37</t>
  </si>
  <si>
    <t>10.1.35.38</t>
  </si>
  <si>
    <t>10.1.35.40</t>
  </si>
  <si>
    <t>10.1.35.41</t>
  </si>
  <si>
    <t>10.1.35.42</t>
  </si>
  <si>
    <t>VPN1517</t>
  </si>
  <si>
    <t>VPN1518</t>
  </si>
  <si>
    <t>VPN1519</t>
  </si>
  <si>
    <t>VPN1122</t>
  </si>
  <si>
    <t>VPN1497</t>
  </si>
  <si>
    <t>VPN1498</t>
  </si>
  <si>
    <t>VPN1499</t>
  </si>
  <si>
    <t>VPN1500</t>
  </si>
  <si>
    <t>10.1.35.44</t>
  </si>
  <si>
    <t>10.1.35.45</t>
  </si>
  <si>
    <t>10.1.35.46</t>
  </si>
  <si>
    <t>10.1.35.48</t>
  </si>
  <si>
    <t>10.1.35.49</t>
  </si>
  <si>
    <t>10.1.35.50</t>
  </si>
  <si>
    <t>10.1.35.52</t>
  </si>
  <si>
    <t>10.1.35.53</t>
  </si>
  <si>
    <t>10.1.35.54</t>
  </si>
  <si>
    <t>10.255.240.152</t>
  </si>
  <si>
    <t>10.255.240.153</t>
  </si>
  <si>
    <t>10.255.240.154</t>
  </si>
  <si>
    <t>10.1.35.56</t>
  </si>
  <si>
    <t>10.1.35.57</t>
  </si>
  <si>
    <t>10.1.35.58</t>
  </si>
  <si>
    <t>10.255.240.156</t>
  </si>
  <si>
    <t>10.255.240.157</t>
  </si>
  <si>
    <t>10.255.240.158</t>
  </si>
  <si>
    <t>Запрос отправлен 17.06.21</t>
  </si>
  <si>
    <t xml:space="preserve">Запрос отправлен 17.06.21 </t>
  </si>
  <si>
    <t>10.1.15.104</t>
  </si>
  <si>
    <t>10.1.15.105</t>
  </si>
  <si>
    <t>10.1.15.106</t>
  </si>
  <si>
    <t>10.1.14.128</t>
  </si>
  <si>
    <t>10.1.14.129</t>
  </si>
  <si>
    <t>10.1.14.130</t>
  </si>
  <si>
    <t>10.1.14.132</t>
  </si>
  <si>
    <t>10.1.14.133</t>
  </si>
  <si>
    <t>10.1.14.134</t>
  </si>
  <si>
    <t>10.1.14.136</t>
  </si>
  <si>
    <t>10.1.14.137</t>
  </si>
  <si>
    <t>10.1.14.138</t>
  </si>
  <si>
    <t>10.1.14.84</t>
  </si>
  <si>
    <t>10.1.14.85</t>
  </si>
  <si>
    <t>10.1.14.86</t>
  </si>
  <si>
    <t xml:space="preserve">22.06.2021Отправлен запрос на организацию нового порта 10G </t>
  </si>
  <si>
    <t>Karaboget</t>
  </si>
  <si>
    <t>Ganushkino</t>
  </si>
  <si>
    <t>10.1.35.60</t>
  </si>
  <si>
    <t>10.1.35.61</t>
  </si>
  <si>
    <t>10.1.35.62</t>
  </si>
  <si>
    <t>10.1.35.64</t>
  </si>
  <si>
    <t>10.1.35.65</t>
  </si>
  <si>
    <t>10.1.35.66</t>
  </si>
  <si>
    <t>10.1.35.68</t>
  </si>
  <si>
    <t>10.1.35.69</t>
  </si>
  <si>
    <t>10.1.35.70</t>
  </si>
  <si>
    <t>VPN1412</t>
  </si>
  <si>
    <t>VPN1413</t>
  </si>
  <si>
    <t>VPN1458</t>
  </si>
  <si>
    <t>VPN1459</t>
  </si>
  <si>
    <t>ShymkentCE1(MBH)</t>
  </si>
  <si>
    <t>ShymkentCE2(MBH)</t>
  </si>
  <si>
    <t>VPN1393</t>
  </si>
  <si>
    <t>VPN1394</t>
  </si>
  <si>
    <t>VPN1390</t>
  </si>
  <si>
    <t>VPN1391</t>
  </si>
  <si>
    <t>VPN1392</t>
  </si>
  <si>
    <t>AstanaCE1(MBH)</t>
  </si>
  <si>
    <t>AstanaCE2(MBH)</t>
  </si>
  <si>
    <t>10.254.240.16</t>
  </si>
  <si>
    <t>10.254.240.17</t>
  </si>
  <si>
    <t>10.254.240.18</t>
  </si>
  <si>
    <t>03.07.2021 ТВ есть на 10G</t>
  </si>
  <si>
    <t>VPN1120</t>
  </si>
  <si>
    <t>VPN1121</t>
  </si>
  <si>
    <t>10.14.121.97</t>
  </si>
  <si>
    <t>Karaul(Semey) SemeyCE1</t>
  </si>
  <si>
    <t>10.5.99.129</t>
  </si>
  <si>
    <t>CSC</t>
  </si>
  <si>
    <t>10.1.35.72</t>
  </si>
  <si>
    <t>10.1.35.73</t>
  </si>
  <si>
    <t>10.1.35.74</t>
  </si>
  <si>
    <t>10.1.35.76</t>
  </si>
  <si>
    <t>10.1.35.77</t>
  </si>
  <si>
    <t>10.1.35.78</t>
  </si>
  <si>
    <t>Расширение портовой емкости Айтеке Би</t>
  </si>
  <si>
    <t>Запрос отправлен 04.06.2020</t>
  </si>
  <si>
    <t>Запрос в регион отправлен 07.09.2021</t>
  </si>
  <si>
    <t>VPN1531</t>
  </si>
  <si>
    <t>VPN1532</t>
  </si>
  <si>
    <t>VPN1533</t>
  </si>
  <si>
    <t>VPN1534</t>
  </si>
  <si>
    <t>12.07.2021. ТВ имеется, отправили в регион на организацию LM</t>
  </si>
  <si>
    <t>VPN1522</t>
  </si>
  <si>
    <t>VPN1523</t>
  </si>
  <si>
    <t>VPN1524</t>
  </si>
  <si>
    <t>VPN1525</t>
  </si>
  <si>
    <t>Расширение выполнено 13.07.21</t>
  </si>
  <si>
    <t>40Gb</t>
  </si>
  <si>
    <t>Запрос на ТВ и орг.  60G отправлен 14.07.21</t>
  </si>
  <si>
    <t>VPN1535</t>
  </si>
  <si>
    <t>VPN1536</t>
  </si>
  <si>
    <t>VPN1537</t>
  </si>
  <si>
    <t>VPN1538</t>
  </si>
  <si>
    <t>VPN1549</t>
  </si>
  <si>
    <t>VPN1550</t>
  </si>
  <si>
    <t>VPN1551</t>
  </si>
  <si>
    <t>VPN1552</t>
  </si>
  <si>
    <t>07.07.2021. ТВ имеется, отправили в регион на организацию LM</t>
  </si>
  <si>
    <t>Запрос отправлен 19.07.2021</t>
  </si>
  <si>
    <t>Zhuma</t>
  </si>
  <si>
    <t>VPN0288</t>
  </si>
  <si>
    <t>VPN1212</t>
  </si>
  <si>
    <t>VPN0892</t>
  </si>
  <si>
    <t>VPN0893</t>
  </si>
  <si>
    <t>10.1.5.248</t>
  </si>
  <si>
    <t>10.1.5.249</t>
  </si>
  <si>
    <t>10.1.5.250</t>
  </si>
  <si>
    <t>10.1.5.252</t>
  </si>
  <si>
    <t>10.1.5.253</t>
  </si>
  <si>
    <t>10.1.5.254</t>
  </si>
  <si>
    <t>Zhanakaraton</t>
  </si>
  <si>
    <t>Запрос отправлен 26.07.21</t>
  </si>
  <si>
    <t>10.14.155.241</t>
  </si>
  <si>
    <t>10.13.155.241</t>
  </si>
  <si>
    <t>VPN0542</t>
  </si>
  <si>
    <t>VPN0543</t>
  </si>
  <si>
    <t>ABIS(MBH)</t>
  </si>
  <si>
    <t>10.1.43.0</t>
  </si>
  <si>
    <t>10.1.43.1</t>
  </si>
  <si>
    <t>10.1.43.2</t>
  </si>
  <si>
    <t>IuB(MBH)</t>
  </si>
  <si>
    <t>10.1.43.4</t>
  </si>
  <si>
    <t>10.1.43.5</t>
  </si>
  <si>
    <t>10.1.43.6</t>
  </si>
  <si>
    <t>MuB(MBH)</t>
  </si>
  <si>
    <t>10.1.43.8</t>
  </si>
  <si>
    <t>10.1.43.10</t>
  </si>
  <si>
    <t>GB(MBH)</t>
  </si>
  <si>
    <t>10.1.43.12</t>
  </si>
  <si>
    <t>10.1.43.13</t>
  </si>
  <si>
    <t>10.1.43.14</t>
  </si>
  <si>
    <t>10.1.43.64</t>
  </si>
  <si>
    <t>10.1.43.65</t>
  </si>
  <si>
    <t>10.1.43.66</t>
  </si>
  <si>
    <t>10.1.43.68</t>
  </si>
  <si>
    <t>10.1.43.69</t>
  </si>
  <si>
    <t>10.1.43.70</t>
  </si>
  <si>
    <t>10.1.43.72</t>
  </si>
  <si>
    <t>10.1.43.73</t>
  </si>
  <si>
    <t>10.1.43.74</t>
  </si>
  <si>
    <t>10.1.43.76</t>
  </si>
  <si>
    <t>10.1.43.77</t>
  </si>
  <si>
    <t>10.1.43.78</t>
  </si>
  <si>
    <t>10.255.240.160</t>
  </si>
  <si>
    <t>10.255.240.161</t>
  </si>
  <si>
    <t>10.255.240.162</t>
  </si>
  <si>
    <t>10.255.240.164</t>
  </si>
  <si>
    <t>10.255.240.165</t>
  </si>
  <si>
    <t>10.255.240.166</t>
  </si>
  <si>
    <t>10.255.240.168</t>
  </si>
  <si>
    <t>10.255.240.169</t>
  </si>
  <si>
    <t>10.255.240.170</t>
  </si>
  <si>
    <t>10.1.35.92</t>
  </si>
  <si>
    <t>10.1.35.93</t>
  </si>
  <si>
    <t>10.1.35.94</t>
  </si>
  <si>
    <t>10.1.35.96</t>
  </si>
  <si>
    <t>10.1.35.97</t>
  </si>
  <si>
    <t>10.1.35.98</t>
  </si>
  <si>
    <t>10.255.240.172</t>
  </si>
  <si>
    <t>10.255.240.173</t>
  </si>
  <si>
    <t>10.255.240.174</t>
  </si>
  <si>
    <t>10.254.240.20</t>
  </si>
  <si>
    <t>10.254.240.21</t>
  </si>
  <si>
    <t>10.254.240.22</t>
  </si>
  <si>
    <t>10.1.35.100</t>
  </si>
  <si>
    <t>10.1.35.101</t>
  </si>
  <si>
    <t>10.1.35.102</t>
  </si>
  <si>
    <t>10.1.35.104</t>
  </si>
  <si>
    <t>10.1.35.105</t>
  </si>
  <si>
    <t>10.1.35.106</t>
  </si>
  <si>
    <t>10.1.35.108</t>
  </si>
  <si>
    <t>10.1.35.109</t>
  </si>
  <si>
    <t>10.1.35.110</t>
  </si>
  <si>
    <t>10.254.240.24</t>
  </si>
  <si>
    <t>10.254.240.25</t>
  </si>
  <si>
    <t>10.254.240.26</t>
  </si>
  <si>
    <t>ORDERED VPN1542</t>
  </si>
  <si>
    <t xml:space="preserve">ORDERED VPN1543 </t>
  </si>
  <si>
    <t>10.255.240.176</t>
  </si>
  <si>
    <t>10.255.240.177</t>
  </si>
  <si>
    <t>10.255.240.178</t>
  </si>
  <si>
    <t>10.255.240.180</t>
  </si>
  <si>
    <t>10.255.240.181</t>
  </si>
  <si>
    <t>10.255.240.182</t>
  </si>
  <si>
    <t>10.255.240.184</t>
  </si>
  <si>
    <t>10.255.240.185</t>
  </si>
  <si>
    <t>10.255.240.186</t>
  </si>
  <si>
    <t>10.255.240.188</t>
  </si>
  <si>
    <t>10.255.240.189</t>
  </si>
  <si>
    <t>10.255.240.190</t>
  </si>
  <si>
    <t>10.252.240.84</t>
  </si>
  <si>
    <t>10.252.240.85</t>
  </si>
  <si>
    <t>10.252.240.86</t>
  </si>
  <si>
    <t>10.252.240.88</t>
  </si>
  <si>
    <t>10.252.240.89</t>
  </si>
  <si>
    <t>10.252.240.90</t>
  </si>
  <si>
    <t>10.252.240.92</t>
  </si>
  <si>
    <t>10.252.240.93</t>
  </si>
  <si>
    <t>10.252.240.94</t>
  </si>
  <si>
    <t>10.252.240.96</t>
  </si>
  <si>
    <t>10.252.240.97</t>
  </si>
  <si>
    <t>10.252.240.98</t>
  </si>
  <si>
    <t>10.5.116.161</t>
  </si>
  <si>
    <t>10.14.59.225</t>
  </si>
  <si>
    <t>10.254.242.113</t>
  </si>
  <si>
    <t>10.13.156.1</t>
  </si>
  <si>
    <t>10.14.156.1</t>
  </si>
  <si>
    <t>10G организован 03.08.21</t>
  </si>
  <si>
    <t xml:space="preserve">Bakanas Almaty CE1 </t>
  </si>
  <si>
    <t>Karaboget Almaty CE1</t>
  </si>
  <si>
    <t>Zhuma Almaty CE1</t>
  </si>
  <si>
    <t>VPN1569</t>
  </si>
  <si>
    <t>VPN1570</t>
  </si>
  <si>
    <t>Atameken</t>
  </si>
  <si>
    <t>ERAP_DPSKO</t>
  </si>
  <si>
    <t>10.1.1.232</t>
  </si>
  <si>
    <t>10.1.1.233</t>
  </si>
  <si>
    <t>10.1.1.234</t>
  </si>
  <si>
    <t>10.1.1.236</t>
  </si>
  <si>
    <t>10.1.1.237</t>
  </si>
  <si>
    <t>10.1.1.238</t>
  </si>
  <si>
    <t>VPN0300</t>
  </si>
  <si>
    <t>Расширение выполнено 06.08.21</t>
  </si>
  <si>
    <t>Zhanakaraton  Atyrau CE1</t>
  </si>
  <si>
    <t>Zhanakaraton Atyrau CE1</t>
  </si>
  <si>
    <t>VPN1574</t>
  </si>
  <si>
    <t>VPN1575</t>
  </si>
  <si>
    <t>VPN1576</t>
  </si>
  <si>
    <t>10.254.240.28</t>
  </si>
  <si>
    <t>10.254.240.29</t>
  </si>
  <si>
    <t>10.254.240.30</t>
  </si>
  <si>
    <t>VPN0295</t>
  </si>
  <si>
    <t>VPN0296</t>
  </si>
  <si>
    <t>VPN0297</t>
  </si>
  <si>
    <t>VPN1586</t>
  </si>
  <si>
    <t>VPN1587</t>
  </si>
  <si>
    <t>VPN1588</t>
  </si>
  <si>
    <t>VPN1589</t>
  </si>
  <si>
    <t>VPN1590</t>
  </si>
  <si>
    <t>VPN1597</t>
  </si>
  <si>
    <t>VPN1598</t>
  </si>
  <si>
    <t>VPN1599</t>
  </si>
  <si>
    <t>VPN1560</t>
  </si>
  <si>
    <t>100Gb</t>
  </si>
  <si>
    <t>10.254.240.32</t>
  </si>
  <si>
    <t>10.254.240.33</t>
  </si>
  <si>
    <t>10.254.240.34</t>
  </si>
  <si>
    <t>10.1.35.112</t>
  </si>
  <si>
    <t>10.1.35.113</t>
  </si>
  <si>
    <t>10.1.35.114</t>
  </si>
  <si>
    <t>VPN1584</t>
  </si>
  <si>
    <t>VPN1585</t>
  </si>
  <si>
    <t>KZT Vlan</t>
  </si>
  <si>
    <t>VPN1571</t>
  </si>
  <si>
    <t>VPN1572</t>
  </si>
  <si>
    <t>VPN1573</t>
  </si>
  <si>
    <t xml:space="preserve">KyzylOrda </t>
  </si>
  <si>
    <t>Atameken Uralsk CE1</t>
  </si>
  <si>
    <t>10.0.214.5</t>
  </si>
  <si>
    <t>10.0.214.6</t>
  </si>
  <si>
    <t>10.0.214.4</t>
  </si>
  <si>
    <t>10.1.35.116</t>
  </si>
  <si>
    <t>10.1.35.117</t>
  </si>
  <si>
    <t>10.1.35.118</t>
  </si>
  <si>
    <t>PICPROBE</t>
  </si>
  <si>
    <t>10.1.35.120</t>
  </si>
  <si>
    <t>10.1.35.121</t>
  </si>
  <si>
    <t>10.1.35.122</t>
  </si>
  <si>
    <t>10.254.240.36</t>
  </si>
  <si>
    <t>10.254.240.37</t>
  </si>
  <si>
    <t>10.254.240.38</t>
  </si>
  <si>
    <t>Kurylys</t>
  </si>
  <si>
    <t>Kurylys Atyrau CE1</t>
  </si>
  <si>
    <t>10.255.240.192</t>
  </si>
  <si>
    <t>10.255.240.193</t>
  </si>
  <si>
    <t>10.255.240.194</t>
  </si>
  <si>
    <t>VPN1505</t>
  </si>
  <si>
    <t>10.252.240.100</t>
  </si>
  <si>
    <t>10.252.240.101</t>
  </si>
  <si>
    <t>10.252.240.102</t>
  </si>
  <si>
    <t>10.252.240.104</t>
  </si>
  <si>
    <t>10.252.240.105</t>
  </si>
  <si>
    <t>10.252.240.106</t>
  </si>
  <si>
    <t>10.252.240.108</t>
  </si>
  <si>
    <t>10.252.240.109</t>
  </si>
  <si>
    <t>10.252.240.110</t>
  </si>
  <si>
    <t>10.1.35.128</t>
  </si>
  <si>
    <t>10.1.35.129</t>
  </si>
  <si>
    <t>10.1.35.130</t>
  </si>
  <si>
    <t>10.1.35.132</t>
  </si>
  <si>
    <t>10.1.35.133</t>
  </si>
  <si>
    <t>10.1.35.134</t>
  </si>
  <si>
    <t>10.1.35.136</t>
  </si>
  <si>
    <t>10.1.35.137</t>
  </si>
  <si>
    <t>10.1.35.138</t>
  </si>
  <si>
    <t>10.1.35.140</t>
  </si>
  <si>
    <t>10.1.35.141</t>
  </si>
  <si>
    <t>10.1.35.142</t>
  </si>
  <si>
    <t>Aktogay</t>
  </si>
  <si>
    <t>Shubarkol</t>
  </si>
  <si>
    <t>Shubarkol(ERG)</t>
  </si>
  <si>
    <t>T2MA(ABIS)</t>
  </si>
  <si>
    <t>T2MA(IuB)</t>
  </si>
  <si>
    <t>T2MA(MuB)</t>
  </si>
  <si>
    <t>Запрос на организацию отправлен 02.09.21</t>
  </si>
  <si>
    <t>PIC(ALM)</t>
  </si>
  <si>
    <t>VPN1629</t>
  </si>
  <si>
    <t>10.1.35.144</t>
  </si>
  <si>
    <t>10.1.35.145</t>
  </si>
  <si>
    <t>10.1.35.146</t>
  </si>
  <si>
    <t>10.1.35.148</t>
  </si>
  <si>
    <t>10.1.35.149</t>
  </si>
  <si>
    <t>10.1.35.150</t>
  </si>
  <si>
    <t>10.1.35.152</t>
  </si>
  <si>
    <t>10.1.35.153</t>
  </si>
  <si>
    <t>10.1.35.154</t>
  </si>
  <si>
    <t>10.1.35.156</t>
  </si>
  <si>
    <t>10.1.35.157</t>
  </si>
  <si>
    <t>10.1.35.158</t>
  </si>
  <si>
    <t>Kyzyloba Uralsk CE1</t>
  </si>
  <si>
    <t>Kyzyloba</t>
  </si>
  <si>
    <t>Araltobe</t>
  </si>
  <si>
    <t>Araltobe Uralsk CE1</t>
  </si>
  <si>
    <t>Aktogay Pavlodar CE1</t>
  </si>
  <si>
    <t>Aktogay Semey CE1</t>
  </si>
  <si>
    <t>10.1.35.160</t>
  </si>
  <si>
    <t>10.1.35.161</t>
  </si>
  <si>
    <t>10.1.35.162</t>
  </si>
  <si>
    <t>10.1.35.164</t>
  </si>
  <si>
    <t>10.1.35.165</t>
  </si>
  <si>
    <t>10.1.35.166</t>
  </si>
  <si>
    <t>10.1.35.168</t>
  </si>
  <si>
    <t>10.1.35.169</t>
  </si>
  <si>
    <t>10.1.35.170</t>
  </si>
  <si>
    <t>10.1.35.172</t>
  </si>
  <si>
    <t>10.1.35.173</t>
  </si>
  <si>
    <t>10.1.35.174</t>
  </si>
  <si>
    <t>10.1.35.176</t>
  </si>
  <si>
    <t>10.1.35.177</t>
  </si>
  <si>
    <t>10.1.35.178</t>
  </si>
  <si>
    <t>VPN1630</t>
  </si>
  <si>
    <t>10.254.240.40</t>
  </si>
  <si>
    <t>10.254.240.41</t>
  </si>
  <si>
    <t>10.254.240.42</t>
  </si>
  <si>
    <t>10.1.35.180</t>
  </si>
  <si>
    <t>10.1.35.181</t>
  </si>
  <si>
    <t>10.1.35.182</t>
  </si>
  <si>
    <t>Организован 16.09.21</t>
  </si>
  <si>
    <t>VPN1621</t>
  </si>
  <si>
    <t>VPN1622</t>
  </si>
  <si>
    <t>VPN1623</t>
  </si>
  <si>
    <t>VPN1624</t>
  </si>
  <si>
    <t>VPN1631</t>
  </si>
  <si>
    <t>VPN1632</t>
  </si>
  <si>
    <t>ShymkentCE2</t>
  </si>
  <si>
    <t>10.1.62.0</t>
  </si>
  <si>
    <t>10.1.62.1</t>
  </si>
  <si>
    <t>10.1.62.2</t>
  </si>
  <si>
    <t>10.1.62.4</t>
  </si>
  <si>
    <t>10.1.62.5</t>
  </si>
  <si>
    <t>10.1.62.6</t>
  </si>
  <si>
    <t>10.1.62.8</t>
  </si>
  <si>
    <t>10.1.62.9</t>
  </si>
  <si>
    <t>10.1.62.10</t>
  </si>
  <si>
    <t>10.1.62.12</t>
  </si>
  <si>
    <t>10.1.62.13</t>
  </si>
  <si>
    <t>10.1.62.14</t>
  </si>
  <si>
    <t>10.1.62.16</t>
  </si>
  <si>
    <t>10.1.62.17</t>
  </si>
  <si>
    <t>10.1.62.18</t>
  </si>
  <si>
    <t>10.1.62.20</t>
  </si>
  <si>
    <t>10.1.62.21</t>
  </si>
  <si>
    <t>10.1.62.22</t>
  </si>
  <si>
    <t>10.1.62.24</t>
  </si>
  <si>
    <t>10.1.62.25</t>
  </si>
  <si>
    <t>10.1.62.26</t>
  </si>
  <si>
    <t>10.1.62.28</t>
  </si>
  <si>
    <t>10.1.62.29</t>
  </si>
  <si>
    <t>10.1.62.30</t>
  </si>
  <si>
    <t>10.1.62.32</t>
  </si>
  <si>
    <t>10.1.62.33</t>
  </si>
  <si>
    <t>10.1.62.34</t>
  </si>
  <si>
    <t>10.254.240.48</t>
  </si>
  <si>
    <t>10.254.240.49</t>
  </si>
  <si>
    <t>10.254.240.50</t>
  </si>
  <si>
    <t>AtyrauCE2</t>
  </si>
  <si>
    <t xml:space="preserve">ORDERED </t>
  </si>
  <si>
    <t>10.0.223.8</t>
  </si>
  <si>
    <t>10.0.223.9</t>
  </si>
  <si>
    <t>10.0.223.10</t>
  </si>
  <si>
    <t>10.1.60.0</t>
  </si>
  <si>
    <t>10.1.60.1</t>
  </si>
  <si>
    <t>10.1.60.2</t>
  </si>
  <si>
    <t>10.1.60.4</t>
  </si>
  <si>
    <t>10.1.60.5</t>
  </si>
  <si>
    <t>10.1.60.6</t>
  </si>
  <si>
    <t>10.1.60.8</t>
  </si>
  <si>
    <t>10.1.60.12</t>
  </si>
  <si>
    <t>10.1.60.16</t>
  </si>
  <si>
    <t>10.1.60.20</t>
  </si>
  <si>
    <t>10.1.60.24</t>
  </si>
  <si>
    <t>10.1.60.28</t>
  </si>
  <si>
    <t>10.1.60.32</t>
  </si>
  <si>
    <t>10.1.60.9</t>
  </si>
  <si>
    <t>10.1.60.13</t>
  </si>
  <si>
    <t>10.1.60.17</t>
  </si>
  <si>
    <t>10.1.60.21</t>
  </si>
  <si>
    <t>10.1.60.25</t>
  </si>
  <si>
    <t>10.1.60.29</t>
  </si>
  <si>
    <t>10.1.60.33</t>
  </si>
  <si>
    <t>10.1.60.10</t>
  </si>
  <si>
    <t>10.1.60.14</t>
  </si>
  <si>
    <t>10.1.60.18</t>
  </si>
  <si>
    <t>10.1.60.22</t>
  </si>
  <si>
    <t>10.1.60.26</t>
  </si>
  <si>
    <t>10.1.60.30</t>
  </si>
  <si>
    <t>10.1.60.34</t>
  </si>
  <si>
    <t>10.255.240.196</t>
  </si>
  <si>
    <t>10.255.240.197</t>
  </si>
  <si>
    <t>10.255.240.198</t>
  </si>
  <si>
    <t>AstanaCE2</t>
  </si>
  <si>
    <t>10.1.58.0</t>
  </si>
  <si>
    <t>10.1.58.1</t>
  </si>
  <si>
    <t>10.1.58.2</t>
  </si>
  <si>
    <t>10.1.58.4</t>
  </si>
  <si>
    <t>10.1.58.5</t>
  </si>
  <si>
    <t>10.1.58.6</t>
  </si>
  <si>
    <t>10.1.58.8</t>
  </si>
  <si>
    <t>10.1.58.12</t>
  </si>
  <si>
    <t>10.1.58.16</t>
  </si>
  <si>
    <t>10.1.58.20</t>
  </si>
  <si>
    <t>10.1.58.24</t>
  </si>
  <si>
    <t>10.1.58.28</t>
  </si>
  <si>
    <t>10.1.58.32</t>
  </si>
  <si>
    <t>10.1.58.36</t>
  </si>
  <si>
    <t>10.1.58.9</t>
  </si>
  <si>
    <t>10.1.58.13</t>
  </si>
  <si>
    <t>10.1.58.17</t>
  </si>
  <si>
    <t>10.1.58.21</t>
  </si>
  <si>
    <t>10.1.58.25</t>
  </si>
  <si>
    <t>10.1.58.29</t>
  </si>
  <si>
    <t>10.1.58.33</t>
  </si>
  <si>
    <t>10.1.58.37</t>
  </si>
  <si>
    <t>10.1.58.10</t>
  </si>
  <si>
    <t>10.1.58.14</t>
  </si>
  <si>
    <t>10.1.58.18</t>
  </si>
  <si>
    <t>10.1.58.22</t>
  </si>
  <si>
    <t>10.1.58.26</t>
  </si>
  <si>
    <t>10.1.58.30</t>
  </si>
  <si>
    <t>10.1.58.34</t>
  </si>
  <si>
    <t>10.1.58.38</t>
  </si>
  <si>
    <t>10.252.240.112</t>
  </si>
  <si>
    <t>10.252.240.113</t>
  </si>
  <si>
    <t>10.252.240.114</t>
  </si>
  <si>
    <t>10.0.215.20</t>
  </si>
  <si>
    <t>10.0.215.21</t>
  </si>
  <si>
    <t>10.0.215.22</t>
  </si>
  <si>
    <t>10.0.214.8</t>
  </si>
  <si>
    <t>10.0.214.9</t>
  </si>
  <si>
    <t>10.0.214.10</t>
  </si>
  <si>
    <t>10.1.58.40</t>
  </si>
  <si>
    <t>10.1.58.41</t>
  </si>
  <si>
    <t>10.1.58.42</t>
  </si>
  <si>
    <t>10.1.58.44</t>
  </si>
  <si>
    <t>10.1.58.45</t>
  </si>
  <si>
    <t>10.1.58.46</t>
  </si>
  <si>
    <t>10.1.58.48</t>
  </si>
  <si>
    <t>10.1.58.49</t>
  </si>
  <si>
    <t>10.1.58.50</t>
  </si>
  <si>
    <t>22.09.2021 Отправили запрос на организаци.</t>
  </si>
  <si>
    <t>VPN1660</t>
  </si>
  <si>
    <t>VPN1661</t>
  </si>
  <si>
    <t>VPN1662</t>
  </si>
  <si>
    <t>VPN1663</t>
  </si>
  <si>
    <t>VPN1643</t>
  </si>
  <si>
    <t>VPN1644</t>
  </si>
  <si>
    <t>PavlodarCE2</t>
  </si>
  <si>
    <t>10.1.58.64</t>
  </si>
  <si>
    <t>10.1.58.65</t>
  </si>
  <si>
    <t>10.1.58.66</t>
  </si>
  <si>
    <t>10.1.58.68</t>
  </si>
  <si>
    <t>10.1.58.69</t>
  </si>
  <si>
    <t>10.1.58.70</t>
  </si>
  <si>
    <t>10.1.58.72</t>
  </si>
  <si>
    <t>10.1.58.76</t>
  </si>
  <si>
    <t>10.1.58.80</t>
  </si>
  <si>
    <t>10.1.58.84</t>
  </si>
  <si>
    <t>10.1.58.88</t>
  </si>
  <si>
    <t>10.1.58.92</t>
  </si>
  <si>
    <t>10.1.58.73</t>
  </si>
  <si>
    <t>10.1.58.77</t>
  </si>
  <si>
    <t>10.1.58.81</t>
  </si>
  <si>
    <t>10.1.58.85</t>
  </si>
  <si>
    <t>10.1.58.89</t>
  </si>
  <si>
    <t>10.1.58.93</t>
  </si>
  <si>
    <t>10.1.58.74</t>
  </si>
  <si>
    <t>10.1.58.78</t>
  </si>
  <si>
    <t>10.1.58.82</t>
  </si>
  <si>
    <t>10.1.58.86</t>
  </si>
  <si>
    <t>10.1.58.90</t>
  </si>
  <si>
    <t>10.1.58.94</t>
  </si>
  <si>
    <t>10.252.240.116</t>
  </si>
  <si>
    <t>10.252.240.117</t>
  </si>
  <si>
    <t>10.252.240.118</t>
  </si>
  <si>
    <t>10.1.58.96</t>
  </si>
  <si>
    <t>10.1.58.97</t>
  </si>
  <si>
    <t>10.1.58.98</t>
  </si>
  <si>
    <t>10.1.58.100</t>
  </si>
  <si>
    <t>10.1.58.101</t>
  </si>
  <si>
    <t>10.1.58.102</t>
  </si>
  <si>
    <t>10.0.214.16</t>
  </si>
  <si>
    <t>10.0.214.17</t>
  </si>
  <si>
    <t>10.0.214.18</t>
  </si>
  <si>
    <t>10.0.215.56</t>
  </si>
  <si>
    <t>10.0.215.57</t>
  </si>
  <si>
    <t>10.0.215.58</t>
  </si>
  <si>
    <t>VPN1646</t>
  </si>
  <si>
    <t>VPN1647</t>
  </si>
  <si>
    <t>VPN1648</t>
  </si>
  <si>
    <t>VPN1649</t>
  </si>
  <si>
    <t>VPN1650</t>
  </si>
  <si>
    <t>VPN1651</t>
  </si>
  <si>
    <t xml:space="preserve"> VPN1214</t>
  </si>
  <si>
    <t>10.1.34.32</t>
  </si>
  <si>
    <t>10.1.34.33</t>
  </si>
  <si>
    <t>10.1.34.34</t>
  </si>
  <si>
    <t>Shilikti</t>
  </si>
  <si>
    <t>Alimbet</t>
  </si>
  <si>
    <t>Alimbet Aktobe CE1</t>
  </si>
  <si>
    <t>29.09.2021 Организован 100G порт</t>
  </si>
  <si>
    <t>Karakol</t>
  </si>
  <si>
    <t>Munkuduk Shieli AGR</t>
  </si>
  <si>
    <t xml:space="preserve">10.14.216.129 </t>
  </si>
  <si>
    <t xml:space="preserve">10.13.216.129 </t>
  </si>
  <si>
    <t>10.5.85.129</t>
  </si>
  <si>
    <t>10.254.243.1</t>
  </si>
  <si>
    <t xml:space="preserve"> KyzylOrda </t>
  </si>
  <si>
    <t>IP address KAP</t>
  </si>
  <si>
    <t>AS KAP</t>
  </si>
  <si>
    <t>HBT</t>
  </si>
  <si>
    <t>10.1.35.188</t>
  </si>
  <si>
    <t>10.1.35.189</t>
  </si>
  <si>
    <t>10.1.35.190</t>
  </si>
  <si>
    <t>10.1.35.192</t>
  </si>
  <si>
    <t>10.1.35.193</t>
  </si>
  <si>
    <t>10.1.35.194</t>
  </si>
  <si>
    <t>10.1.35.196</t>
  </si>
  <si>
    <t>10.1.35.197</t>
  </si>
  <si>
    <t>10.1.35.198</t>
  </si>
  <si>
    <t>10.1.35.200</t>
  </si>
  <si>
    <t>10.1.35.201</t>
  </si>
  <si>
    <t>10.1.35.202</t>
  </si>
  <si>
    <t>10.1.35.204</t>
  </si>
  <si>
    <t>10.1.35.205</t>
  </si>
  <si>
    <t>10.1.35.206</t>
  </si>
  <si>
    <t>10.1.35.208</t>
  </si>
  <si>
    <t>10.1.35.209</t>
  </si>
  <si>
    <t>10.1.35.210</t>
  </si>
  <si>
    <t>Нет ТВ для организации резерва со второго маршрутизатора</t>
  </si>
  <si>
    <t>Karabulak</t>
  </si>
  <si>
    <t>AktobeCE2</t>
  </si>
  <si>
    <t>10.1.60.64</t>
  </si>
  <si>
    <t>10.1.60.65</t>
  </si>
  <si>
    <t>10.1.60.66</t>
  </si>
  <si>
    <t>10.1.60.68</t>
  </si>
  <si>
    <t>10.1.60.69</t>
  </si>
  <si>
    <t>10.1.60.70</t>
  </si>
  <si>
    <t>10.1.60.72</t>
  </si>
  <si>
    <t>10.1.60.73</t>
  </si>
  <si>
    <t>10.1.60.74</t>
  </si>
  <si>
    <t>10.1.60.76</t>
  </si>
  <si>
    <t>10.1.60.77</t>
  </si>
  <si>
    <t>10.1.60.78</t>
  </si>
  <si>
    <t>10.1.60.80</t>
  </si>
  <si>
    <t>10.1.60.81</t>
  </si>
  <si>
    <t>10.1.60.82</t>
  </si>
  <si>
    <t>10.1.60.84</t>
  </si>
  <si>
    <t>10.1.60.88</t>
  </si>
  <si>
    <t>10.1.60.85</t>
  </si>
  <si>
    <t>10.1.60.89</t>
  </si>
  <si>
    <t>10.1.60.86</t>
  </si>
  <si>
    <t>10.1.60.90</t>
  </si>
  <si>
    <t>10.1.60.92</t>
  </si>
  <si>
    <t>10.1.60.93</t>
  </si>
  <si>
    <t>10.1.60.94</t>
  </si>
  <si>
    <t>10.255.128.0</t>
  </si>
  <si>
    <t>10.255.128.1</t>
  </si>
  <si>
    <t>10.255.128.2</t>
  </si>
  <si>
    <t>10.1.35.212</t>
  </si>
  <si>
    <t>10.1.35.213</t>
  </si>
  <si>
    <t>10.1.35.214</t>
  </si>
  <si>
    <t>Aiteke-bi</t>
  </si>
  <si>
    <t>Akkistau</t>
  </si>
  <si>
    <t>Akkol</t>
  </si>
  <si>
    <t>Akmektep</t>
  </si>
  <si>
    <t>Aksay(Aktobe)</t>
  </si>
  <si>
    <t>Aksay</t>
  </si>
  <si>
    <t>Akshi</t>
  </si>
  <si>
    <t>Akshukur</t>
  </si>
  <si>
    <t>Aksu</t>
  </si>
  <si>
    <t>Aksuat</t>
  </si>
  <si>
    <t>Aksu-Ayuly</t>
  </si>
  <si>
    <t>Aktay</t>
  </si>
  <si>
    <t>Aktogay(KAZMIN)</t>
  </si>
  <si>
    <t>Akzhar</t>
  </si>
  <si>
    <t>Akzharoil</t>
  </si>
  <si>
    <t>Alga</t>
  </si>
  <si>
    <t>Algabas</t>
  </si>
  <si>
    <t>Almaly</t>
  </si>
  <si>
    <t>Amangeldy</t>
  </si>
  <si>
    <t>Ankaty</t>
  </si>
  <si>
    <t>Aralsk</t>
  </si>
  <si>
    <t>Arkalyk</t>
  </si>
  <si>
    <t>Arkhangelka</t>
  </si>
  <si>
    <t>Arys</t>
  </si>
  <si>
    <t>Aspara</t>
  </si>
  <si>
    <t>Astana(3G)</t>
  </si>
  <si>
    <t>Astana(ABK2)</t>
  </si>
  <si>
    <t>Astana(URBAN)</t>
  </si>
  <si>
    <t>Astrakhanka</t>
  </si>
  <si>
    <t>Atbasar</t>
  </si>
  <si>
    <t>Atbasar(Barakpai)</t>
  </si>
  <si>
    <t>Auezov</t>
  </si>
  <si>
    <t>Ayaguz</t>
  </si>
  <si>
    <t>Badamsha</t>
  </si>
  <si>
    <t>Baikonur</t>
  </si>
  <si>
    <t>Baiserke</t>
  </si>
  <si>
    <t>Balkashino</t>
  </si>
  <si>
    <t>Balkhash</t>
  </si>
  <si>
    <t>Balkuduk</t>
  </si>
  <si>
    <t>Bayanaul-Fakel</t>
  </si>
  <si>
    <t>Bayganin</t>
  </si>
  <si>
    <t>Begaly</t>
  </si>
  <si>
    <t>Beskaragay</t>
  </si>
  <si>
    <t>Beyneu</t>
  </si>
  <si>
    <t>Bisen</t>
  </si>
  <si>
    <t>Blagoveshenka</t>
  </si>
  <si>
    <t>Boguty</t>
  </si>
  <si>
    <t>Bolshenarym</t>
  </si>
  <si>
    <t>Borli</t>
  </si>
  <si>
    <t>Boroduliha</t>
  </si>
  <si>
    <t>Bozshakol</t>
  </si>
  <si>
    <t>Bugrovoe</t>
  </si>
  <si>
    <t>Buldurta</t>
  </si>
  <si>
    <t>Chapaevo</t>
  </si>
  <si>
    <t>Chemolgan</t>
  </si>
  <si>
    <t>Chija2</t>
  </si>
  <si>
    <t>Chilik</t>
  </si>
  <si>
    <t>Chingirlau</t>
  </si>
  <si>
    <t>Chistopole</t>
  </si>
  <si>
    <t>Chunga</t>
  </si>
  <si>
    <t>Derbesek</t>
  </si>
  <si>
    <t>Derzhavinsk</t>
  </si>
  <si>
    <t>Dolinnoe</t>
  </si>
  <si>
    <t>Dostyk</t>
  </si>
  <si>
    <t>Dzangala</t>
  </si>
  <si>
    <t>Egindybulak</t>
  </si>
  <si>
    <t>Emba</t>
  </si>
  <si>
    <t>Ermentau</t>
  </si>
  <si>
    <t>Eseykhan</t>
  </si>
  <si>
    <t>Esil</t>
  </si>
  <si>
    <t>Espe</t>
  </si>
  <si>
    <t>Hromtau</t>
  </si>
  <si>
    <t>Ilinka</t>
  </si>
  <si>
    <t>Inder</t>
  </si>
  <si>
    <t>Irtyshsk</t>
  </si>
  <si>
    <t>Ishimskoe</t>
  </si>
  <si>
    <t>Jairem</t>
  </si>
  <si>
    <t>Jalgyzapan</t>
  </si>
  <si>
    <t>Janibek</t>
  </si>
  <si>
    <t>Kabanbai</t>
  </si>
  <si>
    <t>Kabanbai-Rozhdestv</t>
  </si>
  <si>
    <t>Kabanbai-Taldyk</t>
  </si>
  <si>
    <t>Kabyrga</t>
  </si>
  <si>
    <t>Kaindy</t>
  </si>
  <si>
    <t>Kaiyndy(ZKO)</t>
  </si>
  <si>
    <t>Kalbatau</t>
  </si>
  <si>
    <t>Kalinovka</t>
  </si>
  <si>
    <t>Kamenka</t>
  </si>
  <si>
    <t>Kandygash</t>
  </si>
  <si>
    <t>Kapchagay</t>
  </si>
  <si>
    <t>Karabau</t>
  </si>
  <si>
    <t xml:space="preserve">Karabulak </t>
  </si>
  <si>
    <t>Karabutak</t>
  </si>
  <si>
    <t>Karakamys</t>
  </si>
  <si>
    <t>Karamendy</t>
  </si>
  <si>
    <t>Karaoba</t>
  </si>
  <si>
    <t>Karatobe</t>
  </si>
  <si>
    <t>Karaul</t>
  </si>
  <si>
    <t>Kargaly</t>
  </si>
  <si>
    <t>Karoy</t>
  </si>
  <si>
    <t>Karkaralinsk</t>
  </si>
  <si>
    <t>Kaskabulak</t>
  </si>
  <si>
    <t>Kaskabulak2</t>
  </si>
  <si>
    <t>Kaskabulak(Taraz)</t>
  </si>
  <si>
    <t>Kaskelen</t>
  </si>
  <si>
    <t>Katon</t>
  </si>
  <si>
    <t>Kazgurt</t>
  </si>
  <si>
    <t>Kegen</t>
  </si>
  <si>
    <t>Kemer</t>
  </si>
  <si>
    <t>Kentau</t>
  </si>
  <si>
    <t>Kobda</t>
  </si>
  <si>
    <t>Kokistek</t>
  </si>
  <si>
    <t>Kokpekty</t>
  </si>
  <si>
    <t>Koktobe</t>
  </si>
  <si>
    <t>Komsomol</t>
  </si>
  <si>
    <t>Konyrolen</t>
  </si>
  <si>
    <t>Kordai</t>
  </si>
  <si>
    <t>Koryk</t>
  </si>
  <si>
    <t>Koshankol</t>
  </si>
  <si>
    <t>Koshi</t>
  </si>
  <si>
    <t>Koskol</t>
  </si>
  <si>
    <t>Kosseit</t>
  </si>
  <si>
    <t>Kostichevo</t>
  </si>
  <si>
    <t>Kotyaevka</t>
  </si>
  <si>
    <t>Kulan</t>
  </si>
  <si>
    <t>Kulsary</t>
  </si>
  <si>
    <t>Kumkuduk</t>
  </si>
  <si>
    <t>Kurchatov</t>
  </si>
  <si>
    <t>Kurchum</t>
  </si>
  <si>
    <t>KurykKuduk</t>
  </si>
  <si>
    <t>Kurylys(Aktobe)</t>
  </si>
  <si>
    <t>Kurylys(Atyrau)</t>
  </si>
  <si>
    <t xml:space="preserve">Kyugenkol  </t>
  </si>
  <si>
    <t>Kyzulyi</t>
  </si>
  <si>
    <t>Lenger</t>
  </si>
  <si>
    <t>Lisakovsk</t>
  </si>
  <si>
    <t>Madeniet</t>
  </si>
  <si>
    <t>Mahambet</t>
  </si>
  <si>
    <t>Maikain</t>
  </si>
  <si>
    <t>Maikuben  (Shoptikol)</t>
  </si>
  <si>
    <t>Makanchi</t>
  </si>
  <si>
    <t>Makat</t>
  </si>
  <si>
    <t>Makinsk</t>
  </si>
  <si>
    <t>Mangyshlak</t>
  </si>
  <si>
    <t>Martuk</t>
  </si>
  <si>
    <t>Masanchi</t>
  </si>
  <si>
    <t>Masteksai</t>
  </si>
  <si>
    <t>Merke</t>
  </si>
  <si>
    <t>Miyaly</t>
  </si>
  <si>
    <t>Mkr10a</t>
  </si>
  <si>
    <t>Momyshuli</t>
  </si>
  <si>
    <t>Moynkum</t>
  </si>
  <si>
    <t>Narynkol</t>
  </si>
  <si>
    <t>Nogaity</t>
  </si>
  <si>
    <t>Novoishimskiy</t>
  </si>
  <si>
    <t>Oktyabrskiy</t>
  </si>
  <si>
    <t>Oporniy</t>
  </si>
  <si>
    <t>Orda</t>
  </si>
  <si>
    <t>Orlovka</t>
  </si>
  <si>
    <t>Osakarovka</t>
  </si>
  <si>
    <t>Otar</t>
  </si>
  <si>
    <t>Oyik</t>
  </si>
  <si>
    <t>Partizanka</t>
  </si>
  <si>
    <t>Predgornoe</t>
  </si>
  <si>
    <t>Priozersk</t>
  </si>
  <si>
    <t>Priuralnoe</t>
  </si>
  <si>
    <t>Prorva-Velistroy</t>
  </si>
  <si>
    <t>Pyatimar</t>
  </si>
  <si>
    <t>Ridder</t>
  </si>
  <si>
    <t>Rodina</t>
  </si>
  <si>
    <t>Rudny</t>
  </si>
  <si>
    <t>Ryskulova</t>
  </si>
  <si>
    <t>Sagyz</t>
  </si>
  <si>
    <t>Saralzhyn</t>
  </si>
  <si>
    <t>Sarbiye</t>
  </si>
  <si>
    <t>Sarkand</t>
  </si>
  <si>
    <t>Sarybel</t>
  </si>
  <si>
    <t>Saryozek</t>
  </si>
  <si>
    <t>Saryomir</t>
  </si>
  <si>
    <t>Satpaev</t>
  </si>
  <si>
    <t>Saumalkol</t>
  </si>
  <si>
    <t>Sayhin</t>
  </si>
  <si>
    <t>Seitkali</t>
  </si>
  <si>
    <t>Serebryansk</t>
  </si>
  <si>
    <t>Shahan</t>
  </si>
  <si>
    <t>Shahtinsk</t>
  </si>
  <si>
    <t>Shalkar</t>
  </si>
  <si>
    <t>Shakpak</t>
  </si>
  <si>
    <t>Shanyrak</t>
  </si>
  <si>
    <t>Shardara</t>
  </si>
  <si>
    <t>Shaulder</t>
  </si>
  <si>
    <t>Shayan</t>
  </si>
  <si>
    <t>Shemonaiha</t>
  </si>
  <si>
    <t>Shetpe</t>
  </si>
  <si>
    <t>Shevchenko</t>
  </si>
  <si>
    <t>Shieli</t>
  </si>
  <si>
    <t>Sholakorgan</t>
  </si>
  <si>
    <t>Shu</t>
  </si>
  <si>
    <t>Shubalan</t>
  </si>
  <si>
    <t>Shubarkuduk</t>
  </si>
  <si>
    <t>Shuchinsk</t>
  </si>
  <si>
    <t>Shuchinsk2</t>
  </si>
  <si>
    <t>Stepnogorsk</t>
  </si>
  <si>
    <t>Stepnyak</t>
  </si>
  <si>
    <t>Sulykol</t>
  </si>
  <si>
    <t>Syundyk</t>
  </si>
  <si>
    <t>Tahtabrod</t>
  </si>
  <si>
    <t>Talgar</t>
  </si>
  <si>
    <t>Talshik</t>
  </si>
  <si>
    <t>Taskesken</t>
  </si>
  <si>
    <t>Taynsha</t>
  </si>
  <si>
    <t>Tazhen</t>
  </si>
  <si>
    <t>Tekeli</t>
  </si>
  <si>
    <t>Temirbaba</t>
  </si>
  <si>
    <t>Tengiz</t>
  </si>
  <si>
    <t>Terenkol</t>
  </si>
  <si>
    <t>Terenozek</t>
  </si>
  <si>
    <t>Timiryazevo</t>
  </si>
  <si>
    <t>Tolep</t>
  </si>
  <si>
    <t>Toretam</t>
  </si>
  <si>
    <t>Tortkol</t>
  </si>
  <si>
    <t>Uil</t>
  </si>
  <si>
    <t>Ulytau</t>
  </si>
  <si>
    <t>Urdzhar</t>
  </si>
  <si>
    <t>Usharal</t>
  </si>
  <si>
    <t>Ushkudyk</t>
  </si>
  <si>
    <t>Ushtagan</t>
  </si>
  <si>
    <t>Ushtobe</t>
  </si>
  <si>
    <t>Uyaly</t>
  </si>
  <si>
    <t>Uzunagash</t>
  </si>
  <si>
    <t>Uzunkol</t>
  </si>
  <si>
    <t>Uzynata</t>
  </si>
  <si>
    <t>Verhuba</t>
  </si>
  <si>
    <t>Yubileiny</t>
  </si>
  <si>
    <t>Zaysan</t>
  </si>
  <si>
    <t>Zerenda</t>
  </si>
  <si>
    <t>Zhaksybai</t>
  </si>
  <si>
    <t>Zhalagash</t>
  </si>
  <si>
    <t>Zhalpaktal</t>
  </si>
  <si>
    <t>Zhanakazan</t>
  </si>
  <si>
    <t>Zhanakorgan</t>
  </si>
  <si>
    <t>Zhanatas</t>
  </si>
  <si>
    <t>Zhanazhol</t>
  </si>
  <si>
    <t>Zhansugurov</t>
  </si>
  <si>
    <t>Zharkamis</t>
  </si>
  <si>
    <t>Zharkent</t>
  </si>
  <si>
    <t>Zharlykol</t>
  </si>
  <si>
    <t>Zharmenke</t>
  </si>
  <si>
    <t>Zharmysh</t>
  </si>
  <si>
    <t>Zhasybay</t>
  </si>
  <si>
    <t>Zheltorangy</t>
  </si>
  <si>
    <t>Zhetybai</t>
  </si>
  <si>
    <t>Zhiyekkum</t>
  </si>
  <si>
    <t>Zhitikara</t>
  </si>
  <si>
    <t>Zhosaly</t>
  </si>
  <si>
    <t>Zhurin</t>
  </si>
  <si>
    <t>Zhyngyldy</t>
  </si>
  <si>
    <t>Zko-Aktau</t>
  </si>
  <si>
    <t>Zyryanovsk</t>
  </si>
  <si>
    <t>10.14.121.129</t>
  </si>
  <si>
    <t>10.13.119.1</t>
  </si>
  <si>
    <t>10.14.45.129</t>
  </si>
  <si>
    <t>10.14.45.145</t>
  </si>
  <si>
    <t>10.5.116.193</t>
  </si>
  <si>
    <t>10.5.116.209</t>
  </si>
  <si>
    <t>10.255.244.225</t>
  </si>
  <si>
    <t>10.255.244.241</t>
  </si>
  <si>
    <t>10.1.35.216</t>
  </si>
  <si>
    <t>10.1.35.217</t>
  </si>
  <si>
    <t>10.1.35.218</t>
  </si>
  <si>
    <t>10.1.35.220</t>
  </si>
  <si>
    <t>10.1.35.221</t>
  </si>
  <si>
    <t>10.1.35.222</t>
  </si>
  <si>
    <t>10.255.240.204</t>
  </si>
  <si>
    <t>10.255.240.205</t>
  </si>
  <si>
    <t>10.255.240.206</t>
  </si>
  <si>
    <t>10.255.240.208</t>
  </si>
  <si>
    <t>10.255.240.209</t>
  </si>
  <si>
    <t>10.255.240.210</t>
  </si>
  <si>
    <t>10.1.35.224</t>
  </si>
  <si>
    <t>10.1.35.225</t>
  </si>
  <si>
    <t>10.1.35.226</t>
  </si>
  <si>
    <t>10.255.240.212</t>
  </si>
  <si>
    <t>10.255.240.213</t>
  </si>
  <si>
    <t>10.255.240.214</t>
  </si>
  <si>
    <t>10.1.35.228</t>
  </si>
  <si>
    <t>10.1.35.229</t>
  </si>
  <si>
    <t>10.1.35.230</t>
  </si>
  <si>
    <t>10.1.35.232</t>
  </si>
  <si>
    <t>10.1.35.233</t>
  </si>
  <si>
    <t>10.1.35.234</t>
  </si>
  <si>
    <t>10.255.240.216</t>
  </si>
  <si>
    <t>10.255.240.217</t>
  </si>
  <si>
    <t>10.255.240.218</t>
  </si>
  <si>
    <t>10.1.35.236</t>
  </si>
  <si>
    <t>10.1.35.237</t>
  </si>
  <si>
    <t>10.1.35.238</t>
  </si>
  <si>
    <t>10.255.240.220</t>
  </si>
  <si>
    <t>10.255.240.221</t>
  </si>
  <si>
    <t>10.255.240.222</t>
  </si>
  <si>
    <t>10.255.240.224</t>
  </si>
  <si>
    <t>10.255.240.225</t>
  </si>
  <si>
    <t>10.255.240.226</t>
  </si>
  <si>
    <t>10.1.35.240</t>
  </si>
  <si>
    <t>10.1.35.241</t>
  </si>
  <si>
    <t>10.1.35.242</t>
  </si>
  <si>
    <t>10.13.156.33</t>
  </si>
  <si>
    <t>10.14.156.33</t>
  </si>
  <si>
    <t>VPN1676</t>
  </si>
  <si>
    <t>VPN1675</t>
  </si>
  <si>
    <t>GBNR</t>
  </si>
  <si>
    <t>10.1.7.156</t>
  </si>
  <si>
    <t>10.1.7.157</t>
  </si>
  <si>
    <t>10.1.7.158</t>
  </si>
  <si>
    <t>VPN1677</t>
  </si>
  <si>
    <t>10.1.35.248</t>
  </si>
  <si>
    <t>10.1.35.249</t>
  </si>
  <si>
    <t>10.1.35.250</t>
  </si>
  <si>
    <t>10.255.240.232</t>
  </si>
  <si>
    <t>10.255.240.233</t>
  </si>
  <si>
    <t>10.255.240.234</t>
  </si>
  <si>
    <t>10.1.35.244</t>
  </si>
  <si>
    <t>10.1.35.245</t>
  </si>
  <si>
    <t>10.1.35.246</t>
  </si>
  <si>
    <t>10.255.240.228</t>
  </si>
  <si>
    <t>10.255.240.229</t>
  </si>
  <si>
    <t>10.255.240.230</t>
  </si>
  <si>
    <t>Saryomir Uralsk CE1</t>
  </si>
  <si>
    <t>10.5.116.225</t>
  </si>
  <si>
    <t>10.5.116.241</t>
  </si>
  <si>
    <t>10.14.60.49</t>
  </si>
  <si>
    <t>10.255.245.65</t>
  </si>
  <si>
    <t>BAIKADAM Aktobe CE2</t>
  </si>
  <si>
    <t>AktauCE2</t>
  </si>
  <si>
    <t>10.1.60.128</t>
  </si>
  <si>
    <t>10.1.60.129</t>
  </si>
  <si>
    <t>10.1.60.130</t>
  </si>
  <si>
    <t>10.1.60.132</t>
  </si>
  <si>
    <t>10.1.60.133</t>
  </si>
  <si>
    <t>10.1.60.134</t>
  </si>
  <si>
    <t>10.1.60.136</t>
  </si>
  <si>
    <t>10.1.60.140</t>
  </si>
  <si>
    <t>10.1.60.144</t>
  </si>
  <si>
    <t>10.1.60.148</t>
  </si>
  <si>
    <t>10.1.60.152</t>
  </si>
  <si>
    <t>10.1.60.156</t>
  </si>
  <si>
    <t>10.1.60.137</t>
  </si>
  <si>
    <t>10.1.60.141</t>
  </si>
  <si>
    <t>10.1.60.145</t>
  </si>
  <si>
    <t>10.1.60.149</t>
  </si>
  <si>
    <t>10.1.60.153</t>
  </si>
  <si>
    <t>10.1.60.157</t>
  </si>
  <si>
    <t>10.1.60.138</t>
  </si>
  <si>
    <t>10.1.60.142</t>
  </si>
  <si>
    <t>10.1.60.146</t>
  </si>
  <si>
    <t>10.1.60.150</t>
  </si>
  <si>
    <t>10.1.60.154</t>
  </si>
  <si>
    <t>10.1.60.158</t>
  </si>
  <si>
    <t>10.255.240.236</t>
  </si>
  <si>
    <t>10.255.240.237</t>
  </si>
  <si>
    <t>10.255.240.238</t>
  </si>
  <si>
    <t>SemeyCE2</t>
  </si>
  <si>
    <t>10.1.58.128</t>
  </si>
  <si>
    <t>10.1.58.129</t>
  </si>
  <si>
    <t>10.1.58.130</t>
  </si>
  <si>
    <t>10.1.58.132</t>
  </si>
  <si>
    <t>10.1.58.133</t>
  </si>
  <si>
    <t>10.1.58.134</t>
  </si>
  <si>
    <t>10.1.58.136</t>
  </si>
  <si>
    <t>OskemenCE2</t>
  </si>
  <si>
    <t>10.1.58.192</t>
  </si>
  <si>
    <t>10.1.58.193</t>
  </si>
  <si>
    <t>10.1.58.194</t>
  </si>
  <si>
    <t>10.1.58.140</t>
  </si>
  <si>
    <t>10.1.58.144</t>
  </si>
  <si>
    <t>10.1.58.148</t>
  </si>
  <si>
    <t>10.1.58.152</t>
  </si>
  <si>
    <t>10.1.58.149</t>
  </si>
  <si>
    <t>10.1.58.154</t>
  </si>
  <si>
    <t>10.1.58.137</t>
  </si>
  <si>
    <t>10.1.58.141</t>
  </si>
  <si>
    <t>10.1.58.145</t>
  </si>
  <si>
    <t>10.1.58.153</t>
  </si>
  <si>
    <t>10.1.58.138</t>
  </si>
  <si>
    <t>10.1.58.142</t>
  </si>
  <si>
    <t>10.1.58.146</t>
  </si>
  <si>
    <t>10.1.58.150</t>
  </si>
  <si>
    <t>10.1.58.196</t>
  </si>
  <si>
    <t>10.1.58.197</t>
  </si>
  <si>
    <t>10.1.58.198</t>
  </si>
  <si>
    <t>10.1.58.200</t>
  </si>
  <si>
    <t>10.1.58.204</t>
  </si>
  <si>
    <t>10.1.58.208</t>
  </si>
  <si>
    <t>10.1.58.212</t>
  </si>
  <si>
    <t>10.1.58.216</t>
  </si>
  <si>
    <t>10.1.58.220</t>
  </si>
  <si>
    <t>10.1.58.201</t>
  </si>
  <si>
    <t>10.1.58.205</t>
  </si>
  <si>
    <t>10.1.58.209</t>
  </si>
  <si>
    <t>10.1.58.213</t>
  </si>
  <si>
    <t>10.1.58.217</t>
  </si>
  <si>
    <t>10.1.58.221</t>
  </si>
  <si>
    <t>10.1.58.202</t>
  </si>
  <si>
    <t>10.1.58.206</t>
  </si>
  <si>
    <t>10.1.58.210</t>
  </si>
  <si>
    <t>10.1.58.214</t>
  </si>
  <si>
    <t>10.1.58.218</t>
  </si>
  <si>
    <t>10.1.58.222</t>
  </si>
  <si>
    <t>10.252.240.124</t>
  </si>
  <si>
    <t>10.252.240.125</t>
  </si>
  <si>
    <t>10.252.240.126</t>
  </si>
  <si>
    <t>VPN1689</t>
  </si>
  <si>
    <t>TaldykorganCE2</t>
  </si>
  <si>
    <t>10.1.56.96</t>
  </si>
  <si>
    <t>10.1.56.97</t>
  </si>
  <si>
    <t>10.1.56.98</t>
  </si>
  <si>
    <t>10.1.56.100</t>
  </si>
  <si>
    <t>10.1.56.101</t>
  </si>
  <si>
    <t>10.1.56.102</t>
  </si>
  <si>
    <t>10.1.56.104</t>
  </si>
  <si>
    <t>10.1.56.108</t>
  </si>
  <si>
    <t>10.1.56.112</t>
  </si>
  <si>
    <t>10.1.56.116</t>
  </si>
  <si>
    <t>10.1.56.120</t>
  </si>
  <si>
    <t>10.1.56.105</t>
  </si>
  <si>
    <t>10.1.56.109</t>
  </si>
  <si>
    <t>10.1.56.113</t>
  </si>
  <si>
    <t>10.1.56.117</t>
  </si>
  <si>
    <t>10.1.56.121</t>
  </si>
  <si>
    <t>10.1.56.106</t>
  </si>
  <si>
    <t>10.1.56.110</t>
  </si>
  <si>
    <t>10.1.56.114</t>
  </si>
  <si>
    <t>10.1.56.118</t>
  </si>
  <si>
    <t>10.1.56.122</t>
  </si>
  <si>
    <t>10.254.240.52</t>
  </si>
  <si>
    <t>10.254.240.53</t>
  </si>
  <si>
    <t>10.254.240.54</t>
  </si>
  <si>
    <t>PetropavlovskCE2</t>
  </si>
  <si>
    <t>10.252.240.128</t>
  </si>
  <si>
    <t>10.252.240.129</t>
  </si>
  <si>
    <t>10.252.240.130</t>
  </si>
  <si>
    <t>10.0.215.88</t>
  </si>
  <si>
    <t>10.0.215.89</t>
  </si>
  <si>
    <t>10.0.215.90</t>
  </si>
  <si>
    <t>10.1.59.0</t>
  </si>
  <si>
    <t>10.1.59.1</t>
  </si>
  <si>
    <t>10.1.59.2</t>
  </si>
  <si>
    <t>10.1.59.4</t>
  </si>
  <si>
    <t>10.1.59.5</t>
  </si>
  <si>
    <t>10.1.59.6</t>
  </si>
  <si>
    <t>10.1.59.8</t>
  </si>
  <si>
    <t>10.1.59.12</t>
  </si>
  <si>
    <t>10.1.59.16</t>
  </si>
  <si>
    <t>10.1.59.20</t>
  </si>
  <si>
    <t>10.1.59.24</t>
  </si>
  <si>
    <t>10.1.59.28</t>
  </si>
  <si>
    <t>10.1.59.32</t>
  </si>
  <si>
    <t>10.1.59.9</t>
  </si>
  <si>
    <t>10.1.59.13</t>
  </si>
  <si>
    <t>10.1.59.17</t>
  </si>
  <si>
    <t>10.1.59.21</t>
  </si>
  <si>
    <t>10.1.59.25</t>
  </si>
  <si>
    <t>10.1.59.29</t>
  </si>
  <si>
    <t>10.1.59.10</t>
  </si>
  <si>
    <t>10.1.59.14</t>
  </si>
  <si>
    <t>10.1.59.18</t>
  </si>
  <si>
    <t>10.1.59.22</t>
  </si>
  <si>
    <t>10.1.59.26</t>
  </si>
  <si>
    <t>10.1.59.30</t>
  </si>
  <si>
    <t>10.1.59.34</t>
  </si>
  <si>
    <t>10.1.59.64</t>
  </si>
  <si>
    <t>10.1.59.65</t>
  </si>
  <si>
    <t>10.1.59.66</t>
  </si>
  <si>
    <t>10.1.59.68</t>
  </si>
  <si>
    <t>10.1.59.69</t>
  </si>
  <si>
    <t>10.1.59.70</t>
  </si>
  <si>
    <t>10.1.59.72</t>
  </si>
  <si>
    <t>10.1.59.76</t>
  </si>
  <si>
    <t>10.1.59.80</t>
  </si>
  <si>
    <t>10.1.59.84</t>
  </si>
  <si>
    <t>10.1.59.88</t>
  </si>
  <si>
    <t>10.1.59.92</t>
  </si>
  <si>
    <t>10.1.59.96</t>
  </si>
  <si>
    <t>10.1.59.73</t>
  </si>
  <si>
    <t>10.1.59.77</t>
  </si>
  <si>
    <t>10.1.59.81</t>
  </si>
  <si>
    <t>10.1.59.85</t>
  </si>
  <si>
    <t>10.1.59.89</t>
  </si>
  <si>
    <t>10.1.59.93</t>
  </si>
  <si>
    <t>10.1.59.97</t>
  </si>
  <si>
    <t>10.1.59.74</t>
  </si>
  <si>
    <t>10.1.59.78</t>
  </si>
  <si>
    <t>10.1.59.82</t>
  </si>
  <si>
    <t>10.1.59.86</t>
  </si>
  <si>
    <t>10.1.59.90</t>
  </si>
  <si>
    <t>10.1.59.94</t>
  </si>
  <si>
    <t>10.1.59.98</t>
  </si>
  <si>
    <t>10.252.240.132</t>
  </si>
  <si>
    <t>10.252.240.133</t>
  </si>
  <si>
    <t>10.252.240.134</t>
  </si>
  <si>
    <t>KokshetauCE2</t>
  </si>
  <si>
    <t>10.1.59.128</t>
  </si>
  <si>
    <t>10.1.59.129</t>
  </si>
  <si>
    <t>10.1.59.130</t>
  </si>
  <si>
    <t>10.1.59.132</t>
  </si>
  <si>
    <t>10.1.59.133</t>
  </si>
  <si>
    <t>10.1.59.134</t>
  </si>
  <si>
    <t>10.1.59.136</t>
  </si>
  <si>
    <t>10.1.59.140</t>
  </si>
  <si>
    <t>10.1.59.144</t>
  </si>
  <si>
    <t>10.1.59.148</t>
  </si>
  <si>
    <t>10.1.59.152</t>
  </si>
  <si>
    <t>10.1.59.156</t>
  </si>
  <si>
    <t>10.1.59.137</t>
  </si>
  <si>
    <t>10.1.59.141</t>
  </si>
  <si>
    <t>10.1.59.145</t>
  </si>
  <si>
    <t>10.1.59.149</t>
  </si>
  <si>
    <t>10.1.59.153</t>
  </si>
  <si>
    <t>10.1.59.157</t>
  </si>
  <si>
    <t>10.1.59.138</t>
  </si>
  <si>
    <t>10.1.59.142</t>
  </si>
  <si>
    <t>10.1.59.146</t>
  </si>
  <si>
    <t>10.1.59.150</t>
  </si>
  <si>
    <t>10.1.59.154</t>
  </si>
  <si>
    <t>10.1.59.158</t>
  </si>
  <si>
    <t>10.252.240.136</t>
  </si>
  <si>
    <t>10.252.240.137</t>
  </si>
  <si>
    <t>10.252.240.138</t>
  </si>
  <si>
    <t>KyzylordaCE2</t>
  </si>
  <si>
    <t>10.1.62.64</t>
  </si>
  <si>
    <t>10.1.62.65</t>
  </si>
  <si>
    <t>10.1.62.66</t>
  </si>
  <si>
    <t>10.1.62.68</t>
  </si>
  <si>
    <t>10.1.62.69</t>
  </si>
  <si>
    <t>10.1.62.70</t>
  </si>
  <si>
    <t>10.1.62.72</t>
  </si>
  <si>
    <t>10.1.62.76</t>
  </si>
  <si>
    <t>10.1.62.80</t>
  </si>
  <si>
    <t>10.1.62.84</t>
  </si>
  <si>
    <t>10.1.62.88</t>
  </si>
  <si>
    <t>10.1.62.92</t>
  </si>
  <si>
    <t>10.1.62.73</t>
  </si>
  <si>
    <t>10.1.62.77</t>
  </si>
  <si>
    <t>10.1.62.81</t>
  </si>
  <si>
    <t>10.1.62.85</t>
  </si>
  <si>
    <t>10.1.62.89</t>
  </si>
  <si>
    <t>10.1.62.93</t>
  </si>
  <si>
    <t>10.1.62.74</t>
  </si>
  <si>
    <t>10.1.62.78</t>
  </si>
  <si>
    <t>10.1.62.82</t>
  </si>
  <si>
    <t>10.1.62.86</t>
  </si>
  <si>
    <t>10.1.62.90</t>
  </si>
  <si>
    <t>10.1.62.94</t>
  </si>
  <si>
    <t>10.254.240.56</t>
  </si>
  <si>
    <t>10.254.240.57</t>
  </si>
  <si>
    <t>10.254.240.58</t>
  </si>
  <si>
    <t>VPN1690</t>
  </si>
  <si>
    <t>VPN1691</t>
  </si>
  <si>
    <t>VPN1692</t>
  </si>
  <si>
    <t>VPN0014P</t>
  </si>
  <si>
    <t>VPN0010P</t>
  </si>
  <si>
    <t>VPN0454P</t>
  </si>
  <si>
    <t>VPN0015P</t>
  </si>
  <si>
    <t>VPN0016P</t>
  </si>
  <si>
    <t>VPN0340P</t>
  </si>
  <si>
    <t>VPN0771P</t>
  </si>
  <si>
    <t>VPN0011P</t>
  </si>
  <si>
    <t>VPN0310P</t>
  </si>
  <si>
    <t>VPN0012P</t>
  </si>
  <si>
    <t>VPN0447P</t>
  </si>
  <si>
    <t>VPN0688P</t>
  </si>
  <si>
    <t>VPN0727P</t>
  </si>
  <si>
    <t>VPN0950P</t>
  </si>
  <si>
    <t>VPN0013P</t>
  </si>
  <si>
    <t>VPN1244P</t>
  </si>
  <si>
    <t>VPN1595</t>
  </si>
  <si>
    <t>VPN1594</t>
  </si>
  <si>
    <t>VPN1683</t>
  </si>
  <si>
    <t>VPN1529</t>
  </si>
  <si>
    <t>VPN1539</t>
  </si>
  <si>
    <t>VPN1678</t>
  </si>
  <si>
    <t>VPN1679</t>
  </si>
  <si>
    <t>VPN1682</t>
  </si>
  <si>
    <t>VPN1681</t>
  </si>
  <si>
    <t>10.254.240.61</t>
  </si>
  <si>
    <t>10.254.240.62</t>
  </si>
  <si>
    <t>10.254.240.60</t>
  </si>
  <si>
    <t>10.5.116.145</t>
  </si>
  <si>
    <t>10.255.129.169</t>
  </si>
  <si>
    <t>10.0.214.33</t>
  </si>
  <si>
    <t xml:space="preserve">28.10.2021 Запрос на ТВ 1G отправлен </t>
  </si>
  <si>
    <t xml:space="preserve">28.10.2021 Запрос на ТВ 2G отправлен </t>
  </si>
  <si>
    <t xml:space="preserve">28.10.21 Запрос отправлен </t>
  </si>
  <si>
    <t>VPN0977</t>
  </si>
  <si>
    <t>VPN1313</t>
  </si>
  <si>
    <t>VPN1680</t>
  </si>
  <si>
    <t>VPN0378</t>
  </si>
  <si>
    <t>SMS2</t>
  </si>
  <si>
    <t>VPN0468P</t>
  </si>
  <si>
    <t>VPN0023P</t>
  </si>
  <si>
    <t>VPN0021P</t>
  </si>
  <si>
    <t>VPN0022P</t>
  </si>
  <si>
    <t>VPN0024P</t>
  </si>
  <si>
    <t>VPN0547P</t>
  </si>
  <si>
    <t>VPN0772P</t>
  </si>
  <si>
    <t>VPN0025P</t>
  </si>
  <si>
    <t>VPN1254P</t>
  </si>
  <si>
    <t>VPN1236P</t>
  </si>
  <si>
    <t>VPN1570P</t>
  </si>
  <si>
    <t>Karaotkel</t>
  </si>
  <si>
    <t>10.1.30.144</t>
  </si>
  <si>
    <t>10.1.30.145</t>
  </si>
  <si>
    <t>10.1.30.146</t>
  </si>
  <si>
    <t>10.1.30.48</t>
  </si>
  <si>
    <t>10.1.30.49</t>
  </si>
  <si>
    <t>10.1.30.50</t>
  </si>
  <si>
    <t>10.1.30.52</t>
  </si>
  <si>
    <t>10.1.30.53</t>
  </si>
  <si>
    <t>10.1.30.54</t>
  </si>
  <si>
    <t>10.253.240.0</t>
  </si>
  <si>
    <t>10.253.240.1</t>
  </si>
  <si>
    <t>10.253.240.2</t>
  </si>
  <si>
    <t>MuI</t>
  </si>
  <si>
    <t>VPN0286</t>
  </si>
  <si>
    <t>VPN0640P</t>
  </si>
  <si>
    <t>VPN0200P</t>
  </si>
  <si>
    <t>VPN0196P</t>
  </si>
  <si>
    <t>VPN0201P</t>
  </si>
  <si>
    <t>VPN0317P</t>
  </si>
  <si>
    <t>VPN0776P</t>
  </si>
  <si>
    <t>VPN0197P</t>
  </si>
  <si>
    <t>VPN0199P</t>
  </si>
  <si>
    <t>VPN0198P</t>
  </si>
  <si>
    <t>VPN0288P</t>
  </si>
  <si>
    <t>VPN1733</t>
  </si>
  <si>
    <t>VPN1734</t>
  </si>
  <si>
    <t>VPN1735</t>
  </si>
  <si>
    <t>VPN1737</t>
  </si>
  <si>
    <t>VPN1736</t>
  </si>
  <si>
    <t>VPN1738</t>
  </si>
  <si>
    <t>VPN1487</t>
  </si>
  <si>
    <t>VPN0392P</t>
  </si>
  <si>
    <t>VPN0109P</t>
  </si>
  <si>
    <t>VPN0111P</t>
  </si>
  <si>
    <t>VPN0342P</t>
  </si>
  <si>
    <t>VPN0773P</t>
  </si>
  <si>
    <t>VPN0110P</t>
  </si>
  <si>
    <t>VPN0108P</t>
  </si>
  <si>
    <t>VPN0375P</t>
  </si>
  <si>
    <t>VPN0107P</t>
  </si>
  <si>
    <t>VPN1112P</t>
  </si>
  <si>
    <t>VPN1237P</t>
  </si>
  <si>
    <t>VPN1653</t>
  </si>
  <si>
    <t>VPN1543</t>
  </si>
  <si>
    <t>VPN1544</t>
  </si>
  <si>
    <t>VPN1545</t>
  </si>
  <si>
    <t>VPN1672</t>
  </si>
  <si>
    <t>VPN1673</t>
  </si>
  <si>
    <t>VPN1674</t>
  </si>
  <si>
    <t>Shilikti Aktobe CE1</t>
  </si>
  <si>
    <t>Karakol Atyrau CE1</t>
  </si>
  <si>
    <t>Karakol Astana CE1</t>
  </si>
  <si>
    <t>10.14.156.65</t>
  </si>
  <si>
    <t>10.13.156.65</t>
  </si>
  <si>
    <t>10.254.242.145</t>
  </si>
  <si>
    <t>KostanayCE2</t>
  </si>
  <si>
    <t>Karakol(Alm) Almaty CE1</t>
  </si>
  <si>
    <t>VPN1725</t>
  </si>
  <si>
    <t>10.5.117.17</t>
  </si>
  <si>
    <t>10.14.60.65</t>
  </si>
  <si>
    <t>10.255.245.113</t>
  </si>
  <si>
    <t>Prorva-Tenisservis</t>
  </si>
  <si>
    <t>Zholymbet</t>
  </si>
  <si>
    <t>10.1.36.0</t>
  </si>
  <si>
    <t>10.1.36.1</t>
  </si>
  <si>
    <t>10.1.36.2</t>
  </si>
  <si>
    <t>10.1.36.4</t>
  </si>
  <si>
    <t>10.1.36.5</t>
  </si>
  <si>
    <t>10.1.36.6</t>
  </si>
  <si>
    <t>10.1.36.8</t>
  </si>
  <si>
    <t>10.1.36.9</t>
  </si>
  <si>
    <t>10.1.36.10</t>
  </si>
  <si>
    <t>10.1.36.12</t>
  </si>
  <si>
    <t>10.1.36.13</t>
  </si>
  <si>
    <t>10.1.36.14</t>
  </si>
  <si>
    <t>VPN1756</t>
  </si>
  <si>
    <t>VPN1757</t>
  </si>
  <si>
    <t>VPN1758</t>
  </si>
  <si>
    <t>VPN1759</t>
  </si>
  <si>
    <t>ID003324</t>
  </si>
  <si>
    <t>ID000612</t>
  </si>
  <si>
    <t>VPN0127P</t>
  </si>
  <si>
    <t>VPN0125P</t>
  </si>
  <si>
    <t>VPN0122P</t>
  </si>
  <si>
    <t>VPN0319P</t>
  </si>
  <si>
    <t>VPN0336P</t>
  </si>
  <si>
    <t>VPN0774P</t>
  </si>
  <si>
    <t>VPN0124P</t>
  </si>
  <si>
    <t>VPN0126P</t>
  </si>
  <si>
    <t>VPN0795P</t>
  </si>
  <si>
    <t>VPN0440P</t>
  </si>
  <si>
    <t>VPN0123P</t>
  </si>
  <si>
    <t>VPN1278P</t>
  </si>
  <si>
    <t>VPN1649P</t>
  </si>
  <si>
    <t>VPN1775</t>
  </si>
  <si>
    <t>VPN1776</t>
  </si>
  <si>
    <t>VPN1777</t>
  </si>
  <si>
    <t>VPN1778</t>
  </si>
  <si>
    <t>VPN1779</t>
  </si>
  <si>
    <t>VPN1780</t>
  </si>
  <si>
    <t>10.192.165.65/26</t>
  </si>
  <si>
    <t>10.196.165.65/26</t>
  </si>
  <si>
    <t>10.5.68.49/28</t>
  </si>
  <si>
    <t>VPN1760</t>
  </si>
  <si>
    <t>VPN1761</t>
  </si>
  <si>
    <t>VPN1762</t>
  </si>
  <si>
    <t>VPN1763</t>
  </si>
  <si>
    <t>10.1.36.16</t>
  </si>
  <si>
    <t>10.1.36.17</t>
  </si>
  <si>
    <t>10.1.36.18</t>
  </si>
  <si>
    <t>VPN1773</t>
  </si>
  <si>
    <t>VPN1770</t>
  </si>
  <si>
    <t>VPN1771</t>
  </si>
  <si>
    <t>VPN1772</t>
  </si>
  <si>
    <t>VPN1774</t>
  </si>
  <si>
    <t>VPN1781</t>
  </si>
  <si>
    <t>VPN1782</t>
  </si>
  <si>
    <t>VPN1783</t>
  </si>
  <si>
    <t>VPN1784</t>
  </si>
  <si>
    <t>VPN0409P</t>
  </si>
  <si>
    <t>VPN0032P</t>
  </si>
  <si>
    <t>VPN0030P</t>
  </si>
  <si>
    <t>VPN0354P</t>
  </si>
  <si>
    <t>VPN0031P</t>
  </si>
  <si>
    <t>VPN0034P</t>
  </si>
  <si>
    <t>VPN0548P</t>
  </si>
  <si>
    <t>VPN0033P</t>
  </si>
  <si>
    <t>VPN1597P</t>
  </si>
  <si>
    <t xml:space="preserve">Atakent </t>
  </si>
  <si>
    <t>10.1.36.20</t>
  </si>
  <si>
    <t>10.1.36.21</t>
  </si>
  <si>
    <t>10.1.36.22</t>
  </si>
  <si>
    <t>10.1.36.24</t>
  </si>
  <si>
    <t>10.1.36.25</t>
  </si>
  <si>
    <t>10.1.36.26</t>
  </si>
  <si>
    <t>10.1.36.28</t>
  </si>
  <si>
    <t>10.1.36.29</t>
  </si>
  <si>
    <t>10.1.36.30</t>
  </si>
  <si>
    <t>10.1.36.32</t>
  </si>
  <si>
    <t>10.1.36.33</t>
  </si>
  <si>
    <t>10.1.36.34</t>
  </si>
  <si>
    <t>09.12.2021 ТВ есть. ТВ имеется, отправили в регион на организацию LM</t>
  </si>
  <si>
    <t>09.12.2021 Нет ТВ</t>
  </si>
  <si>
    <t>STS2</t>
  </si>
  <si>
    <t>13.12.2021 ТВ есть. ТВ имеется, отправили в регион на организацию LM</t>
  </si>
  <si>
    <t>Ganushkino Atyrau CE1</t>
  </si>
  <si>
    <t>Shiderty</t>
  </si>
  <si>
    <t>Shiderty Pavlodar CE1</t>
  </si>
  <si>
    <t>10.1.36.36</t>
  </si>
  <si>
    <t>10.1.36.37</t>
  </si>
  <si>
    <t>10.1.36.38</t>
  </si>
  <si>
    <t>10.1.36.40</t>
  </si>
  <si>
    <t>10.1.36.41</t>
  </si>
  <si>
    <t>10.1.36.42</t>
  </si>
  <si>
    <t>10.1.36.44</t>
  </si>
  <si>
    <t>10.1.36.45</t>
  </si>
  <si>
    <t>10.1.36.46</t>
  </si>
  <si>
    <t>VPN1881</t>
  </si>
  <si>
    <t>VPN1882</t>
  </si>
  <si>
    <t>VPN1884</t>
  </si>
  <si>
    <t>VPN1883</t>
  </si>
  <si>
    <t>VPN1694</t>
  </si>
  <si>
    <t>VPN1876</t>
  </si>
  <si>
    <t>10.14.121.160/28</t>
  </si>
  <si>
    <t>10.14.82.97</t>
  </si>
  <si>
    <t>10.13.82.97</t>
  </si>
  <si>
    <t>VPN1700</t>
  </si>
  <si>
    <t>VPN1701</t>
  </si>
  <si>
    <t>VPN1699</t>
  </si>
  <si>
    <t>VPN1702</t>
  </si>
  <si>
    <t>10.255.243.1</t>
  </si>
  <si>
    <t>VPN1698</t>
  </si>
  <si>
    <t>24.12.2021 ТВ есть, отправлен запрос на орг LM</t>
  </si>
  <si>
    <t>VPN1886</t>
  </si>
  <si>
    <t>VPN1392P</t>
  </si>
  <si>
    <t>10.1.34.250</t>
  </si>
  <si>
    <t>10.1.34.254</t>
  </si>
  <si>
    <t>10.1.34.249</t>
  </si>
  <si>
    <t>10.1.34.253</t>
  </si>
  <si>
    <t>Atyrau NE2</t>
  </si>
  <si>
    <t>Shymkent NE2</t>
  </si>
  <si>
    <t>PIC(ATY2)</t>
  </si>
  <si>
    <t>PIC(SHM2)</t>
  </si>
  <si>
    <t>VPN1875</t>
  </si>
  <si>
    <t>VPN1874</t>
  </si>
  <si>
    <t>10.1.36.49</t>
  </si>
  <si>
    <t>10.1.36.53</t>
  </si>
  <si>
    <t>10.1.36.50</t>
  </si>
  <si>
    <t>10.1.36.54</t>
  </si>
  <si>
    <t>PIC(ATY)</t>
  </si>
  <si>
    <t>PIC(SHM)</t>
  </si>
  <si>
    <t>ID004205</t>
  </si>
  <si>
    <t>VPN0385P</t>
  </si>
  <si>
    <t>VPN0096P</t>
  </si>
  <si>
    <t>VPN0094P</t>
  </si>
  <si>
    <t>VPN0352P</t>
  </si>
  <si>
    <t>VPN0097P</t>
  </si>
  <si>
    <t>VPN0098P</t>
  </si>
  <si>
    <t>VPN0095P</t>
  </si>
  <si>
    <t>VPN1269P</t>
  </si>
  <si>
    <t>VPN1341P</t>
  </si>
  <si>
    <t>10.1.35.252</t>
  </si>
  <si>
    <t>10.1.35.253</t>
  </si>
  <si>
    <t>10.1.35.254</t>
  </si>
  <si>
    <t>05.01.2022 ТВ есть. ТВ имеется, отправили в регион на организацию LM</t>
  </si>
  <si>
    <t>05.01.2022 ТВ НЕТ.</t>
  </si>
  <si>
    <t>VPN1887</t>
  </si>
  <si>
    <t>10.13.5.1</t>
  </si>
  <si>
    <t>Sholakorgan Shymkent CE2</t>
  </si>
  <si>
    <t>10.14.205.161</t>
  </si>
  <si>
    <t>10.13.205.161</t>
  </si>
  <si>
    <t>Beyneu Aktau CE2</t>
  </si>
  <si>
    <t>10.5.112.33</t>
  </si>
  <si>
    <t>VPN1890</t>
  </si>
  <si>
    <t>VPN1889</t>
  </si>
  <si>
    <t>17.01.2022 Нет ТВ.</t>
  </si>
  <si>
    <t>17.01.2022 Нет ТВ</t>
  </si>
  <si>
    <t>17.01.2021 ТВ есть, отправлен запрос на орг LM</t>
  </si>
  <si>
    <t>Moynkum(KATKO)</t>
  </si>
  <si>
    <t>10.1.36.56</t>
  </si>
  <si>
    <t>10.1.36.57</t>
  </si>
  <si>
    <t>10.1.36.58</t>
  </si>
  <si>
    <t>10.1.36.60</t>
  </si>
  <si>
    <t>10.1.36.61</t>
  </si>
  <si>
    <t>10.1.36.62</t>
  </si>
  <si>
    <t>10.1.36.64</t>
  </si>
  <si>
    <t>10.1.36.65</t>
  </si>
  <si>
    <t>10.1.36.66</t>
  </si>
  <si>
    <t>10.1.36.68</t>
  </si>
  <si>
    <t>10.1.36.69</t>
  </si>
  <si>
    <t>10.1.36.70</t>
  </si>
  <si>
    <t>10.254.240.64</t>
  </si>
  <si>
    <t>10.254.240.65</t>
  </si>
  <si>
    <t>10.254.240.66</t>
  </si>
  <si>
    <t>10.253.240.4</t>
  </si>
  <si>
    <t>10.253.240.5</t>
  </si>
  <si>
    <t>10.253.240.6</t>
  </si>
  <si>
    <t>10.1.36.72</t>
  </si>
  <si>
    <t>10.1.36.73</t>
  </si>
  <si>
    <t>10.1.36.74</t>
  </si>
  <si>
    <t>VPN1728</t>
  </si>
  <si>
    <t>10.1.60.40</t>
  </si>
  <si>
    <t>10.1.60.41</t>
  </si>
  <si>
    <t>10.1.60.42</t>
  </si>
  <si>
    <t>Dossor Atyrau CE1</t>
  </si>
  <si>
    <t>10.1.36.77</t>
  </si>
  <si>
    <t>10.1.36.76</t>
  </si>
  <si>
    <t>10.1.36.78</t>
  </si>
  <si>
    <t>10.1.36.80</t>
  </si>
  <si>
    <t>10.1.36.81</t>
  </si>
  <si>
    <t>10.1.36.82</t>
  </si>
  <si>
    <t>10.1.36.84</t>
  </si>
  <si>
    <t>10.1.36.85</t>
  </si>
  <si>
    <t>10.1.36.86</t>
  </si>
  <si>
    <t>10.1.36.88</t>
  </si>
  <si>
    <t>10.1.36.89</t>
  </si>
  <si>
    <t>10.1.36.90</t>
  </si>
  <si>
    <t>10.1.40.0</t>
  </si>
  <si>
    <t>10.1.40.1</t>
  </si>
  <si>
    <t>10.1.40.2</t>
  </si>
  <si>
    <t>10.1.40.4</t>
  </si>
  <si>
    <t>10.1.40.5</t>
  </si>
  <si>
    <t>10.1.40.8</t>
  </si>
  <si>
    <t>10.1.40.12</t>
  </si>
  <si>
    <t>10.1.40.6</t>
  </si>
  <si>
    <t>10.1.40.9</t>
  </si>
  <si>
    <t>10.1.40.10</t>
  </si>
  <si>
    <t>10.1.40.13</t>
  </si>
  <si>
    <t>10.1.40.14</t>
  </si>
  <si>
    <t>10.1.40.128</t>
  </si>
  <si>
    <t>10.1.40.129</t>
  </si>
  <si>
    <t>10.1.40.130</t>
  </si>
  <si>
    <t>10.1.40.132</t>
  </si>
  <si>
    <t>10.1.40.133</t>
  </si>
  <si>
    <t>10.1.40.134</t>
  </si>
  <si>
    <t>10.1.40.136</t>
  </si>
  <si>
    <t>10.1.40.137</t>
  </si>
  <si>
    <t>10.1.40.138</t>
  </si>
  <si>
    <t>10.1.40.140</t>
  </si>
  <si>
    <t>10.1.40.141</t>
  </si>
  <si>
    <t>10.1.40.142</t>
  </si>
  <si>
    <t>BOZOI Aktobe CE2</t>
  </si>
  <si>
    <t>10.5.117.33</t>
  </si>
  <si>
    <t>10.14.60.81</t>
  </si>
  <si>
    <t>ABIS1</t>
  </si>
  <si>
    <t>ABIS2</t>
  </si>
  <si>
    <t>Shu Taraz CE1</t>
  </si>
  <si>
    <t>ID001400</t>
  </si>
  <si>
    <t>Karabulak(Alm) Almaty CE1</t>
  </si>
  <si>
    <t>Karabulak(Tald) Taldykorgan CE1</t>
  </si>
  <si>
    <t>10.254.240.68</t>
  </si>
  <si>
    <t>10.254.240.69</t>
  </si>
  <si>
    <t>10.254.240.70</t>
  </si>
  <si>
    <t>AlmatyCE3R</t>
  </si>
  <si>
    <t>10.0.211.92</t>
  </si>
  <si>
    <t>10.0.211.93</t>
  </si>
  <si>
    <t>10.0.211.94</t>
  </si>
  <si>
    <t>10.0.211.4</t>
  </si>
  <si>
    <t>10.0.211.5</t>
  </si>
  <si>
    <t>10.0.211.6</t>
  </si>
  <si>
    <t>10.0.210.12</t>
  </si>
  <si>
    <t>10.0.210.13</t>
  </si>
  <si>
    <t>10.0.210.14</t>
  </si>
  <si>
    <t>10.254.240.72</t>
  </si>
  <si>
    <t>10.254.240.73</t>
  </si>
  <si>
    <t>10.254.240.74</t>
  </si>
  <si>
    <t>10.1.56.0</t>
  </si>
  <si>
    <t>10.1.56.1</t>
  </si>
  <si>
    <t>10.1.56.2</t>
  </si>
  <si>
    <t>10.1.56.4</t>
  </si>
  <si>
    <t>10.1.56.5</t>
  </si>
  <si>
    <t>10.1.56.6</t>
  </si>
  <si>
    <t>10.1.56.8</t>
  </si>
  <si>
    <t>10.1.56.9</t>
  </si>
  <si>
    <t>10.1.56.10</t>
  </si>
  <si>
    <t>10.1.56.12</t>
  </si>
  <si>
    <t>10.1.56.13</t>
  </si>
  <si>
    <t>10.1.56.14</t>
  </si>
  <si>
    <t>10.1.56.16</t>
  </si>
  <si>
    <t>10.1.56.17</t>
  </si>
  <si>
    <t>10.1.56.18</t>
  </si>
  <si>
    <t>10.1.56.20</t>
  </si>
  <si>
    <t>10.1.56.24</t>
  </si>
  <si>
    <t>10.1.56.21</t>
  </si>
  <si>
    <t>10.1.56.22</t>
  </si>
  <si>
    <t>10.1.56.25</t>
  </si>
  <si>
    <t>10.1.56.26</t>
  </si>
  <si>
    <t>10.1.56.28</t>
  </si>
  <si>
    <t>10.1.56.29</t>
  </si>
  <si>
    <t>10.1.56.36</t>
  </si>
  <si>
    <t>10.1.56.37</t>
  </si>
  <si>
    <t>10.1.56.38</t>
  </si>
  <si>
    <t>10.1.56.40</t>
  </si>
  <si>
    <t>10.1.56.41</t>
  </si>
  <si>
    <t>10.1.56.42</t>
  </si>
  <si>
    <t>10.1.56.44</t>
  </si>
  <si>
    <t>10.1.56.45</t>
  </si>
  <si>
    <t>10.1.56.46</t>
  </si>
  <si>
    <t>10.1.56.48</t>
  </si>
  <si>
    <t>10.1.56.49</t>
  </si>
  <si>
    <t>10.1.56.50</t>
  </si>
  <si>
    <t>10.1.56.52</t>
  </si>
  <si>
    <t>10.1.56.53</t>
  </si>
  <si>
    <t>10.1.56.54</t>
  </si>
  <si>
    <t>10.1.56.56</t>
  </si>
  <si>
    <t>10.1.56.57</t>
  </si>
  <si>
    <t>10.1.56.58</t>
  </si>
  <si>
    <t>10.1.56.60</t>
  </si>
  <si>
    <t>10.1.56.61</t>
  </si>
  <si>
    <t>10.1.56.62</t>
  </si>
  <si>
    <t xml:space="preserve">Shu </t>
  </si>
  <si>
    <t>10.255.245.241</t>
  </si>
  <si>
    <t>Syundyk Atyrau CE1</t>
  </si>
  <si>
    <t>Нет ТВ. 27.01.2022</t>
  </si>
  <si>
    <t>31.01.2022 Заявку отменили, нет необходимости</t>
  </si>
  <si>
    <t>ID000471</t>
  </si>
  <si>
    <t>ID002350</t>
  </si>
  <si>
    <t>ID000466</t>
  </si>
  <si>
    <t>ID000467</t>
  </si>
  <si>
    <t>ID001289</t>
  </si>
  <si>
    <t>ID001304</t>
  </si>
  <si>
    <t>ID002305</t>
  </si>
  <si>
    <t>ID000681</t>
  </si>
  <si>
    <t>ID000299</t>
  </si>
  <si>
    <t>ID001633</t>
  </si>
  <si>
    <t>ID004392</t>
  </si>
  <si>
    <t>ID003259</t>
  </si>
  <si>
    <t>ID003258</t>
  </si>
  <si>
    <t>ID000333</t>
  </si>
  <si>
    <t>ID000664</t>
  </si>
  <si>
    <t>ID000423</t>
  </si>
  <si>
    <t>ID000424</t>
  </si>
  <si>
    <t>Tauysh Kostanay CE1</t>
  </si>
  <si>
    <t>Tauysh</t>
  </si>
  <si>
    <t>10.255.246.1</t>
  </si>
  <si>
    <t>10.14.60.97</t>
  </si>
  <si>
    <t>Zko-Aktau Uralsk CE1</t>
  </si>
  <si>
    <t>10.14.60.113/28</t>
  </si>
  <si>
    <t>10.255.246.17/28</t>
  </si>
  <si>
    <t>10.5.117.49/28</t>
  </si>
  <si>
    <t>VPN1901</t>
  </si>
  <si>
    <t>VPN1903</t>
  </si>
  <si>
    <t>VPN1904</t>
  </si>
  <si>
    <t>VPN1902</t>
  </si>
  <si>
    <t>VPN1908</t>
  </si>
  <si>
    <t>1234 </t>
  </si>
  <si>
    <t>1237 </t>
  </si>
  <si>
    <t>VPN1735Р</t>
  </si>
  <si>
    <t>Вся сигнализаци Core сети</t>
  </si>
  <si>
    <t xml:space="preserve">Междугородний MPLS </t>
  </si>
  <si>
    <t>B2B LTE</t>
  </si>
  <si>
    <t>Гео резервирование баз данных</t>
  </si>
  <si>
    <t>B2B Kaspi bank</t>
  </si>
  <si>
    <t xml:space="preserve">LTE трафик </t>
  </si>
  <si>
    <t xml:space="preserve">FIX интернет </t>
  </si>
  <si>
    <t xml:space="preserve">сервис OFD </t>
  </si>
  <si>
    <t>Мироринг</t>
  </si>
  <si>
    <t>FL 0003</t>
  </si>
  <si>
    <t>ХС-2554</t>
  </si>
  <si>
    <t>Мониторинг/доступ</t>
  </si>
  <si>
    <t>Site to site для клиентов</t>
  </si>
  <si>
    <t>Сервис AstanaGroup</t>
  </si>
  <si>
    <t>Шаринг LTE</t>
  </si>
  <si>
    <t xml:space="preserve">Шаринг LTE </t>
  </si>
  <si>
    <t>Телеметрия</t>
  </si>
  <si>
    <t>B2B Halyk bank</t>
  </si>
  <si>
    <t>Описание</t>
  </si>
  <si>
    <t>2G/3G/4G дата трафик</t>
  </si>
  <si>
    <t>Канал мониторинга станций</t>
  </si>
  <si>
    <t xml:space="preserve">Канал мониторинга оборудования </t>
  </si>
  <si>
    <t>Голос</t>
  </si>
  <si>
    <t>IP Телефония (Гребнев)</t>
  </si>
  <si>
    <t>3G интерфейс от станции до Контролера</t>
  </si>
  <si>
    <t>2G интерфейс от станции до Контролера</t>
  </si>
  <si>
    <t>10.1.36.92</t>
  </si>
  <si>
    <t>10.1.36.93</t>
  </si>
  <si>
    <t>10.1.36.94</t>
  </si>
  <si>
    <t>VPN1918</t>
  </si>
  <si>
    <t>VPN1919</t>
  </si>
  <si>
    <t>VPN1920</t>
  </si>
  <si>
    <t>10.13.48.65</t>
  </si>
  <si>
    <t>10.1.36.96</t>
  </si>
  <si>
    <t>10.1.36.97</t>
  </si>
  <si>
    <t>10.1.36.98</t>
  </si>
  <si>
    <t>Aspara Taraz CE1</t>
  </si>
  <si>
    <t>10.1.25.244</t>
  </si>
  <si>
    <t>10.1.25.245</t>
  </si>
  <si>
    <t>10.1.25.246</t>
  </si>
  <si>
    <t>10.1.36.100</t>
  </si>
  <si>
    <t>10.1.36.101</t>
  </si>
  <si>
    <t>10.1.36.102</t>
  </si>
  <si>
    <t>10.0.211.96</t>
  </si>
  <si>
    <t>10.0.211.97</t>
  </si>
  <si>
    <t>10.0.211.98</t>
  </si>
  <si>
    <t>10.0.219.4</t>
  </si>
  <si>
    <t>10.0.219.5</t>
  </si>
  <si>
    <t>10.0.219.6</t>
  </si>
  <si>
    <t>10.254.240.76</t>
  </si>
  <si>
    <t>10.254.240.77</t>
  </si>
  <si>
    <t>10.254.240.78</t>
  </si>
  <si>
    <t>10.1.62.128</t>
  </si>
  <si>
    <t>10.1.62.129</t>
  </si>
  <si>
    <t>10.1.62.130</t>
  </si>
  <si>
    <t>10.1.62.132</t>
  </si>
  <si>
    <t>10.1.62.133</t>
  </si>
  <si>
    <t>10.1.62.134</t>
  </si>
  <si>
    <t>10.1.62.136</t>
  </si>
  <si>
    <t>10.1.62.137</t>
  </si>
  <si>
    <t>10.1.62.138</t>
  </si>
  <si>
    <t>10.1.62.140</t>
  </si>
  <si>
    <t>10.1.62.141</t>
  </si>
  <si>
    <t>10.1.62.144</t>
  </si>
  <si>
    <t>10.1.62.145</t>
  </si>
  <si>
    <t>10.1.62.146</t>
  </si>
  <si>
    <t>10.1.62.148</t>
  </si>
  <si>
    <t>10.1.62.149</t>
  </si>
  <si>
    <t>10.1.62.150</t>
  </si>
  <si>
    <t>10.1.62.152</t>
  </si>
  <si>
    <t>10.1.62.153</t>
  </si>
  <si>
    <t>10.1.62.154</t>
  </si>
  <si>
    <t>10.1.62.156</t>
  </si>
  <si>
    <t>10.1.62.157</t>
  </si>
  <si>
    <t>10.1.62.158</t>
  </si>
  <si>
    <t>TurkestanCE2</t>
  </si>
  <si>
    <t>10.1.62.192</t>
  </si>
  <si>
    <t>10.1.62.193</t>
  </si>
  <si>
    <t>10.1.62.194</t>
  </si>
  <si>
    <t>10.1.62.196</t>
  </si>
  <si>
    <t>10.1.62.197</t>
  </si>
  <si>
    <t>10.1.62.198</t>
  </si>
  <si>
    <t>10.1.62.200</t>
  </si>
  <si>
    <t>10.1.62.204</t>
  </si>
  <si>
    <t>10.1.62.208</t>
  </si>
  <si>
    <t>10.1.62.212</t>
  </si>
  <si>
    <t>10.1.62.201</t>
  </si>
  <si>
    <t>10.1.62.205</t>
  </si>
  <si>
    <t>10.1.62.209</t>
  </si>
  <si>
    <t>10.1.62.213</t>
  </si>
  <si>
    <t>10.1.62.202</t>
  </si>
  <si>
    <t>10.1.62.206</t>
  </si>
  <si>
    <t>10.1.62.210</t>
  </si>
  <si>
    <t>10.1.62.214</t>
  </si>
  <si>
    <t>10.254.240.80</t>
  </si>
  <si>
    <t>10.254.240.81</t>
  </si>
  <si>
    <t>10.254.240.82</t>
  </si>
  <si>
    <t>VPN1913</t>
  </si>
  <si>
    <t>VPN1914</t>
  </si>
  <si>
    <t>VPN1915</t>
  </si>
  <si>
    <t>VPN1916</t>
  </si>
  <si>
    <t>VPN1917</t>
  </si>
  <si>
    <t>VPN1922</t>
  </si>
  <si>
    <t>10.0.211.101</t>
  </si>
  <si>
    <t>10.0.211.102</t>
  </si>
  <si>
    <t>10.0.211.100</t>
  </si>
  <si>
    <t>10.0.211.105</t>
  </si>
  <si>
    <t>10.0.211.106</t>
  </si>
  <si>
    <t>10.0.211.104</t>
  </si>
  <si>
    <t>10.0.211.109</t>
  </si>
  <si>
    <t>10.0.211.110</t>
  </si>
  <si>
    <t>10.0.211.108</t>
  </si>
  <si>
    <t>VPN0178P</t>
  </si>
  <si>
    <t>VPN0174P</t>
  </si>
  <si>
    <t>VPN0177P</t>
  </si>
  <si>
    <t>VPN0361P</t>
  </si>
  <si>
    <t>VPN0175P</t>
  </si>
  <si>
    <t>VPN0176P</t>
  </si>
  <si>
    <t>VPN0920P</t>
  </si>
  <si>
    <t>VPN0173P</t>
  </si>
  <si>
    <t>VPN1647P</t>
  </si>
  <si>
    <t>VPN1892</t>
  </si>
  <si>
    <t>VPN1911</t>
  </si>
  <si>
    <t>VPN1912</t>
  </si>
  <si>
    <t>VPN1910</t>
  </si>
  <si>
    <t>VPN1893</t>
  </si>
  <si>
    <t>VPN1894</t>
  </si>
  <si>
    <t>10.1.36.104</t>
  </si>
  <si>
    <t>10.1.36.105</t>
  </si>
  <si>
    <t>10.1.36.106</t>
  </si>
  <si>
    <t>10.1.36.108</t>
  </si>
  <si>
    <t>10.1.36.109</t>
  </si>
  <si>
    <t>10.1.36.110</t>
  </si>
  <si>
    <t>Ganushkino(Atyrau)</t>
  </si>
  <si>
    <t>VPN1880</t>
  </si>
  <si>
    <t>VPN1719</t>
  </si>
  <si>
    <t>STS3</t>
  </si>
  <si>
    <t>VPN1726</t>
  </si>
  <si>
    <t>VPN1727</t>
  </si>
  <si>
    <t>10.1.1.124</t>
  </si>
  <si>
    <t>10.1.1.125</t>
  </si>
  <si>
    <t>10.1.1.126</t>
  </si>
  <si>
    <t>10.254.240.84</t>
  </si>
  <si>
    <t>10.254.240.85</t>
  </si>
  <si>
    <t>10.254.240.86</t>
  </si>
  <si>
    <t>VPN0501Р</t>
  </si>
  <si>
    <t>VPN0153Р</t>
  </si>
  <si>
    <t>VPN0150P</t>
  </si>
  <si>
    <t>VPN0154P</t>
  </si>
  <si>
    <t>VPN0152P</t>
  </si>
  <si>
    <t>VPN0155P</t>
  </si>
  <si>
    <t>VPN0151P</t>
  </si>
  <si>
    <t>VPN1650P</t>
  </si>
  <si>
    <t>10.254.240.88</t>
  </si>
  <si>
    <t>10.254.240.89</t>
  </si>
  <si>
    <t>10.254.240.90</t>
  </si>
  <si>
    <t>10.1.4.112</t>
  </si>
  <si>
    <t>10.1.4.113</t>
  </si>
  <si>
    <t>10.1.4.114</t>
  </si>
  <si>
    <t>10.1.4.116</t>
  </si>
  <si>
    <t>10.1.4.117</t>
  </si>
  <si>
    <t>10.1.4.118</t>
  </si>
  <si>
    <t>10.1.60.96</t>
  </si>
  <si>
    <t>10.1.60.97</t>
  </si>
  <si>
    <t>10.1.60.98</t>
  </si>
  <si>
    <t>10.1.58.52</t>
  </si>
  <si>
    <t>10.1.58.53</t>
  </si>
  <si>
    <t>10.1.58.54</t>
  </si>
  <si>
    <t>10.1.4.128</t>
  </si>
  <si>
    <t>10.1.4.129</t>
  </si>
  <si>
    <t>10.1.4.130</t>
  </si>
  <si>
    <t>10.1.60.48</t>
  </si>
  <si>
    <t>10.1.60.49</t>
  </si>
  <si>
    <t>10.1.60.50</t>
  </si>
  <si>
    <t>10.1.36.112</t>
  </si>
  <si>
    <t>10.1.36.113</t>
  </si>
  <si>
    <t>10.1.36.114</t>
  </si>
  <si>
    <t>10.1.36.116</t>
  </si>
  <si>
    <t>10.1.36.117</t>
  </si>
  <si>
    <t>10.1.36.118</t>
  </si>
  <si>
    <t>10.1.59.160</t>
  </si>
  <si>
    <t>10.1.59.161</t>
  </si>
  <si>
    <t>10.1.59.162</t>
  </si>
  <si>
    <t>10.1.36.120</t>
  </si>
  <si>
    <t>10.1.36.121</t>
  </si>
  <si>
    <t>10.1.36.122</t>
  </si>
  <si>
    <t>10.1.59.100</t>
  </si>
  <si>
    <t>10.1.59.101</t>
  </si>
  <si>
    <t>10.1.59.102</t>
  </si>
  <si>
    <t>10.1.7.160</t>
  </si>
  <si>
    <t>10.1.7.161</t>
  </si>
  <si>
    <t>10.1.7.162</t>
  </si>
  <si>
    <t>10.1.36.124</t>
  </si>
  <si>
    <t>10.1.36.125</t>
  </si>
  <si>
    <t>10.1.36.126</t>
  </si>
  <si>
    <t>10.1.58.224</t>
  </si>
  <si>
    <t>10.1.58.225</t>
  </si>
  <si>
    <t>10.1.58.226</t>
  </si>
  <si>
    <t>10.1.36.128</t>
  </si>
  <si>
    <t>10.1.36.129</t>
  </si>
  <si>
    <t>10.1.36.130</t>
  </si>
  <si>
    <t>10.1.58.104</t>
  </si>
  <si>
    <t>10.1.58.105</t>
  </si>
  <si>
    <t>10.1.58.106</t>
  </si>
  <si>
    <t>10.1.36.132</t>
  </si>
  <si>
    <t>10.1.36.133</t>
  </si>
  <si>
    <t>10.1.36.134</t>
  </si>
  <si>
    <t>10.1.59.36</t>
  </si>
  <si>
    <t>10.1.59.37</t>
  </si>
  <si>
    <t>10.1.59.38</t>
  </si>
  <si>
    <t>10.1.7.68</t>
  </si>
  <si>
    <t>10.1.7.69</t>
  </si>
  <si>
    <t>10.1.7.70</t>
  </si>
  <si>
    <t>10.1.36.136</t>
  </si>
  <si>
    <t>10.1.36.137</t>
  </si>
  <si>
    <t>10.1.36.138</t>
  </si>
  <si>
    <t>10.1.6.24</t>
  </si>
  <si>
    <t>10.1.6.25</t>
  </si>
  <si>
    <t>10.1.6.26</t>
  </si>
  <si>
    <t>10.1.62.36</t>
  </si>
  <si>
    <t>10.1.62.37</t>
  </si>
  <si>
    <t>10.1.62.38</t>
  </si>
  <si>
    <t>10.1.1.28</t>
  </si>
  <si>
    <t>10.1.1.29</t>
  </si>
  <si>
    <t>10.1.1.30</t>
  </si>
  <si>
    <t>10.1.56.124</t>
  </si>
  <si>
    <t>10.1.56.125</t>
  </si>
  <si>
    <t>10.1.56.126</t>
  </si>
  <si>
    <t>10.1.7.164</t>
  </si>
  <si>
    <t>10.1.7.165</t>
  </si>
  <si>
    <t>10.1.7.166</t>
  </si>
  <si>
    <t>10.1.36.140</t>
  </si>
  <si>
    <t>10.1.36.141</t>
  </si>
  <si>
    <t>10.1.36.142</t>
  </si>
  <si>
    <t>10.1.7.168</t>
  </si>
  <si>
    <t>10.1.7.169</t>
  </si>
  <si>
    <t>10.1.7.170</t>
  </si>
  <si>
    <t>10.1.5.28</t>
  </si>
  <si>
    <t>10.1.5.29</t>
  </si>
  <si>
    <t>10.1.5.30</t>
  </si>
  <si>
    <t>10.1.7.52</t>
  </si>
  <si>
    <t>10.1.7.53</t>
  </si>
  <si>
    <t>10.1.7.54</t>
  </si>
  <si>
    <t>Merke(L2) Taraz CE1</t>
  </si>
  <si>
    <t>VPN1926</t>
  </si>
  <si>
    <t>VPN1925</t>
  </si>
  <si>
    <t>VPN1927</t>
  </si>
  <si>
    <t>VPN1923</t>
  </si>
  <si>
    <t>VPN1924</t>
  </si>
  <si>
    <t xml:space="preserve">ХС-2402 </t>
  </si>
  <si>
    <t>vlan 999</t>
  </si>
  <si>
    <t xml:space="preserve"> ХС-2541/VLAN732</t>
  </si>
  <si>
    <t>Vlan 732</t>
  </si>
  <si>
    <t>VLAN961</t>
  </si>
  <si>
    <t>10.5.117.65</t>
  </si>
  <si>
    <t>VPN1907</t>
  </si>
  <si>
    <t>VPN1906</t>
  </si>
  <si>
    <t>VPN1905</t>
  </si>
  <si>
    <t>10.1.36.144</t>
  </si>
  <si>
    <t>10.1.36.145</t>
  </si>
  <si>
    <t>10.1.36.146</t>
  </si>
  <si>
    <t>10.255.240.240</t>
  </si>
  <si>
    <t>10.255.240.241</t>
  </si>
  <si>
    <t>10.255.240.242</t>
  </si>
  <si>
    <t>10.255.240.244</t>
  </si>
  <si>
    <t>10.255.240.245</t>
  </si>
  <si>
    <t>10.255.240.246</t>
  </si>
  <si>
    <t>VPN1583</t>
  </si>
  <si>
    <t>Koyandy Astana CE1</t>
  </si>
  <si>
    <t>Koyandy</t>
  </si>
  <si>
    <t>Kuryk</t>
  </si>
  <si>
    <t>10.1.36.148</t>
  </si>
  <si>
    <t>10.1.36.149</t>
  </si>
  <si>
    <t>10.1.36.150</t>
  </si>
  <si>
    <t>10.1.36.152</t>
  </si>
  <si>
    <t>10.1.36.153</t>
  </si>
  <si>
    <t>10.1.36.154</t>
  </si>
  <si>
    <t>10.1.36.156</t>
  </si>
  <si>
    <t>10.1.36.160</t>
  </si>
  <si>
    <t>10.1.36.157</t>
  </si>
  <si>
    <t>10.1.36.161</t>
  </si>
  <si>
    <t>10.1.36.158</t>
  </si>
  <si>
    <t>10.1.36.162</t>
  </si>
  <si>
    <t>10.255.240.249</t>
  </si>
  <si>
    <t>10.255.240.250</t>
  </si>
  <si>
    <t>10.255.240.248</t>
  </si>
  <si>
    <t>Малика: необходимо направить запрос на расформирование</t>
  </si>
  <si>
    <t xml:space="preserve">Малика: необходимо отправить запрос на расформирование </t>
  </si>
  <si>
    <t xml:space="preserve"> ДБ АО Сбербанк</t>
  </si>
  <si>
    <t>10.0.212.65</t>
  </si>
  <si>
    <t>10.5.117.81</t>
  </si>
  <si>
    <t>10.14.60.129</t>
  </si>
  <si>
    <t>VPN1930</t>
  </si>
  <si>
    <t>VPN1931</t>
  </si>
  <si>
    <t>10.254.240.92</t>
  </si>
  <si>
    <t>10.254.240.93</t>
  </si>
  <si>
    <t>10.254.240.94</t>
  </si>
  <si>
    <t>VPN0008P</t>
  </si>
  <si>
    <t>VPN0009P</t>
  </si>
  <si>
    <t>VPN0001P</t>
  </si>
  <si>
    <t>VPN0005P</t>
  </si>
  <si>
    <t>VPN0453P</t>
  </si>
  <si>
    <t>VPN0312P</t>
  </si>
  <si>
    <t>VPN0789P</t>
  </si>
  <si>
    <t>VPN0003P</t>
  </si>
  <si>
    <t>VPN0007P</t>
  </si>
  <si>
    <t>VPN0309P</t>
  </si>
  <si>
    <t>VPN0435P</t>
  </si>
  <si>
    <t>VPN0374P</t>
  </si>
  <si>
    <t>VPN1309P</t>
  </si>
  <si>
    <t>VPN1384P</t>
  </si>
  <si>
    <t>VPN1733P</t>
  </si>
  <si>
    <t>VPN0949P</t>
  </si>
  <si>
    <t>VPN1594P</t>
  </si>
  <si>
    <t>VPN1937</t>
  </si>
  <si>
    <t>VPN1938</t>
  </si>
  <si>
    <t>VPN1940</t>
  </si>
  <si>
    <t>VPN1941</t>
  </si>
  <si>
    <t>VPN1942</t>
  </si>
  <si>
    <t>VPN1943</t>
  </si>
  <si>
    <t>10.255.240.253</t>
  </si>
  <si>
    <t>10.255.240.254</t>
  </si>
  <si>
    <t>10.255.240.252</t>
  </si>
  <si>
    <t>Zhaksybai Uralsk CE1</t>
  </si>
  <si>
    <t>10.5.117.97</t>
  </si>
  <si>
    <t>Zhibek-Zholy</t>
  </si>
  <si>
    <t>10.1.36.164</t>
  </si>
  <si>
    <t>10.1.36.165</t>
  </si>
  <si>
    <t>10.1.36.166</t>
  </si>
  <si>
    <t>10.1.36.176</t>
  </si>
  <si>
    <t>10.1.36.177</t>
  </si>
  <si>
    <t>10.1.36.178</t>
  </si>
  <si>
    <t>10.1.36.168</t>
  </si>
  <si>
    <t>10.1.36.169</t>
  </si>
  <si>
    <t>10.1.36.170</t>
  </si>
  <si>
    <t>10.1.36.172</t>
  </si>
  <si>
    <t>10.1.36.173</t>
  </si>
  <si>
    <t>10.1.36.174</t>
  </si>
  <si>
    <t>VPN1939</t>
  </si>
  <si>
    <t>VPN1955</t>
  </si>
  <si>
    <t>VPN1956</t>
  </si>
  <si>
    <t>VPN1956P</t>
  </si>
  <si>
    <t>Issyk</t>
  </si>
  <si>
    <t>Sherbakty Pavlodar CE1</t>
  </si>
  <si>
    <t>VPN1595Р</t>
  </si>
  <si>
    <t>VPN1957</t>
  </si>
  <si>
    <t>VPN1957P</t>
  </si>
  <si>
    <t>VPN1958</t>
  </si>
  <si>
    <t>VPN1959</t>
  </si>
  <si>
    <t>VPN1959P</t>
  </si>
  <si>
    <t>VPN1960</t>
  </si>
  <si>
    <t>VPN1960P</t>
  </si>
  <si>
    <t>VPN1961</t>
  </si>
  <si>
    <t>VPN1962</t>
  </si>
  <si>
    <t>VPN1962P</t>
  </si>
  <si>
    <t>VPN1963</t>
  </si>
  <si>
    <t>VPN1963P</t>
  </si>
  <si>
    <t>VPN1964</t>
  </si>
  <si>
    <t>VPN1964P</t>
  </si>
  <si>
    <t>VPN1965</t>
  </si>
  <si>
    <t>VPN1966</t>
  </si>
  <si>
    <t>VPN1967</t>
  </si>
  <si>
    <t>VPN1967P</t>
  </si>
  <si>
    <t>VPN1968</t>
  </si>
  <si>
    <t>VPN1968P</t>
  </si>
  <si>
    <t>VPN1969</t>
  </si>
  <si>
    <t>VPN1970</t>
  </si>
  <si>
    <t>VPN1971</t>
  </si>
  <si>
    <t>VPN1972</t>
  </si>
  <si>
    <t>VPN1973</t>
  </si>
  <si>
    <t>VPN1974</t>
  </si>
  <si>
    <t>VPN1977</t>
  </si>
  <si>
    <t>VPN1975</t>
  </si>
  <si>
    <t>VPN1976</t>
  </si>
  <si>
    <t>VPN1978</t>
  </si>
  <si>
    <t>VPN1951</t>
  </si>
  <si>
    <t>VPN1949</t>
  </si>
  <si>
    <t>VPN1950</t>
  </si>
  <si>
    <t>VPN1952</t>
  </si>
  <si>
    <t>10.1.36.181</t>
  </si>
  <si>
    <t>10.1.36.182</t>
  </si>
  <si>
    <t>10.1.36.186</t>
  </si>
  <si>
    <t>10.1.36.185</t>
  </si>
  <si>
    <t>10.1.36.184</t>
  </si>
  <si>
    <t>10.1.36.180</t>
  </si>
  <si>
    <t>VPN0639Р</t>
  </si>
  <si>
    <t>VPN0104Р</t>
  </si>
  <si>
    <t>VPN0102Р</t>
  </si>
  <si>
    <t>VPN0106Р</t>
  </si>
  <si>
    <t>VPN0353Р</t>
  </si>
  <si>
    <t>VPN0103Р</t>
  </si>
  <si>
    <t>VPN0101Р</t>
  </si>
  <si>
    <t>VPN0105Р</t>
  </si>
  <si>
    <t>VPN1651Р</t>
  </si>
  <si>
    <t>VPN1711</t>
  </si>
  <si>
    <t>10.14.121.225</t>
  </si>
  <si>
    <t>10.192.104.193</t>
  </si>
  <si>
    <t>10.14.121.241</t>
  </si>
  <si>
    <t>10.196.104.193</t>
  </si>
  <si>
    <t>10.13.121.241</t>
  </si>
  <si>
    <t>VPN1979</t>
  </si>
  <si>
    <t>ХС-5092</t>
  </si>
  <si>
    <t>ХС-5093</t>
  </si>
  <si>
    <t>10.1.60.160</t>
  </si>
  <si>
    <t>10.1.60.161</t>
  </si>
  <si>
    <t>10.1.60.162</t>
  </si>
  <si>
    <t>10.1.60.164</t>
  </si>
  <si>
    <t>10.1.60.165</t>
  </si>
  <si>
    <t>10.1.60.166</t>
  </si>
  <si>
    <t>10.1.60.168</t>
  </si>
  <si>
    <t>10.1.60.169</t>
  </si>
  <si>
    <t>10.1.60.170</t>
  </si>
  <si>
    <t>10.1.60.172</t>
  </si>
  <si>
    <t>10.1.60.173</t>
  </si>
  <si>
    <t>10.1.60.174</t>
  </si>
  <si>
    <t>10.1.60.176</t>
  </si>
  <si>
    <t>10.1.60.177</t>
  </si>
  <si>
    <t>10.1.60.178</t>
  </si>
  <si>
    <t>10.1.60.180</t>
  </si>
  <si>
    <t>10.1.60.181</t>
  </si>
  <si>
    <t>10.1.60.182</t>
  </si>
  <si>
    <t>10.1.60.184</t>
  </si>
  <si>
    <t>10.1.60.185</t>
  </si>
  <si>
    <t>10.1.60.186</t>
  </si>
  <si>
    <t>10.1.60.188</t>
  </si>
  <si>
    <t>10.1.60.189</t>
  </si>
  <si>
    <t>10.1.60.190</t>
  </si>
  <si>
    <t>10.1.60.192</t>
  </si>
  <si>
    <t>10.1.60.193</t>
  </si>
  <si>
    <t>10.1.60.194</t>
  </si>
  <si>
    <t>10.1.60.196</t>
  </si>
  <si>
    <t>10.1.60.197</t>
  </si>
  <si>
    <t>10.1.60.198</t>
  </si>
  <si>
    <t>10.1.60.200</t>
  </si>
  <si>
    <t>10.1.60.201</t>
  </si>
  <si>
    <t>10.1.60.202</t>
  </si>
  <si>
    <t>10.1.60.204</t>
  </si>
  <si>
    <t>10.1.60.205</t>
  </si>
  <si>
    <t>10.1.60.206</t>
  </si>
  <si>
    <t>Karabotan Atyrau CE2</t>
  </si>
  <si>
    <t>UTengiz Atyrau CE2</t>
  </si>
  <si>
    <t>Prorva  Atyrau CE2</t>
  </si>
  <si>
    <t>ID000333_2</t>
  </si>
  <si>
    <t>ID000471_2</t>
  </si>
  <si>
    <t>ID001400_2</t>
  </si>
  <si>
    <t>ID003324_2</t>
  </si>
  <si>
    <t>vlan 999_2</t>
  </si>
  <si>
    <t>vlan 999_3</t>
  </si>
  <si>
    <t>KTC_ID0002</t>
  </si>
  <si>
    <t>KTC_ID0003</t>
  </si>
  <si>
    <t>KTC_ID0004</t>
  </si>
  <si>
    <t>KTC_ID0005</t>
  </si>
  <si>
    <t>KTC_ID0006</t>
  </si>
  <si>
    <t>KTC_ID0007</t>
  </si>
  <si>
    <t>KTC_ID0008</t>
  </si>
  <si>
    <t>KTC_ID0009</t>
  </si>
  <si>
    <t>KTC_ID0010</t>
  </si>
  <si>
    <t>KTC_ID0011</t>
  </si>
  <si>
    <t>KTC_ID0013</t>
  </si>
  <si>
    <t>KTC_ID0014</t>
  </si>
  <si>
    <t>KTC_ID0015</t>
  </si>
  <si>
    <t>KTC_ID0016</t>
  </si>
  <si>
    <t>KTC_ID0017</t>
  </si>
  <si>
    <t>KTC_ID0018</t>
  </si>
  <si>
    <t>KTC_ID0019</t>
  </si>
  <si>
    <t>KTC_ID0020</t>
  </si>
  <si>
    <t>KTC_ID0021</t>
  </si>
  <si>
    <t>KTC_ID0022</t>
  </si>
  <si>
    <t>KTC_ID0024</t>
  </si>
  <si>
    <t>KTC_ID0025</t>
  </si>
  <si>
    <t>KTC_ID0026</t>
  </si>
  <si>
    <t>KTC_ID0027</t>
  </si>
  <si>
    <t>TTC_ID0001</t>
  </si>
  <si>
    <t>TTC_ID0002</t>
  </si>
  <si>
    <t>TTC_ID0003</t>
  </si>
  <si>
    <t>TTC_ID0004</t>
  </si>
  <si>
    <t>TTC_ID0005</t>
  </si>
  <si>
    <t>TTC_ID0006</t>
  </si>
  <si>
    <t>TTC_ID0007</t>
  </si>
  <si>
    <t>TTC_ID0008</t>
  </si>
  <si>
    <t>TTC_ID0009</t>
  </si>
  <si>
    <t>TTC_ID0010</t>
  </si>
  <si>
    <t>TTC_ID0011</t>
  </si>
  <si>
    <t>TTC_ID0012</t>
  </si>
  <si>
    <t>TTC_ID0013</t>
  </si>
  <si>
    <t>TTC_ID0014</t>
  </si>
  <si>
    <t>TTC_ID0015</t>
  </si>
  <si>
    <t>TTC_ID0016</t>
  </si>
  <si>
    <t>TTC_ID0017</t>
  </si>
  <si>
    <t>TTC_ID0018</t>
  </si>
  <si>
    <t>TTC_ID0019</t>
  </si>
  <si>
    <t>TTC_ID0020</t>
  </si>
  <si>
    <t>TTC_ID0021</t>
  </si>
  <si>
    <t>TTC_ID0022</t>
  </si>
  <si>
    <t>10.1.0.56</t>
  </si>
  <si>
    <t>10.1.0.57</t>
  </si>
  <si>
    <t>10.1.0.58</t>
  </si>
  <si>
    <t>10.1.1.160</t>
  </si>
  <si>
    <t>10.1.1.161</t>
  </si>
  <si>
    <t>10.1.1.162</t>
  </si>
  <si>
    <t>10.1.1.164</t>
  </si>
  <si>
    <t>10.1.1.165</t>
  </si>
  <si>
    <t>10.1.1.166</t>
  </si>
  <si>
    <t>10.1.1.168</t>
  </si>
  <si>
    <t>10.1.1.169</t>
  </si>
  <si>
    <t>10.1.1.170</t>
  </si>
  <si>
    <t>VPN0509Р</t>
  </si>
  <si>
    <t>VPN0144Р</t>
  </si>
  <si>
    <t>VPN0141Р</t>
  </si>
  <si>
    <t>VPN0341Р</t>
  </si>
  <si>
    <t>VPN0145Р</t>
  </si>
  <si>
    <t>VPN0143Р</t>
  </si>
  <si>
    <t>VPN0142Р</t>
  </si>
  <si>
    <t>VPN1980</t>
  </si>
  <si>
    <t>VPN0808</t>
  </si>
  <si>
    <t>10.1.28.220</t>
  </si>
  <si>
    <t>10.1.28.221</t>
  </si>
  <si>
    <t>10.1.28.222</t>
  </si>
  <si>
    <t>Agadyr</t>
  </si>
  <si>
    <t>Agadyr Karaganda CE1</t>
  </si>
  <si>
    <t>100Mb(KZT</t>
  </si>
  <si>
    <t>10.1.36.188</t>
  </si>
  <si>
    <t>10.1.36.189</t>
  </si>
  <si>
    <t>10.1.36.190</t>
  </si>
  <si>
    <t>TOO Denholm Zholdas</t>
  </si>
  <si>
    <t>VPN0370P</t>
  </si>
  <si>
    <t>VPN0131P</t>
  </si>
  <si>
    <t>VPN0368P</t>
  </si>
  <si>
    <t>VPN0369P</t>
  </si>
  <si>
    <t>VPN0382P</t>
  </si>
  <si>
    <t>VPN0130P</t>
  </si>
  <si>
    <t>VPN0128P</t>
  </si>
  <si>
    <t>VPN0448P</t>
  </si>
  <si>
    <t>VPN0129P</t>
  </si>
  <si>
    <t>VPN1271P</t>
  </si>
  <si>
    <t>VPN1342P</t>
  </si>
  <si>
    <t>VPN0865</t>
  </si>
  <si>
    <t>172.31.253.128</t>
  </si>
  <si>
    <t>TOR(SBERBANK)</t>
  </si>
  <si>
    <t>10.1.59.40</t>
  </si>
  <si>
    <t>10.1.59.41</t>
  </si>
  <si>
    <t>10.1.59.42</t>
  </si>
  <si>
    <t>10.1.59.44</t>
  </si>
  <si>
    <t>10.1.59.45</t>
  </si>
  <si>
    <t>10.1.59.46</t>
  </si>
  <si>
    <t>10.1.59.48</t>
  </si>
  <si>
    <t>10.1.59.49</t>
  </si>
  <si>
    <t>10.1.59.50</t>
  </si>
  <si>
    <t>10.1.59.52</t>
  </si>
  <si>
    <t>10.1.59.53</t>
  </si>
  <si>
    <t>10.1.59.54</t>
  </si>
  <si>
    <t>10.1.59.56</t>
  </si>
  <si>
    <t>10.1.59.57</t>
  </si>
  <si>
    <t>10.1.59.58</t>
  </si>
  <si>
    <t>10.1.59.60</t>
  </si>
  <si>
    <t>10.1.59.61</t>
  </si>
  <si>
    <t>10.1.59.62</t>
  </si>
  <si>
    <t>10.252.240.140</t>
  </si>
  <si>
    <t>10.252.240.141</t>
  </si>
  <si>
    <t>10.252.240.142</t>
  </si>
  <si>
    <t>VPN2046</t>
  </si>
  <si>
    <t>VPN2047</t>
  </si>
  <si>
    <t>VPN2048</t>
  </si>
  <si>
    <t>VPN2049</t>
  </si>
  <si>
    <t>Ulken</t>
  </si>
  <si>
    <t>10.13.156.96/28</t>
  </si>
  <si>
    <t>10.14.156.96/28</t>
  </si>
  <si>
    <t>VPN0894</t>
  </si>
  <si>
    <t>10.1.36.192</t>
  </si>
  <si>
    <t>10.1.36.193</t>
  </si>
  <si>
    <t>10.1.36.194</t>
  </si>
  <si>
    <t>10.1.36.196</t>
  </si>
  <si>
    <t>10.1.36.197</t>
  </si>
  <si>
    <t>10.1.36.198</t>
  </si>
  <si>
    <t>Ulken Almaty CE1</t>
  </si>
  <si>
    <t>VPN1055</t>
  </si>
  <si>
    <t>VPN1054</t>
  </si>
  <si>
    <t>VPN0819</t>
  </si>
  <si>
    <t>VPN0820</t>
  </si>
  <si>
    <t>VPN0821</t>
  </si>
  <si>
    <t>VPN0822</t>
  </si>
  <si>
    <t>10.1.56.64</t>
  </si>
  <si>
    <t>10.1.56.65</t>
  </si>
  <si>
    <t>10.1.56.66</t>
  </si>
  <si>
    <t>10.1.56.68</t>
  </si>
  <si>
    <t>10.1.56.69</t>
  </si>
  <si>
    <t>10.1.56.70</t>
  </si>
  <si>
    <t>10.1.56.72</t>
  </si>
  <si>
    <t>10.1.56.73</t>
  </si>
  <si>
    <t>10.1.56.74</t>
  </si>
  <si>
    <t>10.1.56.76</t>
  </si>
  <si>
    <t>10.1.56.77</t>
  </si>
  <si>
    <t>10.1.56.78</t>
  </si>
  <si>
    <t>10.1.36.200</t>
  </si>
  <si>
    <t>10.1.36.201</t>
  </si>
  <si>
    <t>10.1.36.202</t>
  </si>
  <si>
    <t>10.1.36.208</t>
  </si>
  <si>
    <t>10.1.36.209</t>
  </si>
  <si>
    <t>10.1.36.210</t>
  </si>
  <si>
    <t>Abis</t>
  </si>
  <si>
    <t>Aidarly</t>
  </si>
  <si>
    <t>Birlikustem</t>
  </si>
  <si>
    <t>Aidarly Almaty CE1</t>
  </si>
  <si>
    <t xml:space="preserve"> Almaty</t>
  </si>
  <si>
    <t>Birlikustem Almaty CE1</t>
  </si>
  <si>
    <t>10.1.25.248</t>
  </si>
  <si>
    <t>10.1.25.249</t>
  </si>
  <si>
    <t>10.1.25.250</t>
  </si>
  <si>
    <t>10.1.28.4</t>
  </si>
  <si>
    <t>10.1.28.5</t>
  </si>
  <si>
    <t>10.1.28.6</t>
  </si>
  <si>
    <t>10.1.28.8</t>
  </si>
  <si>
    <t>10.1.28.9</t>
  </si>
  <si>
    <t>10.1.28.10</t>
  </si>
  <si>
    <t>10.1.25.252</t>
  </si>
  <si>
    <t>10.1.25.253</t>
  </si>
  <si>
    <t>10.1.25.254</t>
  </si>
  <si>
    <t>10.1.28.116</t>
  </si>
  <si>
    <t>10.1.28.117</t>
  </si>
  <si>
    <t>10.1.28.118</t>
  </si>
  <si>
    <t>10.1.28.240</t>
  </si>
  <si>
    <t>10.1.28.241</t>
  </si>
  <si>
    <t>10.1.28.242</t>
  </si>
  <si>
    <t>10.1.28.244</t>
  </si>
  <si>
    <t>10.1.28.245</t>
  </si>
  <si>
    <t>10.1.28.246</t>
  </si>
  <si>
    <t>10.1.30.148</t>
  </si>
  <si>
    <t>10.1.30.149</t>
  </si>
  <si>
    <t>10.1.30.150</t>
  </si>
  <si>
    <t>10.1.30.184</t>
  </si>
  <si>
    <t>10.1.30.185</t>
  </si>
  <si>
    <t>10.1.30.186</t>
  </si>
  <si>
    <t>10.1.30.188</t>
  </si>
  <si>
    <t>10.1.30.189</t>
  </si>
  <si>
    <t>10.1.30.190</t>
  </si>
  <si>
    <t>10.1.30.208</t>
  </si>
  <si>
    <t>10.1.30.209</t>
  </si>
  <si>
    <t>10.1.30.210</t>
  </si>
  <si>
    <t>10.1.36.212</t>
  </si>
  <si>
    <t>10.1.36.213</t>
  </si>
  <si>
    <t>10.1.36.214</t>
  </si>
  <si>
    <t>10.1.36.216</t>
  </si>
  <si>
    <t>10.1.36.217</t>
  </si>
  <si>
    <t>10.1.36.218</t>
  </si>
  <si>
    <t>10.1.35.184</t>
  </si>
  <si>
    <t>10.1.35.185</t>
  </si>
  <si>
    <t>10.1.35.186</t>
  </si>
  <si>
    <t>10.1.36.220</t>
  </si>
  <si>
    <t>10.1.36.221</t>
  </si>
  <si>
    <t>10.1.36.222</t>
  </si>
  <si>
    <t>10.1.36.224</t>
  </si>
  <si>
    <t>10.1.36.225</t>
  </si>
  <si>
    <t>10.1.36.226</t>
  </si>
  <si>
    <t>10.1.36.228</t>
  </si>
  <si>
    <t>10.1.36.229</t>
  </si>
  <si>
    <t>10.1.36.230</t>
  </si>
  <si>
    <t>10.1.36.232</t>
  </si>
  <si>
    <t>10.1.36.233</t>
  </si>
  <si>
    <t>10.1.36.234</t>
  </si>
  <si>
    <t>10.1.36.236</t>
  </si>
  <si>
    <t>10.1.36.237</t>
  </si>
  <si>
    <t>10.1.36.238</t>
  </si>
  <si>
    <t>10.1.36.240</t>
  </si>
  <si>
    <t>10.1.36.241</t>
  </si>
  <si>
    <t>10.1.36.242</t>
  </si>
  <si>
    <t>10.1.36.244</t>
  </si>
  <si>
    <t>10.1.36.245</t>
  </si>
  <si>
    <t>10.1.36.246</t>
  </si>
  <si>
    <t>10.1.36.252</t>
  </si>
  <si>
    <t>10.1.36.253</t>
  </si>
  <si>
    <t>10.1.36.254</t>
  </si>
  <si>
    <t>10.1.36.248</t>
  </si>
  <si>
    <t>10.1.36.249</t>
  </si>
  <si>
    <t>10.1.36.250</t>
  </si>
  <si>
    <t>10.1.24.204</t>
  </si>
  <si>
    <t>10.1.24.205</t>
  </si>
  <si>
    <t>10.1.24.206</t>
  </si>
  <si>
    <t>VPN0717</t>
  </si>
  <si>
    <t>ORDERED VPN0303</t>
  </si>
  <si>
    <t xml:space="preserve">10.1.37.0 </t>
  </si>
  <si>
    <t>10.1.37.1</t>
  </si>
  <si>
    <t>10.1.37.2</t>
  </si>
  <si>
    <t>10.1.37.4</t>
  </si>
  <si>
    <t>10.1.37.5</t>
  </si>
  <si>
    <t>10.1.37.6</t>
  </si>
  <si>
    <t>VPN0819Р</t>
  </si>
  <si>
    <t>VPN0820Р</t>
  </si>
  <si>
    <t>VPN0821Р</t>
  </si>
  <si>
    <t>VPN0822Р</t>
  </si>
  <si>
    <t>10.14.60.1/27</t>
  </si>
  <si>
    <t>VPN0836</t>
  </si>
  <si>
    <t>VPN0837</t>
  </si>
  <si>
    <t>10.196.119.192/26</t>
  </si>
  <si>
    <t>10.192.119.192/26</t>
  </si>
  <si>
    <t>10.5.117.144/28</t>
  </si>
  <si>
    <t>VPN0838</t>
  </si>
  <si>
    <t xml:space="preserve"> Denholm-Zholdas Atyrau CE2</t>
  </si>
  <si>
    <t>10.5.117.129/28</t>
  </si>
  <si>
    <t>10.14.60.145/28</t>
  </si>
  <si>
    <t>10.192.119.129/26</t>
  </si>
  <si>
    <t>10.196.119.129/26</t>
  </si>
  <si>
    <t>VPN2069</t>
  </si>
  <si>
    <t>VPN2070</t>
  </si>
  <si>
    <t>10.1.35.80</t>
  </si>
  <si>
    <t>10.1.35.81</t>
  </si>
  <si>
    <t>10.1.35.82</t>
  </si>
  <si>
    <t>10.1.35.124</t>
  </si>
  <si>
    <t>10.1.35.125</t>
  </si>
  <si>
    <t>10.1.35.126</t>
  </si>
  <si>
    <t>10.1.37.8</t>
  </si>
  <si>
    <t>10.1.37.9</t>
  </si>
  <si>
    <t>10.1.37.10</t>
  </si>
  <si>
    <t>10.1.37.13</t>
  </si>
  <si>
    <t>10.1.37.12</t>
  </si>
  <si>
    <t>10.1.37.14</t>
  </si>
  <si>
    <t>10.1.37.16</t>
  </si>
  <si>
    <t>10.1.37.17</t>
  </si>
  <si>
    <t>10.1.37.18</t>
  </si>
  <si>
    <t>10.1.37.20</t>
  </si>
  <si>
    <t>10.1.37.21</t>
  </si>
  <si>
    <t>10.1.37.22</t>
  </si>
  <si>
    <t>10.1.37.24</t>
  </si>
  <si>
    <t>10.1.37.25</t>
  </si>
  <si>
    <t>10.1.37.26</t>
  </si>
  <si>
    <t>10.1.37.28</t>
  </si>
  <si>
    <t>10.1.37.29</t>
  </si>
  <si>
    <t>10.1.37.30</t>
  </si>
  <si>
    <t>10.1.37.32</t>
  </si>
  <si>
    <t>10.1.37.33</t>
  </si>
  <si>
    <t>10.1.37.34</t>
  </si>
  <si>
    <t>10.1.37.36</t>
  </si>
  <si>
    <t>10.1.37.37</t>
  </si>
  <si>
    <t>10.1.37.38</t>
  </si>
  <si>
    <t>10.5.68.81/28</t>
  </si>
  <si>
    <t>VPN2068</t>
  </si>
  <si>
    <t>KTCLOUD</t>
  </si>
  <si>
    <t>10.1.1.230</t>
  </si>
  <si>
    <t>10.1.1.229</t>
  </si>
  <si>
    <t>10.1.1.228</t>
  </si>
  <si>
    <t>MOFFICE</t>
  </si>
  <si>
    <t>10.1.1.225</t>
  </si>
  <si>
    <t>10.1.1.226</t>
  </si>
  <si>
    <t>10.1.1.224</t>
  </si>
  <si>
    <t>Kulan Taraz CE1</t>
  </si>
  <si>
    <t>PORT</t>
  </si>
  <si>
    <t xml:space="preserve">VPN2074 </t>
  </si>
  <si>
    <t xml:space="preserve">VPN2076 </t>
  </si>
  <si>
    <t>VPN0166P</t>
  </si>
  <si>
    <t>VPN0163P</t>
  </si>
  <si>
    <t>VPN0167P</t>
  </si>
  <si>
    <t>VPN0165P</t>
  </si>
  <si>
    <t>VPN0164P</t>
  </si>
  <si>
    <t>VPN1451P</t>
  </si>
  <si>
    <t>VPN1970P</t>
  </si>
  <si>
    <t>Atasu Karaganda CE1</t>
  </si>
  <si>
    <t>Atasu</t>
  </si>
  <si>
    <t>TemirtauCE2</t>
  </si>
  <si>
    <t>50Gb</t>
  </si>
  <si>
    <t>10.1.12.136</t>
  </si>
  <si>
    <t>10.1.12.137</t>
  </si>
  <si>
    <t>10.1.12.138</t>
  </si>
  <si>
    <t>10.1.60.208</t>
  </si>
  <si>
    <t>10.1.60.209</t>
  </si>
  <si>
    <t>10.1.60.210</t>
  </si>
  <si>
    <t>10.1.60.212</t>
  </si>
  <si>
    <t>10.1.60.213</t>
  </si>
  <si>
    <t>10.1.60.214</t>
  </si>
  <si>
    <t>10.1.60.216</t>
  </si>
  <si>
    <t>10.1.60.217</t>
  </si>
  <si>
    <t>10.1.60.218</t>
  </si>
  <si>
    <t>10.1.60.220</t>
  </si>
  <si>
    <t>10.1.60.221</t>
  </si>
  <si>
    <t>10.1.60.222</t>
  </si>
  <si>
    <t>10.1.60.224</t>
  </si>
  <si>
    <t>10.1.60.225</t>
  </si>
  <si>
    <t>10.1.60.226</t>
  </si>
  <si>
    <t>10.1.60.228</t>
  </si>
  <si>
    <t>10.1.60.229</t>
  </si>
  <si>
    <t>10.1.60.230</t>
  </si>
  <si>
    <t>10.1.62.160</t>
  </si>
  <si>
    <t>10.1.62.161</t>
  </si>
  <si>
    <t>10.1.62.162</t>
  </si>
  <si>
    <t>VPN2085</t>
  </si>
  <si>
    <t>VPN2086</t>
  </si>
  <si>
    <t>10.1.59.164</t>
  </si>
  <si>
    <t>10.1.59.165</t>
  </si>
  <si>
    <t>10.1.59.166</t>
  </si>
  <si>
    <t>10.1.59.168</t>
  </si>
  <si>
    <t>10.252.240.144</t>
  </si>
  <si>
    <t>10.252.240.145</t>
  </si>
  <si>
    <t>10.252.240.146</t>
  </si>
  <si>
    <t>10.0.211.112</t>
  </si>
  <si>
    <t>10.0.211.113</t>
  </si>
  <si>
    <t>10.0.211.114</t>
  </si>
  <si>
    <t>10.1.59.169</t>
  </si>
  <si>
    <t>10.1.59.170</t>
  </si>
  <si>
    <t>10.1.59.174</t>
  </si>
  <si>
    <t>10.1.59.176</t>
  </si>
  <si>
    <t>10.1.59.172</t>
  </si>
  <si>
    <t>10.1.59.173</t>
  </si>
  <si>
    <t>10.1.59.177</t>
  </si>
  <si>
    <t>10.1.59.178</t>
  </si>
  <si>
    <t>10.1.59.180</t>
  </si>
  <si>
    <t>10.1.59.181</t>
  </si>
  <si>
    <t>10.1.59.182</t>
  </si>
  <si>
    <t>10.1.59.184</t>
  </si>
  <si>
    <t>10.1.59.185</t>
  </si>
  <si>
    <t>10.1.59.186</t>
  </si>
  <si>
    <t>10.1.59.188</t>
  </si>
  <si>
    <t>10.1.59.189</t>
  </si>
  <si>
    <t>10.1.59.190</t>
  </si>
  <si>
    <t>SBT(SBERBANK)</t>
  </si>
  <si>
    <t>10.1.59.196</t>
  </si>
  <si>
    <t>10.1.59.197</t>
  </si>
  <si>
    <t>10.1.59.198</t>
  </si>
  <si>
    <t>VPN2087</t>
  </si>
  <si>
    <t>VPN2089</t>
  </si>
  <si>
    <t>Shimkent</t>
  </si>
  <si>
    <t>Karaboget Shymkent CE1</t>
  </si>
  <si>
    <t>VPN2092</t>
  </si>
  <si>
    <t>10.192.186.1/26</t>
  </si>
  <si>
    <t>Kumkol</t>
  </si>
  <si>
    <t>10.192.186.64/26</t>
  </si>
  <si>
    <t>10.1.62.216</t>
  </si>
  <si>
    <t>10.1.62.217</t>
  </si>
  <si>
    <t>10.1.62.218</t>
  </si>
  <si>
    <t>Tauysh Astana CE1</t>
  </si>
  <si>
    <t>VPN0711P</t>
  </si>
  <si>
    <t>VPN0713P</t>
  </si>
  <si>
    <t>VPN0919P</t>
  </si>
  <si>
    <t>VPN0712P</t>
  </si>
  <si>
    <t>VPN0714P</t>
  </si>
  <si>
    <t>VPN0725P</t>
  </si>
  <si>
    <t>VPN1454P</t>
  </si>
  <si>
    <t>VPN1676P</t>
  </si>
  <si>
    <t>Zhanatas Taraz CE1</t>
  </si>
  <si>
    <t>Kazfosfat</t>
  </si>
  <si>
    <t xml:space="preserve">Dossor </t>
  </si>
  <si>
    <t>10.1.37.41</t>
  </si>
  <si>
    <t>10.1.37.45</t>
  </si>
  <si>
    <t>10.1.37.49</t>
  </si>
  <si>
    <t>10.1.37.53</t>
  </si>
  <si>
    <t>10.1.37.42</t>
  </si>
  <si>
    <t>10.1.37.46</t>
  </si>
  <si>
    <t>10.1.37.50</t>
  </si>
  <si>
    <t>10.1.37.54</t>
  </si>
  <si>
    <t>10.1.37.40</t>
  </si>
  <si>
    <t>10.1.37.44</t>
  </si>
  <si>
    <t>10.1.37.48</t>
  </si>
  <si>
    <t>10.1.37.52</t>
  </si>
  <si>
    <t>10.254.240.96</t>
  </si>
  <si>
    <t>10.254.240.97</t>
  </si>
  <si>
    <t>10.254.240.98</t>
  </si>
  <si>
    <t>Taisoigan</t>
  </si>
  <si>
    <t>Enbekshil</t>
  </si>
  <si>
    <t>Esbol</t>
  </si>
  <si>
    <t>Konystanu</t>
  </si>
  <si>
    <t>Taisoigan Atyrau CE1</t>
  </si>
  <si>
    <t>Enbekshil Atyrau CE1</t>
  </si>
  <si>
    <t>Esbol Atyrau CE1</t>
  </si>
  <si>
    <t>Konystanu Atyrau CE1</t>
  </si>
  <si>
    <t>VPN2099</t>
  </si>
  <si>
    <t>VPN2100</t>
  </si>
  <si>
    <t>VPN2101</t>
  </si>
  <si>
    <t>VPN2102</t>
  </si>
  <si>
    <t>VPN2103</t>
  </si>
  <si>
    <t>VPN2104</t>
  </si>
  <si>
    <t>VPN2105</t>
  </si>
  <si>
    <t>VPN2106</t>
  </si>
  <si>
    <t>VPN2107</t>
  </si>
  <si>
    <t>VPN2108</t>
  </si>
  <si>
    <t>VPN2109</t>
  </si>
  <si>
    <t>VPN2110</t>
  </si>
  <si>
    <t>VPN2112</t>
  </si>
  <si>
    <t>VPN2111</t>
  </si>
  <si>
    <t>VPN2113</t>
  </si>
  <si>
    <t>VPN2115</t>
  </si>
  <si>
    <t>VPN2114</t>
  </si>
  <si>
    <t>10.252.240.53</t>
  </si>
  <si>
    <t>10.252.240.54</t>
  </si>
  <si>
    <t>10.252.240.52</t>
  </si>
  <si>
    <t>Kamysty</t>
  </si>
  <si>
    <t>10.1.37.57</t>
  </si>
  <si>
    <t>10.1.37.58</t>
  </si>
  <si>
    <t>10.1.37.56</t>
  </si>
  <si>
    <t>10.1.37.61</t>
  </si>
  <si>
    <t>10.1.37.62</t>
  </si>
  <si>
    <t>10.1.37.60</t>
  </si>
  <si>
    <t>10.252.240.33</t>
  </si>
  <si>
    <t>10.252.240.34</t>
  </si>
  <si>
    <t>10.252.240.32</t>
  </si>
  <si>
    <t>2376(2366)</t>
  </si>
  <si>
    <t>VPN2134</t>
  </si>
  <si>
    <t>VPN2135</t>
  </si>
  <si>
    <t>VPN2136</t>
  </si>
  <si>
    <t>VPN2137</t>
  </si>
  <si>
    <t>VPN2138</t>
  </si>
  <si>
    <t>VPN2139</t>
  </si>
  <si>
    <t>VPN2140</t>
  </si>
  <si>
    <t>VPN2141</t>
  </si>
  <si>
    <t>VPN2142</t>
  </si>
  <si>
    <t>VPN2143</t>
  </si>
  <si>
    <t>VPN2144</t>
  </si>
  <si>
    <t>VPN2145</t>
  </si>
  <si>
    <t>VPN2155</t>
  </si>
  <si>
    <t xml:space="preserve">10.192.120.65/26 </t>
  </si>
  <si>
    <t>10.5.117.177/28</t>
  </si>
  <si>
    <t>10.14.48.145/28</t>
  </si>
  <si>
    <t xml:space="preserve">10.196.120.65/26 </t>
  </si>
  <si>
    <t>10.5.117.161/28</t>
  </si>
  <si>
    <t>10.14.48.129/28</t>
  </si>
  <si>
    <t>10.192.120.1/26</t>
  </si>
  <si>
    <t>10.196.120.1/26</t>
  </si>
  <si>
    <t>10.5.117.193/28</t>
  </si>
  <si>
    <t>10.14.48.161/28</t>
  </si>
  <si>
    <t xml:space="preserve"> 10.192.120.129/26 </t>
  </si>
  <si>
    <t xml:space="preserve"> 10.196.120.129/26 </t>
  </si>
  <si>
    <t>10.5.117.209/28</t>
  </si>
  <si>
    <t>10.14.48.177 /28</t>
  </si>
  <si>
    <t>VPN2146</t>
  </si>
  <si>
    <t>VPN2147</t>
  </si>
  <si>
    <t>VPN2152</t>
  </si>
  <si>
    <t>VPN2153</t>
  </si>
  <si>
    <t>10.192.120.193/26</t>
  </si>
  <si>
    <t>10.196.120.193/26</t>
  </si>
  <si>
    <t>VPN2148</t>
  </si>
  <si>
    <t>VPN2149</t>
  </si>
  <si>
    <t>VPN2150</t>
  </si>
  <si>
    <t>VPN2151</t>
  </si>
  <si>
    <t>10.196.121.1/26</t>
  </si>
  <si>
    <t>10.192.121.1/26</t>
  </si>
  <si>
    <t>10.5.117.225/28</t>
  </si>
  <si>
    <t>10.14.48.193/28</t>
  </si>
  <si>
    <t>10.1.37.64</t>
  </si>
  <si>
    <t>10.1.37.65</t>
  </si>
  <si>
    <t>10.1.37.66</t>
  </si>
  <si>
    <t>10.1.37.68</t>
  </si>
  <si>
    <t>10.1.37.69</t>
  </si>
  <si>
    <t>10.1.37.70</t>
  </si>
  <si>
    <t>Alga(Atyrau) Atyrau CE1</t>
  </si>
  <si>
    <t>10.1.37.72</t>
  </si>
  <si>
    <t>10.1.37.73</t>
  </si>
  <si>
    <t>10.1.37.74</t>
  </si>
  <si>
    <t>VPN2122</t>
  </si>
  <si>
    <t>VPN2127</t>
  </si>
  <si>
    <t>VPN2128</t>
  </si>
  <si>
    <t>VPN2123</t>
  </si>
  <si>
    <t>VPN2120</t>
  </si>
  <si>
    <t>VPN2121</t>
  </si>
  <si>
    <t>VPN2126</t>
  </si>
  <si>
    <t>VPN2119</t>
  </si>
  <si>
    <t>VPN2118</t>
  </si>
  <si>
    <t>VPN2117</t>
  </si>
  <si>
    <t>VPN2116</t>
  </si>
  <si>
    <t>VPN2125</t>
  </si>
  <si>
    <t>VPN2171</t>
  </si>
  <si>
    <t>VPN2168</t>
  </si>
  <si>
    <t>VPN2169</t>
  </si>
  <si>
    <t>VPN2170</t>
  </si>
  <si>
    <t>VPN2172</t>
  </si>
  <si>
    <t>ID001374</t>
  </si>
  <si>
    <t>10.14.121.81/28</t>
  </si>
  <si>
    <t>10.13.121.81/28</t>
  </si>
  <si>
    <t>VPN2178</t>
  </si>
  <si>
    <t>VPN2163</t>
  </si>
  <si>
    <t>VPN2164</t>
  </si>
  <si>
    <t>VPN2165</t>
  </si>
  <si>
    <t>VPN2166</t>
  </si>
  <si>
    <t>VPN2167</t>
  </si>
  <si>
    <t>VPN2179</t>
  </si>
  <si>
    <t>VPN2180</t>
  </si>
  <si>
    <t xml:space="preserve"> VPN2181</t>
  </si>
  <si>
    <t>VPN2186</t>
  </si>
  <si>
    <t>VPN2187</t>
  </si>
  <si>
    <t>VPN1013</t>
  </si>
  <si>
    <t>ORDERED VPN1413</t>
  </si>
  <si>
    <t>ORDERED VPN1390</t>
  </si>
  <si>
    <t>ORDERED VPN1391</t>
  </si>
  <si>
    <t>ORDERED VPN1392</t>
  </si>
  <si>
    <t>ORDERED VPN1392P</t>
  </si>
  <si>
    <t>ORDERED VPN1393</t>
  </si>
  <si>
    <t>ORDERED VPN1394</t>
  </si>
  <si>
    <t>ORDERED VPN1412</t>
  </si>
  <si>
    <t>ORDERED VPN1458</t>
  </si>
  <si>
    <t>ORDERED VPN1459</t>
  </si>
  <si>
    <t>10.1.37.76</t>
  </si>
  <si>
    <t>10.1.37.77</t>
  </si>
  <si>
    <t>10.1.37.78</t>
  </si>
  <si>
    <t>10.1.37.80</t>
  </si>
  <si>
    <t>10.1.37.81</t>
  </si>
  <si>
    <t>10.1.37.82</t>
  </si>
  <si>
    <t>Akshimurau</t>
  </si>
  <si>
    <t>Kyzan</t>
  </si>
  <si>
    <t>Akshimurau Aktau CE1</t>
  </si>
  <si>
    <t>Kyzan Aktau CE1</t>
  </si>
  <si>
    <t xml:space="preserve">Karabulak(Ast) Astana CE1 </t>
  </si>
  <si>
    <t>Karabulak(Ast) Astana CE1</t>
  </si>
  <si>
    <t>VPN0733</t>
  </si>
  <si>
    <t>10.196.186.1/26</t>
  </si>
  <si>
    <t>10.1.37.84</t>
  </si>
  <si>
    <t>10.1.37.85</t>
  </si>
  <si>
    <t>10.1.37.86</t>
  </si>
  <si>
    <t>10.1.37.88</t>
  </si>
  <si>
    <t>10.1.37.89</t>
  </si>
  <si>
    <t>10.1.37.90</t>
  </si>
  <si>
    <t>10.1.37.96</t>
  </si>
  <si>
    <t>10.1.37.97</t>
  </si>
  <si>
    <t>10.1.37.98</t>
  </si>
  <si>
    <t>10.1.37.100</t>
  </si>
  <si>
    <t>10.1.37.101</t>
  </si>
  <si>
    <t>10.1.37.102</t>
  </si>
  <si>
    <t>10.1.37.104</t>
  </si>
  <si>
    <t>10.1.37.105</t>
  </si>
  <si>
    <t>10.1.37.106</t>
  </si>
  <si>
    <t>10.1.37.108</t>
  </si>
  <si>
    <t>10.1.37.109</t>
  </si>
  <si>
    <t>10.1.37.110</t>
  </si>
  <si>
    <t>10.1.37.113</t>
  </si>
  <si>
    <t>10.1.37.112</t>
  </si>
  <si>
    <t>10.1.37.114</t>
  </si>
  <si>
    <t>10.1.37.116</t>
  </si>
  <si>
    <t>10.1.37.117</t>
  </si>
  <si>
    <t>10.1.37.118</t>
  </si>
  <si>
    <t>10.1.37.120</t>
  </si>
  <si>
    <t>10.1.37.121</t>
  </si>
  <si>
    <t>10.1.37.122</t>
  </si>
  <si>
    <t>VPN1048</t>
  </si>
  <si>
    <t>VPN0157P</t>
  </si>
  <si>
    <t>VPN0158P</t>
  </si>
  <si>
    <t>VPN0161P</t>
  </si>
  <si>
    <t>VPN0346P</t>
  </si>
  <si>
    <t>VPN0156P</t>
  </si>
  <si>
    <t>VPN0160P</t>
  </si>
  <si>
    <t>VPN0436P</t>
  </si>
  <si>
    <t>VPN0159P</t>
  </si>
  <si>
    <t>VPN1242P</t>
  </si>
  <si>
    <t>VPN1442P</t>
  </si>
  <si>
    <t>VPN1646P</t>
  </si>
  <si>
    <t>VPN1969P</t>
  </si>
  <si>
    <t>VPN1124</t>
  </si>
  <si>
    <t>VPN1123</t>
  </si>
  <si>
    <t>10.192.106.129/28</t>
  </si>
  <si>
    <t>10.196.106.129/28</t>
  </si>
  <si>
    <t>2.78.60.169</t>
  </si>
  <si>
    <t>2.78.61.177</t>
  </si>
  <si>
    <t>Akyrtobe</t>
  </si>
  <si>
    <t xml:space="preserve">IuB </t>
  </si>
  <si>
    <t>10.1.37.132</t>
  </si>
  <si>
    <t>10.1.37.133</t>
  </si>
  <si>
    <t>10.1.37.134</t>
  </si>
  <si>
    <t>10.1.37.136</t>
  </si>
  <si>
    <t>10.1.37.137</t>
  </si>
  <si>
    <t>10.1.37.138</t>
  </si>
  <si>
    <t>10.1.37.140</t>
  </si>
  <si>
    <t>10.1.37.141</t>
  </si>
  <si>
    <t>10.1.37.142</t>
  </si>
  <si>
    <t>10.1.37.144</t>
  </si>
  <si>
    <t>10.1.37.145</t>
  </si>
  <si>
    <t>10.1.37.146</t>
  </si>
  <si>
    <t>Bazarsholan Uralsk CE1</t>
  </si>
  <si>
    <t>Bazarsholan</t>
  </si>
  <si>
    <t>Zhurakuduk Uralsk CE1</t>
  </si>
  <si>
    <t xml:space="preserve">Zhurakuduk </t>
  </si>
  <si>
    <t>Koneketken</t>
  </si>
  <si>
    <t>Koneketken Uralsk CE1</t>
  </si>
  <si>
    <t>Koptogai</t>
  </si>
  <si>
    <t>Koptogai Uralsk CE1</t>
  </si>
  <si>
    <t>Zhagabulak Uralsk CE1</t>
  </si>
  <si>
    <t>Zhagabulak</t>
  </si>
  <si>
    <t xml:space="preserve">Aktobe </t>
  </si>
  <si>
    <t>10.1.37.149</t>
  </si>
  <si>
    <t>10.1.37.150</t>
  </si>
  <si>
    <t>10.1.37.148</t>
  </si>
  <si>
    <t>10.1.37.152</t>
  </si>
  <si>
    <t>10.1.37.153</t>
  </si>
  <si>
    <t>10.1.37.154</t>
  </si>
  <si>
    <t>10.13.48.129/28</t>
  </si>
  <si>
    <t xml:space="preserve">Alga(Atyrau) </t>
  </si>
  <si>
    <t>10.13.48.145/28</t>
  </si>
  <si>
    <t>10.13.48.161/28</t>
  </si>
  <si>
    <t xml:space="preserve">Enbekshil </t>
  </si>
  <si>
    <t>10.13.48.177 /28</t>
  </si>
  <si>
    <t>10.13.60.113/28</t>
  </si>
  <si>
    <t>10.14.60.33/28</t>
  </si>
  <si>
    <t>10.13.60.33/28</t>
  </si>
  <si>
    <t>TarazCE2</t>
  </si>
  <si>
    <t>Baigekum</t>
  </si>
  <si>
    <t xml:space="preserve">Baigekum KyzylOrda CE1 </t>
  </si>
  <si>
    <t>Baigekum Shymkent CE1</t>
  </si>
  <si>
    <t>10.254.240.100</t>
  </si>
  <si>
    <t>10.254.240.101</t>
  </si>
  <si>
    <t>10.254.240.102</t>
  </si>
  <si>
    <t>10.1.36.204</t>
  </si>
  <si>
    <t>10.1.36.205</t>
  </si>
  <si>
    <t>10.1.36.206</t>
  </si>
  <si>
    <t>Zhympity</t>
  </si>
  <si>
    <t>CANCELLED</t>
  </si>
  <si>
    <t>Kievka</t>
  </si>
  <si>
    <t>Kievka Astana CE1</t>
  </si>
  <si>
    <t>10.1.37.157</t>
  </si>
  <si>
    <t>10.1.37.156</t>
  </si>
  <si>
    <t>10.1.37.158</t>
  </si>
  <si>
    <t>VPN0974</t>
  </si>
  <si>
    <t>10.1.37.161</t>
  </si>
  <si>
    <t>10.1.37.160</t>
  </si>
  <si>
    <t>10.1.37.162</t>
  </si>
  <si>
    <t>10.14.86.65</t>
  </si>
  <si>
    <t>10.13.86.65</t>
  </si>
  <si>
    <t>10.1.37.165</t>
  </si>
  <si>
    <t>10.1.37.166</t>
  </si>
  <si>
    <t>10.1.37.164</t>
  </si>
  <si>
    <t>VPN1223</t>
  </si>
  <si>
    <t>10.1.37.169</t>
  </si>
  <si>
    <t>10.1.37.168</t>
  </si>
  <si>
    <t>10.1.37.170</t>
  </si>
  <si>
    <t>Kaynar Almaty CE2</t>
  </si>
  <si>
    <t>Sarybulak Almaty CE2</t>
  </si>
  <si>
    <t>Sibu Almaty CE2</t>
  </si>
  <si>
    <t>South_oil Almaty CE2</t>
  </si>
  <si>
    <t>Smart_oil Almaty CE2</t>
  </si>
  <si>
    <t xml:space="preserve"> VPN2099</t>
  </si>
  <si>
    <t>VPN1246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</si>
</sst>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_(* #,##0.00_);_(* \(#,##0.00\);_(* &quot;-&quot;??_);_(@_)"/>
    <numFmt numFmtId="165" formatCode="_-* #,##0.00_р_._-;\-* #,##0.00_р_._-;_-* &quot;-&quot;??_р_._-;_-@_-"/>
    <numFmt numFmtId="166" formatCode="0.0%"/>
  </numFmts>
  <fonts count="50" x14ac:knownFonts="1">
    <font>
      <sz val="11"/>
      <color theme="1"/>
      <name val="Calibri"/>
      <family val="2"/>
      <charset val="204"/>
      <scheme val="minor"/>
    </font>
    <font>
      <sz val="11"/>
      <color indexed="8"/>
      <name val="Cambria"/>
      <family val="1"/>
      <charset val="204"/>
    </font>
    <font>
      <b/>
      <sz val="11"/>
      <color indexed="8"/>
      <name val="Cambria"/>
      <family val="1"/>
      <charset val="204"/>
    </font>
    <font>
      <sz val="9"/>
      <color indexed="81"/>
      <name val="Tahoma"/>
      <family val="2"/>
      <charset val="204"/>
    </font>
    <font>
      <b/>
      <sz val="9"/>
      <color indexed="81"/>
      <name val="Tahoma"/>
      <family val="2"/>
      <charset val="204"/>
    </font>
    <font>
      <sz val="11"/>
      <color rgb="FFFF0000"/>
      <name val="Cambria"/>
      <family val="1"/>
      <charset val="204"/>
    </font>
    <font>
      <sz val="11"/>
      <color theme="1"/>
      <name val="Cambria"/>
      <family val="1"/>
      <charset val="204"/>
    </font>
    <font>
      <sz val="9"/>
      <color indexed="8"/>
      <name val="Arial"/>
      <family val="2"/>
      <charset val="204"/>
    </font>
    <font>
      <b/>
      <sz val="9"/>
      <color indexed="8"/>
      <name val="Arial"/>
      <family val="2"/>
      <charset val="204"/>
    </font>
    <font>
      <sz val="9"/>
      <name val="Arial"/>
      <family val="2"/>
      <charset val="204"/>
    </font>
    <font>
      <sz val="9"/>
      <color theme="1"/>
      <name val="Arial"/>
      <family val="2"/>
      <charset val="204"/>
    </font>
    <font>
      <sz val="11"/>
      <color theme="1"/>
      <name val="Calibri"/>
      <family val="2"/>
      <charset val="204"/>
      <scheme val="minor"/>
    </font>
    <font>
      <sz val="10"/>
      <name val="Arial"/>
      <family val="2"/>
      <charset val="204"/>
    </font>
    <font>
      <sz val="10"/>
      <name val="Arial"/>
      <family val="2"/>
      <charset val="204"/>
    </font>
    <font>
      <sz val="10"/>
      <name val="Arial"/>
      <family val="2"/>
      <charset val="204"/>
    </font>
    <font>
      <sz val="10"/>
      <name val="Arial Cyr"/>
      <charset val="204"/>
    </font>
    <font>
      <sz val="10"/>
      <name val="Times New Roman"/>
      <family val="1"/>
    </font>
    <font>
      <sz val="9"/>
      <color indexed="8"/>
      <name val="Arial"/>
      <family val="2"/>
    </font>
    <font>
      <i/>
      <sz val="11"/>
      <color rgb="FF1F497D"/>
      <name val="Arial"/>
      <family val="2"/>
    </font>
    <font>
      <b/>
      <sz val="12"/>
      <color rgb="FF1F497D"/>
      <name val="Calibri"/>
      <family val="2"/>
      <charset val="204"/>
      <scheme val="minor"/>
    </font>
    <font>
      <sz val="9"/>
      <color rgb="FF000000"/>
      <name val="Arial"/>
      <family val="2"/>
      <charset val="204"/>
    </font>
    <font>
      <u/>
      <sz val="11"/>
      <color theme="10"/>
      <name val="Calibri"/>
      <family val="2"/>
      <charset val="204"/>
      <scheme val="minor"/>
    </font>
    <font>
      <sz val="9"/>
      <color indexed="8"/>
      <name val="Arial"/>
      <family val="2"/>
    </font>
    <font>
      <sz val="9"/>
      <color indexed="8"/>
      <name val="Arial"/>
      <family val="2"/>
      <charset val="204"/>
    </font>
    <font>
      <sz val="9"/>
      <color indexed="8"/>
      <name val="Arial"/>
      <family val="2"/>
      <charset val="204"/>
    </font>
    <font>
      <sz val="9"/>
      <color indexed="8"/>
      <name val="Arial"/>
      <family val="2"/>
      <charset val="204"/>
    </font>
    <font>
      <sz val="9"/>
      <color indexed="8"/>
      <name val="Arial"/>
      <family val="2"/>
      <charset val="204"/>
    </font>
    <font>
      <b/>
      <sz val="11"/>
      <color theme="1"/>
      <name val="Calibri"/>
      <family val="2"/>
      <charset val="204"/>
      <scheme val="minor"/>
    </font>
    <font>
      <sz val="8"/>
      <color theme="1"/>
      <name val="Calibri"/>
      <family val="2"/>
      <charset val="204"/>
      <scheme val="minor"/>
    </font>
    <font>
      <sz val="9"/>
      <color rgb="FFFF0000"/>
      <name val="Arial"/>
      <family val="2"/>
      <charset val="204"/>
    </font>
    <font>
      <sz val="10"/>
      <color theme="1"/>
      <name val="Tahoma"/>
      <family val="2"/>
      <charset val="204"/>
    </font>
    <font>
      <sz val="12"/>
      <color rgb="FF000000"/>
      <name val="Calibri"/>
      <family val="2"/>
      <charset val="204"/>
      <scheme val="minor"/>
    </font>
    <font>
      <sz val="11"/>
      <color rgb="FFFF0000"/>
      <name val="Calibri"/>
      <family val="2"/>
      <charset val="204"/>
      <scheme val="minor"/>
    </font>
    <font>
      <b/>
      <sz val="9"/>
      <color rgb="FF000000"/>
      <name val="Arial"/>
      <family val="2"/>
      <charset val="204"/>
    </font>
    <font>
      <sz val="9"/>
      <color theme="9" tint="0.79998168889431442"/>
      <name val="Arial"/>
      <family val="2"/>
      <charset val="204"/>
    </font>
    <font>
      <sz val="9"/>
      <color rgb="FFC0C0C0"/>
      <name val="Arial"/>
      <family val="2"/>
      <charset val="204"/>
    </font>
    <font>
      <sz val="9"/>
      <color rgb="FF00CCFF"/>
      <name val="Arial"/>
      <family val="2"/>
      <charset val="204"/>
    </font>
    <font>
      <sz val="9"/>
      <color theme="9" tint="0.59999389629810485"/>
      <name val="Arial"/>
      <family val="2"/>
      <charset val="204"/>
    </font>
    <font>
      <sz val="9"/>
      <color theme="7" tint="0.79998168889431442"/>
      <name val="Arial"/>
      <family val="2"/>
      <charset val="204"/>
    </font>
    <font>
      <sz val="9"/>
      <color theme="9" tint="-0.249977111117893"/>
      <name val="Arial"/>
      <family val="2"/>
      <charset val="204"/>
    </font>
    <font>
      <sz val="9"/>
      <color theme="5" tint="0.59999389629810485"/>
      <name val="Arial"/>
      <family val="2"/>
      <charset val="204"/>
    </font>
    <font>
      <sz val="9"/>
      <color rgb="FF92D050"/>
      <name val="Arial"/>
      <family val="2"/>
      <charset val="204"/>
    </font>
    <font>
      <sz val="9"/>
      <color rgb="FFFFFF00"/>
      <name val="Arial"/>
      <family val="2"/>
      <charset val="204"/>
    </font>
    <font>
      <sz val="9"/>
      <color rgb="FFFFC000"/>
      <name val="Arial"/>
      <family val="2"/>
      <charset val="204"/>
    </font>
    <font>
      <sz val="9"/>
      <color theme="7" tint="0.39997558519241921"/>
      <name val="Arial"/>
      <family val="2"/>
      <charset val="204"/>
    </font>
    <font>
      <sz val="9"/>
      <color theme="7" tint="0.59999389629810485"/>
      <name val="Arial"/>
      <family val="2"/>
      <charset val="204"/>
    </font>
    <font>
      <sz val="9"/>
      <color theme="5" tint="0.79998168889431442"/>
      <name val="Arial"/>
      <family val="2"/>
      <charset val="204"/>
    </font>
    <font>
      <sz val="9"/>
      <color theme="4" tint="0.59999389629810485"/>
      <name val="Arial"/>
      <family val="2"/>
      <charset val="204"/>
    </font>
    <font>
      <sz val="11"/>
      <color rgb="FF00B050"/>
      <name val="Calibri"/>
      <family val="2"/>
      <charset val="204"/>
      <scheme val="minor"/>
    </font>
    <font>
      <b/>
      <sz val="12"/>
      <color rgb="FF000080"/>
      <name val="Arial"/>
      <family val="2"/>
      <charset val="204"/>
    </font>
  </fonts>
  <fills count="25">
    <fill>
      <patternFill patternType="none"/>
    </fill>
    <fill>
      <patternFill patternType="gray125"/>
    </fill>
    <fill>
      <patternFill patternType="solid">
        <fgColor indexed="22"/>
        <bgColor indexed="64"/>
      </patternFill>
    </fill>
    <fill>
      <patternFill patternType="solid">
        <fgColor indexed="44"/>
        <bgColor indexed="64"/>
      </patternFill>
    </fill>
    <fill>
      <patternFill patternType="solid">
        <fgColor indexed="40"/>
        <bgColor indexed="64"/>
      </patternFill>
    </fill>
    <fill>
      <patternFill patternType="solid">
        <fgColor indexed="13"/>
        <bgColor indexed="64"/>
      </patternFill>
    </fill>
    <fill>
      <patternFill patternType="solid">
        <fgColor rgb="FFFFFF00"/>
        <bgColor indexed="64"/>
      </patternFill>
    </fill>
    <fill>
      <patternFill patternType="solid">
        <fgColor rgb="FFFFC000"/>
        <bgColor indexed="64"/>
      </patternFill>
    </fill>
    <fill>
      <patternFill patternType="solid">
        <fgColor rgb="FF92D050"/>
        <bgColor indexed="64"/>
      </patternFill>
    </fill>
    <fill>
      <patternFill patternType="solid">
        <fgColor theme="5" tint="0.79998168889431442"/>
        <bgColor indexed="64"/>
      </patternFill>
    </fill>
    <fill>
      <patternFill patternType="solid">
        <fgColor rgb="FF00CCFF"/>
        <bgColor indexed="64"/>
      </patternFill>
    </fill>
    <fill>
      <patternFill patternType="solid">
        <fgColor theme="7" tint="0.39997558519241921"/>
        <bgColor indexed="64"/>
      </patternFill>
    </fill>
    <fill>
      <patternFill patternType="solid">
        <fgColor rgb="FFC0C0C0"/>
        <bgColor indexed="64"/>
      </patternFill>
    </fill>
    <fill>
      <patternFill patternType="solid">
        <fgColor theme="9" tint="-0.249977111117893"/>
        <bgColor indexed="64"/>
      </patternFill>
    </fill>
    <fill>
      <patternFill patternType="solid">
        <fgColor rgb="FF00FF00"/>
        <bgColor indexed="64"/>
      </patternFill>
    </fill>
    <fill>
      <patternFill patternType="solid">
        <fgColor rgb="FF00B050"/>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0"/>
        <bgColor indexed="64"/>
      </patternFill>
    </fill>
    <fill>
      <patternFill patternType="solid">
        <fgColor theme="8" tint="0.39997558519241921"/>
        <bgColor indexed="64"/>
      </patternFill>
    </fill>
    <fill>
      <patternFill patternType="solid">
        <fgColor rgb="FFFF0000"/>
        <bgColor indexed="64"/>
      </patternFill>
    </fill>
    <fill>
      <patternFill patternType="solid">
        <fgColor rgb="FF99CCFF"/>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auto="1"/>
      </right>
      <top style="thin">
        <color indexed="64"/>
      </top>
      <bottom style="thin">
        <color indexed="64"/>
      </bottom>
      <diagonal/>
    </border>
    <border>
      <left style="thin">
        <color indexed="64"/>
      </left>
      <right style="thin">
        <color auto="1"/>
      </right>
      <top style="thin">
        <color indexed="64"/>
      </top>
      <bottom style="thin">
        <color indexed="64"/>
      </bottom>
      <diagonal/>
    </border>
    <border>
      <left style="thin">
        <color auto="1"/>
      </left>
      <right/>
      <top/>
      <bottom/>
      <diagonal/>
    </border>
    <border>
      <left style="thin">
        <color indexed="64"/>
      </left>
      <right style="thin">
        <color auto="1"/>
      </right>
      <top style="thin">
        <color indexed="64"/>
      </top>
      <bottom style="thin">
        <color indexed="64"/>
      </bottom>
      <diagonal/>
    </border>
    <border>
      <left style="thin">
        <color indexed="64"/>
      </left>
      <right style="thin">
        <color auto="1"/>
      </right>
      <top style="thin">
        <color indexed="64"/>
      </top>
      <bottom style="thin">
        <color indexed="64"/>
      </bottom>
      <diagonal/>
    </border>
    <border>
      <left style="thin">
        <color indexed="64"/>
      </left>
      <right style="thin">
        <color auto="1"/>
      </right>
      <top style="thin">
        <color indexed="64"/>
      </top>
      <bottom style="thin">
        <color indexed="64"/>
      </bottom>
      <diagonal/>
    </border>
    <border>
      <left style="thin">
        <color rgb="FF000000"/>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right style="thin">
        <color indexed="64"/>
      </right>
      <top/>
      <bottom/>
      <diagonal/>
    </border>
    <border>
      <left style="thin">
        <color auto="1"/>
      </left>
      <right style="thin">
        <color indexed="64"/>
      </right>
      <top style="thin">
        <color indexed="64"/>
      </top>
      <bottom style="thin">
        <color indexed="64"/>
      </bottom>
      <diagonal/>
    </border>
    <border>
      <left style="thin">
        <color auto="1"/>
      </left>
      <right style="thin">
        <color indexed="64"/>
      </right>
      <top style="thin">
        <color indexed="64"/>
      </top>
      <bottom style="thin">
        <color indexed="64"/>
      </bottom>
      <diagonal/>
    </border>
    <border>
      <left style="thin">
        <color auto="1"/>
      </left>
      <right style="thin">
        <color indexed="64"/>
      </right>
      <top/>
      <bottom/>
      <diagonal/>
    </border>
  </borders>
  <cellStyleXfs count="42406">
    <xf numFmtId="0" fontId="0" fillId="0" borderId="0"/>
    <xf numFmtId="0" fontId="12"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1" fillId="0" borderId="0"/>
    <xf numFmtId="0" fontId="13" fillId="0" borderId="0"/>
    <xf numFmtId="0" fontId="11" fillId="0" borderId="0"/>
    <xf numFmtId="9" fontId="13"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3" fillId="0" borderId="0"/>
    <xf numFmtId="9" fontId="13"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3" fillId="0" borderId="0"/>
    <xf numFmtId="9" fontId="13"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3" fillId="0" borderId="0"/>
    <xf numFmtId="9" fontId="13"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3" fillId="0" borderId="0"/>
    <xf numFmtId="9" fontId="13"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3" fillId="0" borderId="0"/>
    <xf numFmtId="9" fontId="13"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3" fillId="0" borderId="0"/>
    <xf numFmtId="9" fontId="13"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3" fillId="0" borderId="0"/>
    <xf numFmtId="9" fontId="13"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3" fillId="0" borderId="0"/>
    <xf numFmtId="9" fontId="13"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4"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9"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9" fontId="12"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1" fillId="0" borderId="0"/>
    <xf numFmtId="0" fontId="11" fillId="0" borderId="0"/>
    <xf numFmtId="0" fontId="12" fillId="0" borderId="0"/>
    <xf numFmtId="9" fontId="12"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9" fontId="12"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5" fillId="0" borderId="0"/>
    <xf numFmtId="0" fontId="16" fillId="0" borderId="0"/>
    <xf numFmtId="165" fontId="16" fillId="0" borderId="0" applyFont="0" applyFill="0" applyBorder="0" applyAlignment="0" applyProtection="0"/>
    <xf numFmtId="0" fontId="21" fillId="0" borderId="0" applyNumberFormat="0" applyFill="0" applyBorder="0" applyAlignment="0" applyProtection="0"/>
    <xf numFmtId="9" fontId="11" fillId="0" borderId="0" applyFont="0" applyFill="0" applyBorder="0" applyAlignment="0" applyProtection="0"/>
    <xf numFmtId="164" fontId="11" fillId="0" borderId="0" applyFont="0" applyFill="0" applyBorder="0" applyAlignment="0" applyProtection="0"/>
  </cellStyleXfs>
  <cellXfs count="357">
    <xf numFmtId="0" fontId="0" fillId="0" borderId="0" xfId="0"/>
    <xf numFmtId="0" fontId="1" fillId="0" borderId="0" xfId="0" applyFont="1" applyAlignment="1">
      <alignment horizontal="center"/>
    </xf>
    <xf numFmtId="0" fontId="2" fillId="0" borderId="0" xfId="0" applyFont="1" applyAlignment="1">
      <alignment horizontal="center"/>
    </xf>
    <xf numFmtId="0" fontId="1" fillId="0" borderId="0" xfId="0" applyFont="1" applyAlignment="1">
      <alignment horizontal="left"/>
    </xf>
    <xf numFmtId="0" fontId="1" fillId="0" borderId="0" xfId="0" applyFont="1" applyFill="1" applyAlignment="1">
      <alignment horizontal="center"/>
    </xf>
    <xf numFmtId="0" fontId="6" fillId="0" borderId="0" xfId="0" applyFont="1" applyFill="1" applyAlignment="1">
      <alignment horizontal="center"/>
    </xf>
    <xf numFmtId="0" fontId="6" fillId="0" borderId="0" xfId="0" applyFont="1" applyAlignment="1">
      <alignment horizontal="center"/>
    </xf>
    <xf numFmtId="0" fontId="7" fillId="2" borderId="1" xfId="0" applyFont="1" applyFill="1" applyBorder="1" applyAlignment="1">
      <alignment horizontal="center" vertical="center"/>
    </xf>
    <xf numFmtId="0" fontId="10" fillId="4" borderId="1" xfId="0" applyFont="1" applyFill="1" applyBorder="1" applyAlignment="1">
      <alignment horizontal="center" vertical="center"/>
    </xf>
    <xf numFmtId="0" fontId="7" fillId="7" borderId="1" xfId="0" applyFont="1" applyFill="1" applyBorder="1" applyAlignment="1">
      <alignment horizontal="center" vertical="center"/>
    </xf>
    <xf numFmtId="0" fontId="7" fillId="7" borderId="1" xfId="0" applyFont="1" applyFill="1" applyBorder="1" applyAlignment="1">
      <alignment horizontal="center" vertical="center" wrapText="1"/>
    </xf>
    <xf numFmtId="0" fontId="0" fillId="0" borderId="0" xfId="0" applyAlignment="1">
      <alignment horizontal="center"/>
    </xf>
    <xf numFmtId="0" fontId="8" fillId="3" borderId="1" xfId="0" applyFont="1" applyFill="1" applyBorder="1" applyAlignment="1">
      <alignment horizontal="center" vertical="center" wrapText="1"/>
    </xf>
    <xf numFmtId="0" fontId="7" fillId="5" borderId="1" xfId="0" applyFont="1" applyFill="1" applyBorder="1" applyAlignment="1">
      <alignment horizontal="center" vertical="center"/>
    </xf>
    <xf numFmtId="0" fontId="7" fillId="0" borderId="1" xfId="0" applyFont="1" applyFill="1" applyBorder="1" applyAlignment="1">
      <alignment horizontal="center" vertical="center"/>
    </xf>
    <xf numFmtId="0" fontId="7" fillId="0" borderId="1" xfId="0" applyFont="1" applyBorder="1" applyAlignment="1">
      <alignment horizontal="center" vertical="center"/>
    </xf>
    <xf numFmtId="0" fontId="7" fillId="4" borderId="1" xfId="0" applyFont="1" applyFill="1" applyBorder="1" applyAlignment="1">
      <alignment horizontal="center" vertical="center"/>
    </xf>
    <xf numFmtId="0" fontId="8" fillId="3" borderId="1" xfId="0" applyFont="1" applyFill="1" applyBorder="1" applyAlignment="1">
      <alignment horizontal="center" vertical="center"/>
    </xf>
    <xf numFmtId="0" fontId="7" fillId="8" borderId="1" xfId="0" applyFont="1" applyFill="1" applyBorder="1" applyAlignment="1">
      <alignment horizontal="center" vertical="center"/>
    </xf>
    <xf numFmtId="0" fontId="9" fillId="8" borderId="1" xfId="0" applyFont="1" applyFill="1" applyBorder="1" applyAlignment="1">
      <alignment horizontal="center" vertical="center"/>
    </xf>
    <xf numFmtId="0" fontId="7" fillId="9" borderId="1" xfId="0" applyFont="1" applyFill="1" applyBorder="1" applyAlignment="1">
      <alignment horizontal="center" vertical="center"/>
    </xf>
    <xf numFmtId="0" fontId="7" fillId="8" borderId="3" xfId="0" applyFont="1" applyFill="1" applyBorder="1" applyAlignment="1">
      <alignment horizontal="center" vertical="center"/>
    </xf>
    <xf numFmtId="0" fontId="7" fillId="4" borderId="3" xfId="0" applyFont="1" applyFill="1" applyBorder="1" applyAlignment="1">
      <alignment horizontal="center" vertical="center"/>
    </xf>
    <xf numFmtId="0" fontId="7" fillId="5" borderId="3" xfId="0" applyFont="1" applyFill="1" applyBorder="1" applyAlignment="1">
      <alignment horizontal="center" vertical="center"/>
    </xf>
    <xf numFmtId="0" fontId="7" fillId="0" borderId="3" xfId="0" applyFont="1" applyFill="1" applyBorder="1" applyAlignment="1">
      <alignment horizontal="center" vertical="center"/>
    </xf>
    <xf numFmtId="0" fontId="7" fillId="2" borderId="3" xfId="0" applyFont="1" applyFill="1" applyBorder="1" applyAlignment="1">
      <alignment horizontal="center" vertical="center"/>
    </xf>
    <xf numFmtId="0" fontId="10" fillId="4" borderId="3" xfId="0" applyFont="1" applyFill="1" applyBorder="1" applyAlignment="1">
      <alignment horizontal="center" vertical="center"/>
    </xf>
    <xf numFmtId="0" fontId="7" fillId="9" borderId="3" xfId="0" applyFont="1" applyFill="1" applyBorder="1" applyAlignment="1">
      <alignment horizontal="center" vertical="center"/>
    </xf>
    <xf numFmtId="0" fontId="7" fillId="7" borderId="3" xfId="0" applyFont="1" applyFill="1" applyBorder="1" applyAlignment="1">
      <alignment horizontal="center" vertical="center"/>
    </xf>
    <xf numFmtId="0" fontId="7" fillId="8" borderId="5" xfId="0" applyFont="1" applyFill="1" applyBorder="1" applyAlignment="1">
      <alignment horizontal="center" vertical="center" wrapText="1"/>
    </xf>
    <xf numFmtId="0" fontId="7" fillId="4" borderId="5" xfId="0" applyFont="1" applyFill="1" applyBorder="1" applyAlignment="1">
      <alignment horizontal="center" vertical="center"/>
    </xf>
    <xf numFmtId="0" fontId="7" fillId="5" borderId="5" xfId="0" applyFont="1" applyFill="1" applyBorder="1" applyAlignment="1">
      <alignment horizontal="center" vertical="center"/>
    </xf>
    <xf numFmtId="0" fontId="7" fillId="0" borderId="5" xfId="0" applyFont="1" applyBorder="1" applyAlignment="1">
      <alignment horizontal="center" vertical="center"/>
    </xf>
    <xf numFmtId="0" fontId="7" fillId="8" borderId="5" xfId="0" applyFont="1" applyFill="1" applyBorder="1" applyAlignment="1">
      <alignment horizontal="center" vertical="center"/>
    </xf>
    <xf numFmtId="0" fontId="7" fillId="2" borderId="5" xfId="0" applyFont="1" applyFill="1" applyBorder="1" applyAlignment="1">
      <alignment horizontal="center" vertical="center"/>
    </xf>
    <xf numFmtId="0" fontId="10" fillId="4" borderId="5" xfId="0" applyFont="1" applyFill="1" applyBorder="1" applyAlignment="1">
      <alignment horizontal="center" vertical="center"/>
    </xf>
    <xf numFmtId="0" fontId="7" fillId="9" borderId="5" xfId="0" applyFont="1" applyFill="1" applyBorder="1" applyAlignment="1">
      <alignment horizontal="center" vertical="center"/>
    </xf>
    <xf numFmtId="0" fontId="7" fillId="7" borderId="5" xfId="0" applyFont="1" applyFill="1" applyBorder="1" applyAlignment="1">
      <alignment horizontal="center" vertical="center"/>
    </xf>
    <xf numFmtId="0" fontId="8" fillId="3" borderId="7" xfId="0" applyFont="1" applyFill="1" applyBorder="1" applyAlignment="1">
      <alignment horizontal="center" vertical="center"/>
    </xf>
    <xf numFmtId="0" fontId="8" fillId="3" borderId="8" xfId="0" applyFont="1" applyFill="1" applyBorder="1" applyAlignment="1">
      <alignment horizontal="center" vertical="center" wrapText="1"/>
    </xf>
    <xf numFmtId="0" fontId="8" fillId="3" borderId="9" xfId="0" applyFont="1" applyFill="1" applyBorder="1" applyAlignment="1">
      <alignment horizontal="center" vertical="center" wrapText="1"/>
    </xf>
    <xf numFmtId="0" fontId="5" fillId="0" borderId="0" xfId="0" applyFont="1" applyFill="1" applyBorder="1" applyAlignment="1">
      <alignment horizontal="center"/>
    </xf>
    <xf numFmtId="0" fontId="5" fillId="0" borderId="0" xfId="0" applyFont="1" applyBorder="1" applyAlignment="1">
      <alignment horizontal="center"/>
    </xf>
    <xf numFmtId="0" fontId="1" fillId="0" borderId="0" xfId="0" applyFont="1" applyFill="1" applyBorder="1" applyAlignment="1">
      <alignment horizontal="center"/>
    </xf>
    <xf numFmtId="0" fontId="1" fillId="0" borderId="0" xfId="0" applyFont="1" applyBorder="1" applyAlignment="1">
      <alignment horizontal="center"/>
    </xf>
    <xf numFmtId="0" fontId="7" fillId="11" borderId="3" xfId="0" applyFont="1" applyFill="1" applyBorder="1" applyAlignment="1">
      <alignment horizontal="center" vertical="center"/>
    </xf>
    <xf numFmtId="0" fontId="7" fillId="11" borderId="1" xfId="0" applyFont="1" applyFill="1" applyBorder="1" applyAlignment="1">
      <alignment horizontal="center" vertical="center"/>
    </xf>
    <xf numFmtId="0" fontId="7" fillId="11" borderId="5" xfId="0" applyFont="1" applyFill="1" applyBorder="1" applyAlignment="1">
      <alignment horizontal="center" vertical="center"/>
    </xf>
    <xf numFmtId="0" fontId="19" fillId="0" borderId="0" xfId="0" applyFont="1" applyAlignment="1">
      <alignment vertical="center"/>
    </xf>
    <xf numFmtId="0" fontId="7" fillId="11" borderId="1" xfId="0" applyFont="1" applyFill="1" applyBorder="1" applyAlignment="1">
      <alignment horizontal="center" vertical="center" wrapText="1"/>
    </xf>
    <xf numFmtId="0" fontId="1" fillId="0" borderId="0" xfId="0" applyFont="1" applyAlignment="1">
      <alignment horizontal="center" vertical="center"/>
    </xf>
    <xf numFmtId="0" fontId="7" fillId="6" borderId="3" xfId="0" applyFont="1" applyFill="1" applyBorder="1" applyAlignment="1">
      <alignment horizontal="center" vertical="center"/>
    </xf>
    <xf numFmtId="0" fontId="7" fillId="6" borderId="1" xfId="0" applyFont="1" applyFill="1" applyBorder="1" applyAlignment="1">
      <alignment horizontal="center" vertical="center"/>
    </xf>
    <xf numFmtId="0" fontId="7" fillId="6" borderId="5" xfId="0" applyFont="1" applyFill="1" applyBorder="1" applyAlignment="1">
      <alignment horizontal="center" vertical="center"/>
    </xf>
    <xf numFmtId="0" fontId="7" fillId="4" borderId="1" xfId="0" applyFont="1" applyFill="1" applyBorder="1" applyAlignment="1">
      <alignment horizontal="center" vertical="center" wrapText="1"/>
    </xf>
    <xf numFmtId="0" fontId="7" fillId="2" borderId="1" xfId="0" applyFont="1" applyFill="1" applyBorder="1" applyAlignment="1">
      <alignment horizontal="center" vertical="center" wrapText="1"/>
    </xf>
    <xf numFmtId="0" fontId="7" fillId="12" borderId="3" xfId="0" applyFont="1" applyFill="1" applyBorder="1" applyAlignment="1">
      <alignment horizontal="center" vertical="center"/>
    </xf>
    <xf numFmtId="0" fontId="7" fillId="12" borderId="1" xfId="0" applyFont="1" applyFill="1" applyBorder="1" applyAlignment="1">
      <alignment horizontal="center" vertical="center"/>
    </xf>
    <xf numFmtId="0" fontId="7" fillId="12" borderId="5" xfId="0" applyFont="1" applyFill="1" applyBorder="1" applyAlignment="1">
      <alignment horizontal="center" vertical="center"/>
    </xf>
    <xf numFmtId="0" fontId="7" fillId="12" borderId="1" xfId="0" applyFont="1" applyFill="1" applyBorder="1" applyAlignment="1">
      <alignment horizontal="center" vertical="center" wrapText="1"/>
    </xf>
    <xf numFmtId="0" fontId="7" fillId="10" borderId="3" xfId="0" applyFont="1" applyFill="1" applyBorder="1" applyAlignment="1">
      <alignment horizontal="center" vertical="center"/>
    </xf>
    <xf numFmtId="0" fontId="7" fillId="10" borderId="1" xfId="0" applyFont="1" applyFill="1" applyBorder="1" applyAlignment="1">
      <alignment horizontal="center" vertical="center"/>
    </xf>
    <xf numFmtId="0" fontId="7" fillId="10" borderId="5" xfId="0" applyFont="1" applyFill="1" applyBorder="1" applyAlignment="1">
      <alignment horizontal="center" vertical="center"/>
    </xf>
    <xf numFmtId="0" fontId="8" fillId="3" borderId="5" xfId="0" applyFont="1" applyFill="1" applyBorder="1" applyAlignment="1">
      <alignment horizontal="center" vertical="center" wrapText="1"/>
    </xf>
    <xf numFmtId="0" fontId="8" fillId="0" borderId="0" xfId="0" applyFont="1" applyFill="1" applyBorder="1" applyAlignment="1">
      <alignment horizontal="center" vertical="center" wrapText="1"/>
    </xf>
    <xf numFmtId="0" fontId="20" fillId="0" borderId="0" xfId="0" applyFont="1" applyFill="1" applyBorder="1" applyAlignment="1">
      <alignment horizontal="center" vertical="center"/>
    </xf>
    <xf numFmtId="0" fontId="7" fillId="13" borderId="3" xfId="0" applyFont="1" applyFill="1" applyBorder="1" applyAlignment="1">
      <alignment horizontal="center" vertical="center"/>
    </xf>
    <xf numFmtId="0" fontId="7" fillId="13" borderId="1" xfId="0" applyFont="1" applyFill="1" applyBorder="1" applyAlignment="1">
      <alignment horizontal="center" vertical="center"/>
    </xf>
    <xf numFmtId="0" fontId="7" fillId="13" borderId="5" xfId="0" applyFont="1" applyFill="1" applyBorder="1" applyAlignment="1">
      <alignment horizontal="center" vertical="center"/>
    </xf>
    <xf numFmtId="0" fontId="7" fillId="13" borderId="1" xfId="0" applyFont="1" applyFill="1" applyBorder="1" applyAlignment="1">
      <alignment horizontal="center" vertical="center" wrapText="1"/>
    </xf>
    <xf numFmtId="0" fontId="7" fillId="10" borderId="4" xfId="0" applyFont="1" applyFill="1" applyBorder="1" applyAlignment="1">
      <alignment horizontal="center" vertical="center"/>
    </xf>
    <xf numFmtId="0" fontId="7" fillId="10" borderId="2" xfId="0" applyFont="1" applyFill="1" applyBorder="1" applyAlignment="1">
      <alignment horizontal="center" vertical="center"/>
    </xf>
    <xf numFmtId="0" fontId="7" fillId="10" borderId="6" xfId="0" applyFont="1" applyFill="1" applyBorder="1" applyAlignment="1">
      <alignment horizontal="center" vertical="center"/>
    </xf>
    <xf numFmtId="0" fontId="7" fillId="7" borderId="5" xfId="0"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9" borderId="2" xfId="0" applyFont="1" applyFill="1" applyBorder="1" applyAlignment="1">
      <alignment horizontal="center" vertical="center"/>
    </xf>
    <xf numFmtId="0" fontId="23" fillId="9" borderId="5" xfId="0" applyFont="1" applyFill="1" applyBorder="1" applyAlignment="1">
      <alignment horizontal="center" vertical="center"/>
    </xf>
    <xf numFmtId="0" fontId="23" fillId="9" borderId="1" xfId="0" applyFont="1" applyFill="1" applyBorder="1" applyAlignment="1">
      <alignment horizontal="center" vertical="center"/>
    </xf>
    <xf numFmtId="0" fontId="23" fillId="9" borderId="3" xfId="0" applyFont="1" applyFill="1" applyBorder="1" applyAlignment="1">
      <alignment horizontal="center" vertical="center"/>
    </xf>
    <xf numFmtId="0" fontId="24" fillId="9" borderId="5" xfId="0" applyFont="1" applyFill="1" applyBorder="1" applyAlignment="1">
      <alignment horizontal="center" vertical="center"/>
    </xf>
    <xf numFmtId="0" fontId="24" fillId="9" borderId="1" xfId="0" applyFont="1" applyFill="1" applyBorder="1" applyAlignment="1">
      <alignment horizontal="center" vertical="center"/>
    </xf>
    <xf numFmtId="0" fontId="26" fillId="9" borderId="2" xfId="0" applyFont="1" applyFill="1" applyBorder="1" applyAlignment="1">
      <alignment horizontal="center" vertical="center"/>
    </xf>
    <xf numFmtId="0" fontId="24" fillId="12" borderId="1" xfId="0" applyFont="1" applyFill="1" applyBorder="1" applyAlignment="1">
      <alignment horizontal="center" vertical="center"/>
    </xf>
    <xf numFmtId="0" fontId="7" fillId="7" borderId="4" xfId="0" applyFont="1" applyFill="1" applyBorder="1" applyAlignment="1">
      <alignment horizontal="center" vertical="center"/>
    </xf>
    <xf numFmtId="0" fontId="7" fillId="7" borderId="2" xfId="0" applyFont="1" applyFill="1" applyBorder="1" applyAlignment="1">
      <alignment horizontal="center" vertical="center"/>
    </xf>
    <xf numFmtId="0" fontId="24" fillId="7" borderId="6" xfId="0" applyFont="1" applyFill="1" applyBorder="1" applyAlignment="1">
      <alignment horizontal="center" vertical="center"/>
    </xf>
    <xf numFmtId="0" fontId="24" fillId="7" borderId="2" xfId="0" applyFont="1" applyFill="1" applyBorder="1" applyAlignment="1">
      <alignment horizontal="center" vertical="center"/>
    </xf>
    <xf numFmtId="0" fontId="23" fillId="10" borderId="1" xfId="0" applyFont="1" applyFill="1" applyBorder="1" applyAlignment="1">
      <alignment horizontal="center" vertical="center"/>
    </xf>
    <xf numFmtId="0" fontId="22" fillId="10" borderId="3" xfId="0" applyFont="1" applyFill="1" applyBorder="1" applyAlignment="1">
      <alignment horizontal="center" vertical="center"/>
    </xf>
    <xf numFmtId="0" fontId="24" fillId="10" borderId="3" xfId="0" applyFont="1" applyFill="1" applyBorder="1" applyAlignment="1">
      <alignment horizontal="center" vertical="center"/>
    </xf>
    <xf numFmtId="0" fontId="24" fillId="10" borderId="5" xfId="0" applyFont="1" applyFill="1" applyBorder="1" applyAlignment="1">
      <alignment horizontal="center" vertical="center"/>
    </xf>
    <xf numFmtId="0" fontId="24" fillId="10" borderId="1" xfId="0" applyFont="1" applyFill="1" applyBorder="1" applyAlignment="1">
      <alignment horizontal="center" vertical="center"/>
    </xf>
    <xf numFmtId="0" fontId="23" fillId="10" borderId="3" xfId="0" applyFont="1" applyFill="1" applyBorder="1" applyAlignment="1">
      <alignment horizontal="center" vertical="center"/>
    </xf>
    <xf numFmtId="0" fontId="25" fillId="10" borderId="5" xfId="0" applyFont="1" applyFill="1" applyBorder="1" applyAlignment="1">
      <alignment horizontal="center" vertical="center"/>
    </xf>
    <xf numFmtId="0" fontId="25" fillId="10" borderId="1" xfId="0" applyFont="1" applyFill="1" applyBorder="1" applyAlignment="1">
      <alignment horizontal="center" vertical="center"/>
    </xf>
    <xf numFmtId="0" fontId="17" fillId="9" borderId="3" xfId="0" applyFont="1" applyFill="1" applyBorder="1" applyAlignment="1">
      <alignment horizontal="center" vertical="center"/>
    </xf>
    <xf numFmtId="0" fontId="21" fillId="0" borderId="0" xfId="42403"/>
    <xf numFmtId="0" fontId="7" fillId="4" borderId="4" xfId="0" applyFont="1" applyFill="1" applyBorder="1" applyAlignment="1">
      <alignment horizontal="center" vertical="center"/>
    </xf>
    <xf numFmtId="0" fontId="7" fillId="4" borderId="2" xfId="0" applyFont="1" applyFill="1" applyBorder="1" applyAlignment="1">
      <alignment horizontal="center" vertical="center"/>
    </xf>
    <xf numFmtId="0" fontId="7" fillId="4" borderId="6" xfId="0" applyFont="1" applyFill="1" applyBorder="1" applyAlignment="1">
      <alignment horizontal="center" vertical="center"/>
    </xf>
    <xf numFmtId="9" fontId="0" fillId="0" borderId="0" xfId="42404" applyFont="1"/>
    <xf numFmtId="0" fontId="0" fillId="0" borderId="10" xfId="0" applyBorder="1"/>
    <xf numFmtId="9" fontId="0" fillId="0" borderId="10" xfId="42404" applyFont="1" applyBorder="1"/>
    <xf numFmtId="0" fontId="27" fillId="0" borderId="10" xfId="0" applyFont="1" applyBorder="1"/>
    <xf numFmtId="0" fontId="27" fillId="0" borderId="0" xfId="0" applyFont="1"/>
    <xf numFmtId="9" fontId="27" fillId="0" borderId="10" xfId="42404" applyFont="1" applyBorder="1"/>
    <xf numFmtId="0" fontId="7" fillId="5" borderId="11" xfId="0" applyFont="1" applyFill="1" applyBorder="1" applyAlignment="1">
      <alignment horizontal="center" vertical="center"/>
    </xf>
    <xf numFmtId="0" fontId="7" fillId="2" borderId="11" xfId="0" applyFont="1" applyFill="1" applyBorder="1" applyAlignment="1">
      <alignment horizontal="center" vertical="center"/>
    </xf>
    <xf numFmtId="0" fontId="7" fillId="2" borderId="4" xfId="0" applyFont="1" applyFill="1" applyBorder="1" applyAlignment="1">
      <alignment horizontal="center" vertical="center"/>
    </xf>
    <xf numFmtId="0" fontId="7" fillId="2" borderId="2" xfId="0" applyFont="1" applyFill="1" applyBorder="1" applyAlignment="1">
      <alignment horizontal="center" vertical="center"/>
    </xf>
    <xf numFmtId="0" fontId="7" fillId="2" borderId="11" xfId="0" applyFont="1" applyFill="1" applyBorder="1" applyAlignment="1">
      <alignment horizontal="center" vertical="center" wrapText="1"/>
    </xf>
    <xf numFmtId="0" fontId="7" fillId="2" borderId="6" xfId="0" applyFont="1" applyFill="1" applyBorder="1" applyAlignment="1">
      <alignment horizontal="center" vertical="center"/>
    </xf>
    <xf numFmtId="0" fontId="7" fillId="9" borderId="4" xfId="0" applyFont="1" applyFill="1" applyBorder="1" applyAlignment="1">
      <alignment horizontal="center" vertical="center"/>
    </xf>
    <xf numFmtId="0" fontId="24" fillId="7" borderId="5" xfId="0" applyFont="1" applyFill="1" applyBorder="1" applyAlignment="1">
      <alignment horizontal="center" vertical="center"/>
    </xf>
    <xf numFmtId="0" fontId="7" fillId="9" borderId="6" xfId="0" applyFont="1" applyFill="1" applyBorder="1" applyAlignment="1">
      <alignment horizontal="center" vertical="center"/>
    </xf>
    <xf numFmtId="0" fontId="24" fillId="12" borderId="5" xfId="0" applyFont="1" applyFill="1" applyBorder="1" applyAlignment="1">
      <alignment horizontal="center" vertical="center"/>
    </xf>
    <xf numFmtId="0" fontId="7" fillId="5" borderId="4" xfId="0" applyFont="1" applyFill="1" applyBorder="1" applyAlignment="1">
      <alignment horizontal="center" vertical="center"/>
    </xf>
    <xf numFmtId="0" fontId="7" fillId="13" borderId="4" xfId="0" applyFont="1" applyFill="1" applyBorder="1" applyAlignment="1">
      <alignment horizontal="center" vertical="center"/>
    </xf>
    <xf numFmtId="0" fontId="7" fillId="5" borderId="2" xfId="0" applyFont="1" applyFill="1" applyBorder="1" applyAlignment="1">
      <alignment horizontal="center" vertical="center"/>
    </xf>
    <xf numFmtId="0" fontId="7" fillId="13" borderId="2" xfId="0" applyFont="1" applyFill="1" applyBorder="1" applyAlignment="1">
      <alignment horizontal="center" vertical="center"/>
    </xf>
    <xf numFmtId="0" fontId="7" fillId="13" borderId="2" xfId="0" applyFont="1" applyFill="1" applyBorder="1" applyAlignment="1">
      <alignment horizontal="center" vertical="center" wrapText="1"/>
    </xf>
    <xf numFmtId="0" fontId="7" fillId="5" borderId="6" xfId="0" applyFont="1" applyFill="1" applyBorder="1" applyAlignment="1">
      <alignment horizontal="center" vertical="center"/>
    </xf>
    <xf numFmtId="0" fontId="7" fillId="13" borderId="6" xfId="0" applyFont="1" applyFill="1" applyBorder="1" applyAlignment="1">
      <alignment horizontal="center" vertical="center"/>
    </xf>
    <xf numFmtId="0" fontId="7" fillId="7" borderId="6" xfId="0" applyFont="1" applyFill="1" applyBorder="1" applyAlignment="1">
      <alignment horizontal="center" vertical="center"/>
    </xf>
    <xf numFmtId="0" fontId="7" fillId="10" borderId="13" xfId="0" applyFont="1" applyFill="1" applyBorder="1" applyAlignment="1">
      <alignment horizontal="center" vertical="center"/>
    </xf>
    <xf numFmtId="0" fontId="7" fillId="11" borderId="13" xfId="0" applyFont="1" applyFill="1" applyBorder="1" applyAlignment="1">
      <alignment horizontal="center" vertical="center"/>
    </xf>
    <xf numFmtId="0" fontId="18" fillId="0" borderId="0" xfId="0" applyFont="1" applyAlignment="1">
      <alignment horizontal="center" vertical="center" wrapText="1"/>
    </xf>
    <xf numFmtId="0" fontId="29" fillId="2" borderId="1" xfId="0" applyFont="1" applyFill="1" applyBorder="1" applyAlignment="1">
      <alignment horizontal="center" vertical="center"/>
    </xf>
    <xf numFmtId="0" fontId="1" fillId="0" borderId="0" xfId="0" applyFont="1" applyAlignment="1">
      <alignment vertical="center"/>
    </xf>
    <xf numFmtId="0" fontId="30" fillId="0" borderId="0" xfId="0" applyFont="1"/>
    <xf numFmtId="0" fontId="30" fillId="6" borderId="0" xfId="0" applyFont="1" applyFill="1"/>
    <xf numFmtId="0" fontId="7" fillId="14" borderId="3" xfId="0" applyFont="1" applyFill="1" applyBorder="1" applyAlignment="1">
      <alignment horizontal="center" vertical="center"/>
    </xf>
    <xf numFmtId="0" fontId="7" fillId="10" borderId="14" xfId="0" applyFont="1" applyFill="1" applyBorder="1" applyAlignment="1">
      <alignment horizontal="center" vertical="center"/>
    </xf>
    <xf numFmtId="0" fontId="7" fillId="9" borderId="14" xfId="0" applyFont="1" applyFill="1" applyBorder="1" applyAlignment="1">
      <alignment horizontal="center" vertical="center"/>
    </xf>
    <xf numFmtId="0" fontId="7" fillId="7" borderId="14" xfId="0" applyFont="1" applyFill="1" applyBorder="1" applyAlignment="1">
      <alignment horizontal="center" vertical="center"/>
    </xf>
    <xf numFmtId="0" fontId="7" fillId="11" borderId="14" xfId="0" applyFont="1" applyFill="1" applyBorder="1" applyAlignment="1">
      <alignment horizontal="center" vertical="center"/>
    </xf>
    <xf numFmtId="0" fontId="7" fillId="11" borderId="14" xfId="0" applyFont="1" applyFill="1" applyBorder="1" applyAlignment="1">
      <alignment horizontal="center" vertical="center" wrapText="1"/>
    </xf>
    <xf numFmtId="0" fontId="7" fillId="12" borderId="4" xfId="0" applyFont="1" applyFill="1" applyBorder="1" applyAlignment="1">
      <alignment horizontal="center" vertical="center"/>
    </xf>
    <xf numFmtId="0" fontId="7" fillId="12" borderId="13" xfId="0" applyFont="1" applyFill="1" applyBorder="1" applyAlignment="1">
      <alignment horizontal="center" vertical="center"/>
    </xf>
    <xf numFmtId="0" fontId="7" fillId="12" borderId="2" xfId="0" applyFont="1" applyFill="1" applyBorder="1" applyAlignment="1">
      <alignment horizontal="center" vertical="center"/>
    </xf>
    <xf numFmtId="0" fontId="7" fillId="12" borderId="6" xfId="0" applyFont="1" applyFill="1" applyBorder="1" applyAlignment="1">
      <alignment horizontal="center" vertical="center"/>
    </xf>
    <xf numFmtId="0" fontId="7" fillId="10" borderId="15" xfId="0" applyFont="1" applyFill="1" applyBorder="1" applyAlignment="1">
      <alignment horizontal="center" vertical="center"/>
    </xf>
    <xf numFmtId="0" fontId="7" fillId="7" borderId="15" xfId="0" applyFont="1" applyFill="1" applyBorder="1" applyAlignment="1">
      <alignment horizontal="center" vertical="center"/>
    </xf>
    <xf numFmtId="0" fontId="7" fillId="4" borderId="15" xfId="0" applyFont="1" applyFill="1" applyBorder="1" applyAlignment="1">
      <alignment horizontal="center" vertical="center"/>
    </xf>
    <xf numFmtId="0" fontId="1" fillId="6" borderId="0" xfId="0" applyFont="1" applyFill="1" applyAlignment="1">
      <alignment horizontal="center"/>
    </xf>
    <xf numFmtId="0" fontId="7" fillId="5" borderId="0" xfId="0" applyFont="1" applyFill="1" applyBorder="1" applyAlignment="1">
      <alignment horizontal="left" vertical="center"/>
    </xf>
    <xf numFmtId="0" fontId="7" fillId="5" borderId="3" xfId="0" applyFont="1" applyFill="1" applyBorder="1" applyAlignment="1">
      <alignment horizontal="left" vertical="center"/>
    </xf>
    <xf numFmtId="0" fontId="7" fillId="9" borderId="15" xfId="0" applyFont="1" applyFill="1" applyBorder="1" applyAlignment="1">
      <alignment horizontal="center" vertical="center"/>
    </xf>
    <xf numFmtId="0" fontId="7" fillId="8" borderId="15" xfId="0" applyFont="1" applyFill="1" applyBorder="1" applyAlignment="1">
      <alignment horizontal="center" vertical="center"/>
    </xf>
    <xf numFmtId="0" fontId="7" fillId="11" borderId="15" xfId="0" applyFont="1" applyFill="1" applyBorder="1" applyAlignment="1">
      <alignment horizontal="center" vertical="center"/>
    </xf>
    <xf numFmtId="0" fontId="7" fillId="5" borderId="15" xfId="0" applyFont="1" applyFill="1" applyBorder="1" applyAlignment="1">
      <alignment horizontal="center" vertical="center"/>
    </xf>
    <xf numFmtId="0" fontId="7" fillId="13" borderId="15" xfId="0" applyFont="1" applyFill="1" applyBorder="1" applyAlignment="1">
      <alignment horizontal="center" vertical="center"/>
    </xf>
    <xf numFmtId="0" fontId="7" fillId="12" borderId="15" xfId="0" applyFont="1" applyFill="1" applyBorder="1" applyAlignment="1">
      <alignment horizontal="center" vertical="center"/>
    </xf>
    <xf numFmtId="0" fontId="7" fillId="16" borderId="3" xfId="0" applyFont="1" applyFill="1" applyBorder="1" applyAlignment="1">
      <alignment horizontal="center" vertical="center"/>
    </xf>
    <xf numFmtId="0" fontId="7" fillId="16" borderId="1" xfId="0" applyFont="1" applyFill="1" applyBorder="1" applyAlignment="1">
      <alignment horizontal="center" vertical="center"/>
    </xf>
    <xf numFmtId="0" fontId="7" fillId="16" borderId="5" xfId="0" applyFont="1" applyFill="1" applyBorder="1" applyAlignment="1">
      <alignment horizontal="center" vertical="center"/>
    </xf>
    <xf numFmtId="0" fontId="7" fillId="11" borderId="2" xfId="0" applyFont="1" applyFill="1" applyBorder="1" applyAlignment="1">
      <alignment horizontal="center" vertical="center"/>
    </xf>
    <xf numFmtId="0" fontId="24" fillId="9" borderId="4" xfId="0" applyFont="1" applyFill="1" applyBorder="1" applyAlignment="1">
      <alignment horizontal="center" vertical="center"/>
    </xf>
    <xf numFmtId="0" fontId="7" fillId="11" borderId="4" xfId="0" applyFont="1" applyFill="1" applyBorder="1" applyAlignment="1">
      <alignment horizontal="center" vertical="center"/>
    </xf>
    <xf numFmtId="0" fontId="26" fillId="10" borderId="15" xfId="0" applyFont="1" applyFill="1" applyBorder="1" applyAlignment="1">
      <alignment horizontal="center" vertical="center"/>
    </xf>
    <xf numFmtId="0" fontId="7" fillId="9" borderId="11" xfId="0" applyFont="1" applyFill="1" applyBorder="1" applyAlignment="1">
      <alignment horizontal="center" vertical="center"/>
    </xf>
    <xf numFmtId="0" fontId="24" fillId="7" borderId="15" xfId="0" applyFont="1" applyFill="1" applyBorder="1" applyAlignment="1">
      <alignment horizontal="center" vertical="center"/>
    </xf>
    <xf numFmtId="0" fontId="24" fillId="9" borderId="6" xfId="0" applyFont="1" applyFill="1" applyBorder="1" applyAlignment="1">
      <alignment horizontal="center" vertical="center"/>
    </xf>
    <xf numFmtId="0" fontId="7" fillId="11" borderId="6" xfId="0" applyFont="1" applyFill="1" applyBorder="1" applyAlignment="1">
      <alignment horizontal="center" vertical="center"/>
    </xf>
    <xf numFmtId="0" fontId="7" fillId="17" borderId="3" xfId="0" applyFont="1" applyFill="1" applyBorder="1" applyAlignment="1">
      <alignment horizontal="center" vertical="center"/>
    </xf>
    <xf numFmtId="0" fontId="7" fillId="17" borderId="15" xfId="0" applyFont="1" applyFill="1" applyBorder="1" applyAlignment="1">
      <alignment horizontal="center" vertical="center"/>
    </xf>
    <xf numFmtId="0" fontId="7" fillId="17" borderId="5" xfId="0" applyFont="1" applyFill="1" applyBorder="1" applyAlignment="1">
      <alignment horizontal="center" vertical="center"/>
    </xf>
    <xf numFmtId="0" fontId="7" fillId="17" borderId="1" xfId="0" applyFont="1" applyFill="1" applyBorder="1" applyAlignment="1">
      <alignment horizontal="center" vertical="center"/>
    </xf>
    <xf numFmtId="0" fontId="7" fillId="17" borderId="13" xfId="0" applyFont="1" applyFill="1" applyBorder="1" applyAlignment="1">
      <alignment horizontal="center" vertical="center"/>
    </xf>
    <xf numFmtId="0" fontId="1" fillId="6" borderId="0" xfId="0" applyFont="1" applyFill="1" applyAlignment="1">
      <alignment horizontal="left"/>
    </xf>
    <xf numFmtId="0" fontId="7" fillId="17" borderId="11" xfId="0" applyFont="1" applyFill="1" applyBorder="1" applyAlignment="1">
      <alignment horizontal="center" vertical="center"/>
    </xf>
    <xf numFmtId="0" fontId="7" fillId="17" borderId="16" xfId="0" applyFont="1" applyFill="1" applyBorder="1" applyAlignment="1">
      <alignment horizontal="center" vertical="center"/>
    </xf>
    <xf numFmtId="0" fontId="7" fillId="7" borderId="16" xfId="0" applyFont="1" applyFill="1" applyBorder="1" applyAlignment="1">
      <alignment horizontal="center" vertical="center"/>
    </xf>
    <xf numFmtId="0" fontId="7" fillId="9" borderId="16" xfId="0" applyFont="1" applyFill="1" applyBorder="1" applyAlignment="1">
      <alignment horizontal="center" vertical="center"/>
    </xf>
    <xf numFmtId="0" fontId="7" fillId="7" borderId="11" xfId="0" applyFont="1" applyFill="1" applyBorder="1" applyAlignment="1">
      <alignment horizontal="center" vertical="center"/>
    </xf>
    <xf numFmtId="0" fontId="31" fillId="0" borderId="0" xfId="0" applyFont="1"/>
    <xf numFmtId="0" fontId="7" fillId="9" borderId="13" xfId="0" applyFont="1" applyFill="1" applyBorder="1" applyAlignment="1">
      <alignment horizontal="center" vertical="center"/>
    </xf>
    <xf numFmtId="0" fontId="7" fillId="6" borderId="0" xfId="0" applyFont="1" applyFill="1" applyBorder="1" applyAlignment="1">
      <alignment horizontal="left" vertical="center"/>
    </xf>
    <xf numFmtId="0" fontId="10" fillId="0" borderId="0" xfId="0" applyFont="1"/>
    <xf numFmtId="0" fontId="7" fillId="18" borderId="3" xfId="0" applyFont="1" applyFill="1" applyBorder="1" applyAlignment="1">
      <alignment horizontal="center" vertical="center"/>
    </xf>
    <xf numFmtId="0" fontId="7" fillId="18" borderId="1" xfId="0" applyFont="1" applyFill="1" applyBorder="1" applyAlignment="1">
      <alignment horizontal="center" vertical="center"/>
    </xf>
    <xf numFmtId="0" fontId="7" fillId="18" borderId="5" xfId="0" applyFont="1" applyFill="1" applyBorder="1" applyAlignment="1">
      <alignment horizontal="center" vertical="center"/>
    </xf>
    <xf numFmtId="0" fontId="7" fillId="14" borderId="3" xfId="0" applyFont="1" applyFill="1" applyBorder="1" applyAlignment="1">
      <alignment horizontal="left" vertical="center"/>
    </xf>
    <xf numFmtId="0" fontId="1" fillId="0" borderId="0" xfId="0" applyFont="1" applyBorder="1" applyAlignment="1">
      <alignment horizontal="left"/>
    </xf>
    <xf numFmtId="0" fontId="1" fillId="0" borderId="0" xfId="0" applyFont="1" applyFill="1" applyAlignment="1">
      <alignment horizontal="left"/>
    </xf>
    <xf numFmtId="0" fontId="2" fillId="0" borderId="0" xfId="0" applyFont="1" applyAlignment="1">
      <alignment horizontal="left"/>
    </xf>
    <xf numFmtId="0" fontId="5" fillId="0" borderId="0" xfId="0" applyFont="1" applyBorder="1" applyAlignment="1">
      <alignment horizontal="left"/>
    </xf>
    <xf numFmtId="0" fontId="6" fillId="0" borderId="0" xfId="0" applyFont="1" applyAlignment="1">
      <alignment horizontal="left"/>
    </xf>
    <xf numFmtId="0" fontId="1" fillId="8" borderId="0" xfId="0" applyFont="1" applyFill="1" applyAlignment="1">
      <alignment horizontal="left"/>
    </xf>
    <xf numFmtId="0" fontId="7" fillId="15" borderId="0" xfId="0" applyFont="1" applyFill="1" applyBorder="1" applyAlignment="1">
      <alignment horizontal="left" vertical="center"/>
    </xf>
    <xf numFmtId="0" fontId="7" fillId="18" borderId="15" xfId="0" applyFont="1" applyFill="1" applyBorder="1" applyAlignment="1">
      <alignment horizontal="center" vertical="center"/>
    </xf>
    <xf numFmtId="0" fontId="19" fillId="0" borderId="0" xfId="0" applyFont="1" applyAlignment="1">
      <alignment horizontal="left" vertical="center"/>
    </xf>
    <xf numFmtId="0" fontId="0" fillId="19" borderId="17" xfId="0" applyFill="1" applyBorder="1" applyAlignment="1">
      <alignment horizontal="center" vertical="center"/>
    </xf>
    <xf numFmtId="0" fontId="0" fillId="19" borderId="18" xfId="0" applyFill="1" applyBorder="1" applyAlignment="1">
      <alignment horizontal="center" vertical="center"/>
    </xf>
    <xf numFmtId="0" fontId="0" fillId="19" borderId="19" xfId="0" applyFill="1" applyBorder="1" applyAlignment="1">
      <alignment horizontal="center" vertical="center"/>
    </xf>
    <xf numFmtId="0" fontId="0" fillId="0" borderId="20" xfId="0" applyBorder="1" applyAlignment="1">
      <alignment horizontal="center"/>
    </xf>
    <xf numFmtId="0" fontId="0" fillId="0" borderId="15" xfId="0" applyBorder="1" applyAlignment="1">
      <alignment horizontal="center"/>
    </xf>
    <xf numFmtId="0" fontId="0" fillId="0" borderId="21" xfId="0" applyBorder="1" applyAlignment="1">
      <alignment horizontal="center"/>
    </xf>
    <xf numFmtId="0" fontId="7" fillId="15" borderId="3" xfId="0" applyFont="1" applyFill="1" applyBorder="1" applyAlignment="1">
      <alignment horizontal="left" vertical="center"/>
    </xf>
    <xf numFmtId="0" fontId="7" fillId="16" borderId="15" xfId="0" applyFont="1" applyFill="1" applyBorder="1" applyAlignment="1">
      <alignment horizontal="center" vertical="center"/>
    </xf>
    <xf numFmtId="0" fontId="7" fillId="20" borderId="3" xfId="0" applyFont="1" applyFill="1" applyBorder="1" applyAlignment="1">
      <alignment horizontal="center" vertical="center"/>
    </xf>
    <xf numFmtId="0" fontId="7" fillId="20" borderId="1" xfId="0" applyFont="1" applyFill="1" applyBorder="1" applyAlignment="1">
      <alignment horizontal="center" vertical="center"/>
    </xf>
    <xf numFmtId="0" fontId="24" fillId="20" borderId="5" xfId="0" applyFont="1" applyFill="1" applyBorder="1" applyAlignment="1">
      <alignment horizontal="center" vertical="center"/>
    </xf>
    <xf numFmtId="0" fontId="7" fillId="20" borderId="14" xfId="0" applyFont="1" applyFill="1" applyBorder="1" applyAlignment="1">
      <alignment horizontal="center" vertical="center"/>
    </xf>
    <xf numFmtId="0" fontId="7" fillId="0" borderId="0" xfId="0" applyFont="1" applyFill="1" applyBorder="1" applyAlignment="1">
      <alignment horizontal="left" vertical="center"/>
    </xf>
    <xf numFmtId="164" fontId="1" fillId="0" borderId="0" xfId="42405" applyFont="1" applyAlignment="1">
      <alignment horizontal="center"/>
    </xf>
    <xf numFmtId="164" fontId="2" fillId="0" borderId="0" xfId="0" applyNumberFormat="1" applyFont="1" applyAlignment="1">
      <alignment horizontal="center"/>
    </xf>
    <xf numFmtId="0" fontId="6" fillId="0" borderId="0" xfId="0" applyFont="1" applyBorder="1" applyAlignment="1">
      <alignment horizontal="left"/>
    </xf>
    <xf numFmtId="0" fontId="7" fillId="14" borderId="0" xfId="0" applyFont="1" applyFill="1" applyBorder="1" applyAlignment="1">
      <alignment horizontal="left" vertical="center"/>
    </xf>
    <xf numFmtId="0" fontId="0" fillId="19" borderId="22" xfId="0" applyFill="1" applyBorder="1" applyAlignment="1">
      <alignment horizontal="center" vertical="center"/>
    </xf>
    <xf numFmtId="0" fontId="0" fillId="0" borderId="5" xfId="0" applyBorder="1" applyAlignment="1">
      <alignment horizontal="center"/>
    </xf>
    <xf numFmtId="0" fontId="30" fillId="0" borderId="0" xfId="0" applyFont="1" applyAlignment="1">
      <alignment horizontal="left"/>
    </xf>
    <xf numFmtId="0" fontId="1" fillId="0" borderId="0" xfId="0" applyFont="1" applyBorder="1" applyAlignment="1">
      <alignment horizontal="left" wrapText="1"/>
    </xf>
    <xf numFmtId="0" fontId="1" fillId="0" borderId="0" xfId="0" applyFont="1" applyBorder="1" applyAlignment="1">
      <alignment horizontal="left" vertical="center" wrapText="1"/>
    </xf>
    <xf numFmtId="0" fontId="1" fillId="0" borderId="0" xfId="0" applyFont="1" applyFill="1" applyBorder="1" applyAlignment="1">
      <alignment horizontal="left"/>
    </xf>
    <xf numFmtId="0" fontId="1" fillId="0" borderId="0" xfId="0" applyFont="1" applyFill="1" applyBorder="1" applyAlignment="1">
      <alignment horizontal="left" wrapText="1"/>
    </xf>
    <xf numFmtId="0" fontId="7" fillId="8" borderId="0" xfId="0" applyFont="1" applyFill="1" applyBorder="1" applyAlignment="1">
      <alignment horizontal="left" vertical="center"/>
    </xf>
    <xf numFmtId="0" fontId="2" fillId="0" borderId="0" xfId="0" applyFont="1" applyBorder="1" applyAlignment="1">
      <alignment horizontal="left" vertical="center"/>
    </xf>
    <xf numFmtId="0" fontId="1" fillId="0" borderId="0" xfId="0" applyFont="1" applyBorder="1" applyAlignment="1">
      <alignment horizontal="left" vertical="center"/>
    </xf>
    <xf numFmtId="0" fontId="1" fillId="0" borderId="12" xfId="0" applyFont="1" applyBorder="1" applyAlignment="1">
      <alignment horizontal="left" vertical="center" wrapText="1"/>
    </xf>
    <xf numFmtId="0" fontId="2" fillId="0" borderId="0" xfId="0" applyFont="1" applyAlignment="1">
      <alignment horizontal="left" vertical="center"/>
    </xf>
    <xf numFmtId="0" fontId="29" fillId="21" borderId="0" xfId="0" applyFont="1" applyFill="1" applyBorder="1" applyAlignment="1">
      <alignment horizontal="left" vertical="center"/>
    </xf>
    <xf numFmtId="0" fontId="7" fillId="0" borderId="3" xfId="0" applyFont="1" applyFill="1" applyBorder="1" applyAlignment="1">
      <alignment horizontal="left" vertical="center"/>
    </xf>
    <xf numFmtId="0" fontId="29" fillId="13" borderId="1" xfId="0" applyFont="1" applyFill="1" applyBorder="1" applyAlignment="1">
      <alignment horizontal="center" vertical="center"/>
    </xf>
    <xf numFmtId="0" fontId="29" fillId="9" borderId="1" xfId="0" applyFont="1" applyFill="1" applyBorder="1" applyAlignment="1">
      <alignment horizontal="center" vertical="center"/>
    </xf>
    <xf numFmtId="0" fontId="7" fillId="22" borderId="3" xfId="0" applyFont="1" applyFill="1" applyBorder="1" applyAlignment="1">
      <alignment horizontal="center" vertical="center"/>
    </xf>
    <xf numFmtId="0" fontId="7" fillId="22" borderId="1" xfId="0" applyFont="1" applyFill="1" applyBorder="1" applyAlignment="1">
      <alignment horizontal="center" vertical="center"/>
    </xf>
    <xf numFmtId="0" fontId="7" fillId="22" borderId="5" xfId="0" applyFont="1" applyFill="1" applyBorder="1" applyAlignment="1">
      <alignment horizontal="center" vertical="center"/>
    </xf>
    <xf numFmtId="0" fontId="32" fillId="0" borderId="0" xfId="0" applyFont="1"/>
    <xf numFmtId="0" fontId="29" fillId="4" borderId="1" xfId="0" applyFont="1" applyFill="1" applyBorder="1" applyAlignment="1">
      <alignment horizontal="center" vertical="center"/>
    </xf>
    <xf numFmtId="0" fontId="29" fillId="7" borderId="1" xfId="0" applyFont="1" applyFill="1" applyBorder="1" applyAlignment="1">
      <alignment horizontal="center" vertical="center"/>
    </xf>
    <xf numFmtId="0" fontId="29" fillId="7" borderId="13" xfId="0" applyFont="1" applyFill="1" applyBorder="1" applyAlignment="1">
      <alignment horizontal="center" vertical="center"/>
    </xf>
    <xf numFmtId="0" fontId="29" fillId="2" borderId="13" xfId="0" applyFont="1" applyFill="1" applyBorder="1" applyAlignment="1">
      <alignment horizontal="center" vertical="center"/>
    </xf>
    <xf numFmtId="0" fontId="10" fillId="8" borderId="1" xfId="0" applyFont="1" applyFill="1" applyBorder="1" applyAlignment="1">
      <alignment horizontal="center" vertical="center"/>
    </xf>
    <xf numFmtId="0" fontId="10" fillId="8" borderId="1" xfId="0" applyFont="1" applyFill="1" applyBorder="1" applyAlignment="1">
      <alignment horizontal="center" vertical="center" wrapText="1"/>
    </xf>
    <xf numFmtId="0" fontId="0" fillId="0" borderId="0" xfId="0" applyFont="1"/>
    <xf numFmtId="0" fontId="10" fillId="13" borderId="1" xfId="0" applyFont="1" applyFill="1" applyBorder="1" applyAlignment="1">
      <alignment horizontal="center" vertical="center"/>
    </xf>
    <xf numFmtId="0" fontId="10" fillId="9" borderId="1" xfId="0" applyFont="1" applyFill="1" applyBorder="1" applyAlignment="1">
      <alignment horizontal="center" vertical="center"/>
    </xf>
    <xf numFmtId="0" fontId="10" fillId="5" borderId="1" xfId="0" applyFont="1" applyFill="1" applyBorder="1" applyAlignment="1">
      <alignment horizontal="center" vertical="center"/>
    </xf>
    <xf numFmtId="0" fontId="10" fillId="0" borderId="1" xfId="0" applyFont="1" applyFill="1" applyBorder="1" applyAlignment="1">
      <alignment horizontal="center" vertical="center"/>
    </xf>
    <xf numFmtId="0" fontId="10" fillId="8" borderId="13" xfId="0" applyFont="1" applyFill="1" applyBorder="1" applyAlignment="1">
      <alignment horizontal="center" vertical="center"/>
    </xf>
    <xf numFmtId="0" fontId="10" fillId="8" borderId="13" xfId="0" applyFont="1" applyFill="1" applyBorder="1" applyAlignment="1">
      <alignment horizontal="center" vertical="center" wrapText="1"/>
    </xf>
    <xf numFmtId="0" fontId="10" fillId="13" borderId="13" xfId="0" applyFont="1" applyFill="1" applyBorder="1" applyAlignment="1">
      <alignment horizontal="center" vertical="center"/>
    </xf>
    <xf numFmtId="0" fontId="10" fillId="5" borderId="13" xfId="0" applyFont="1" applyFill="1" applyBorder="1" applyAlignment="1">
      <alignment horizontal="center" vertical="center"/>
    </xf>
    <xf numFmtId="0" fontId="10" fillId="8" borderId="15" xfId="0" applyFont="1" applyFill="1" applyBorder="1" applyAlignment="1">
      <alignment horizontal="center" vertical="center"/>
    </xf>
    <xf numFmtId="0" fontId="10" fillId="6" borderId="15" xfId="0" applyFont="1" applyFill="1" applyBorder="1" applyAlignment="1">
      <alignment horizontal="center" vertical="center"/>
    </xf>
    <xf numFmtId="0" fontId="10" fillId="5" borderId="15" xfId="0" applyFont="1" applyFill="1" applyBorder="1" applyAlignment="1">
      <alignment horizontal="center" vertical="center"/>
    </xf>
    <xf numFmtId="0" fontId="10" fillId="13" borderId="15" xfId="0" applyFont="1" applyFill="1" applyBorder="1" applyAlignment="1">
      <alignment horizontal="center" vertical="center"/>
    </xf>
    <xf numFmtId="0" fontId="7" fillId="14" borderId="0" xfId="0" applyFont="1" applyFill="1" applyBorder="1" applyAlignment="1">
      <alignment horizontal="center" vertical="center"/>
    </xf>
    <xf numFmtId="0" fontId="7" fillId="11" borderId="16" xfId="0" applyFont="1" applyFill="1" applyBorder="1" applyAlignment="1">
      <alignment horizontal="center" vertical="center"/>
    </xf>
    <xf numFmtId="0" fontId="8" fillId="3" borderId="15" xfId="0" applyFont="1" applyFill="1" applyBorder="1" applyAlignment="1">
      <alignment horizontal="center" vertical="center"/>
    </xf>
    <xf numFmtId="0" fontId="8" fillId="3" borderId="15" xfId="0" applyFont="1" applyFill="1" applyBorder="1" applyAlignment="1">
      <alignment horizontal="center" vertical="center" wrapText="1"/>
    </xf>
    <xf numFmtId="0" fontId="7" fillId="11" borderId="15" xfId="0" applyFont="1" applyFill="1" applyBorder="1" applyAlignment="1">
      <alignment horizontal="center" vertical="center" wrapText="1"/>
    </xf>
    <xf numFmtId="0" fontId="0" fillId="0" borderId="21" xfId="0" applyBorder="1"/>
    <xf numFmtId="0" fontId="7" fillId="7" borderId="15" xfId="0" applyFont="1" applyFill="1" applyBorder="1" applyAlignment="1">
      <alignment horizontal="center" vertical="center" wrapText="1"/>
    </xf>
    <xf numFmtId="0" fontId="30" fillId="0" borderId="3" xfId="0" applyFont="1" applyBorder="1"/>
    <xf numFmtId="0" fontId="7" fillId="4" borderId="16" xfId="0" applyFont="1" applyFill="1" applyBorder="1" applyAlignment="1">
      <alignment horizontal="center" vertical="center"/>
    </xf>
    <xf numFmtId="0" fontId="7" fillId="2" borderId="16" xfId="0" applyFont="1" applyFill="1" applyBorder="1" applyAlignment="1">
      <alignment horizontal="center" vertical="center"/>
    </xf>
    <xf numFmtId="0" fontId="6" fillId="0" borderId="3" xfId="0" applyFont="1" applyBorder="1" applyAlignment="1">
      <alignment horizontal="left"/>
    </xf>
    <xf numFmtId="0" fontId="5" fillId="0" borderId="3" xfId="0" applyFont="1" applyBorder="1" applyAlignment="1">
      <alignment horizontal="left"/>
    </xf>
    <xf numFmtId="0" fontId="30" fillId="0" borderId="0" xfId="0" applyFont="1" applyBorder="1"/>
    <xf numFmtId="0" fontId="0" fillId="0" borderId="2" xfId="0" applyBorder="1" applyAlignment="1">
      <alignment horizontal="center"/>
    </xf>
    <xf numFmtId="0" fontId="7" fillId="6" borderId="3" xfId="0" applyFont="1" applyFill="1" applyBorder="1" applyAlignment="1">
      <alignment horizontal="left" vertical="center"/>
    </xf>
    <xf numFmtId="0" fontId="7" fillId="20" borderId="15" xfId="0" applyFont="1" applyFill="1" applyBorder="1" applyAlignment="1">
      <alignment horizontal="center" vertical="center"/>
    </xf>
    <xf numFmtId="0" fontId="7" fillId="23" borderId="3" xfId="0" applyFont="1" applyFill="1" applyBorder="1" applyAlignment="1">
      <alignment horizontal="left" vertical="center"/>
    </xf>
    <xf numFmtId="14" fontId="7" fillId="11" borderId="1" xfId="0" applyNumberFormat="1" applyFont="1" applyFill="1" applyBorder="1" applyAlignment="1">
      <alignment horizontal="center" vertical="center"/>
    </xf>
    <xf numFmtId="0" fontId="5" fillId="0" borderId="0" xfId="0" applyFont="1" applyFill="1" applyBorder="1" applyAlignment="1">
      <alignment horizontal="left"/>
    </xf>
    <xf numFmtId="0" fontId="6" fillId="0" borderId="0" xfId="0" applyFont="1" applyFill="1" applyAlignment="1">
      <alignment horizontal="left"/>
    </xf>
    <xf numFmtId="0" fontId="0" fillId="0" borderId="23" xfId="0" applyBorder="1" applyAlignment="1">
      <alignment horizontal="center"/>
    </xf>
    <xf numFmtId="0" fontId="0" fillId="0" borderId="6" xfId="0" applyBorder="1" applyAlignment="1">
      <alignment horizontal="center"/>
    </xf>
    <xf numFmtId="0" fontId="0" fillId="0" borderId="24" xfId="0" applyBorder="1" applyAlignment="1">
      <alignment horizontal="center"/>
    </xf>
    <xf numFmtId="0" fontId="0" fillId="0" borderId="17" xfId="0" applyBorder="1" applyAlignment="1">
      <alignment horizontal="center"/>
    </xf>
    <xf numFmtId="0" fontId="0" fillId="0" borderId="22"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33" fillId="24" borderId="25" xfId="0" applyFont="1" applyFill="1" applyBorder="1" applyAlignment="1">
      <alignment horizontal="center" vertical="center" wrapText="1"/>
    </xf>
    <xf numFmtId="0" fontId="20" fillId="0" borderId="25" xfId="0" applyFont="1" applyBorder="1" applyAlignment="1">
      <alignment horizontal="center" vertical="center"/>
    </xf>
    <xf numFmtId="0" fontId="20" fillId="0" borderId="25" xfId="0" applyFont="1" applyBorder="1" applyAlignment="1">
      <alignment horizontal="left" vertical="center"/>
    </xf>
    <xf numFmtId="0" fontId="20" fillId="0" borderId="26" xfId="0" applyFont="1" applyBorder="1" applyAlignment="1">
      <alignment vertical="center"/>
    </xf>
    <xf numFmtId="0" fontId="7" fillId="22" borderId="2" xfId="0" applyFont="1" applyFill="1" applyBorder="1" applyAlignment="1">
      <alignment horizontal="center" vertical="center"/>
    </xf>
    <xf numFmtId="0" fontId="7" fillId="22" borderId="15" xfId="0" applyFont="1" applyFill="1" applyBorder="1" applyAlignment="1">
      <alignment horizontal="center" vertical="center"/>
    </xf>
    <xf numFmtId="0" fontId="34" fillId="9" borderId="2" xfId="0" applyFont="1" applyFill="1" applyBorder="1" applyAlignment="1">
      <alignment horizontal="center" vertical="center"/>
    </xf>
    <xf numFmtId="0" fontId="24" fillId="7" borderId="1" xfId="0" applyFont="1" applyFill="1" applyBorder="1" applyAlignment="1">
      <alignment horizontal="center" vertical="center"/>
    </xf>
    <xf numFmtId="0" fontId="37" fillId="9" borderId="2" xfId="0" applyFont="1" applyFill="1" applyBorder="1" applyAlignment="1">
      <alignment horizontal="center" vertical="center"/>
    </xf>
    <xf numFmtId="0" fontId="41" fillId="8" borderId="1" xfId="0" applyFont="1" applyFill="1" applyBorder="1" applyAlignment="1">
      <alignment horizontal="center" vertical="center"/>
    </xf>
    <xf numFmtId="0" fontId="42" fillId="6" borderId="1" xfId="0" applyFont="1" applyFill="1" applyBorder="1" applyAlignment="1">
      <alignment horizontal="center" vertical="center"/>
    </xf>
    <xf numFmtId="0" fontId="42" fillId="6" borderId="2" xfId="0" applyFont="1" applyFill="1" applyBorder="1" applyAlignment="1">
      <alignment horizontal="center" vertical="center"/>
    </xf>
    <xf numFmtId="0" fontId="39" fillId="13" borderId="1" xfId="0" applyFont="1" applyFill="1" applyBorder="1" applyAlignment="1">
      <alignment horizontal="center" vertical="center"/>
    </xf>
    <xf numFmtId="0" fontId="38" fillId="9" borderId="1" xfId="0" applyFont="1" applyFill="1" applyBorder="1" applyAlignment="1">
      <alignment horizontal="center" vertical="center"/>
    </xf>
    <xf numFmtId="0" fontId="43" fillId="7" borderId="1" xfId="0" applyFont="1" applyFill="1" applyBorder="1" applyAlignment="1">
      <alignment horizontal="center" vertical="center"/>
    </xf>
    <xf numFmtId="0" fontId="44" fillId="11" borderId="1" xfId="0" applyFont="1" applyFill="1" applyBorder="1" applyAlignment="1">
      <alignment horizontal="center" vertical="center"/>
    </xf>
    <xf numFmtId="0" fontId="43" fillId="7" borderId="2" xfId="0" applyFont="1" applyFill="1" applyBorder="1" applyAlignment="1">
      <alignment horizontal="center" vertical="center"/>
    </xf>
    <xf numFmtId="0" fontId="43" fillId="7" borderId="15" xfId="0" applyFont="1" applyFill="1" applyBorder="1" applyAlignment="1">
      <alignment horizontal="center" vertical="center"/>
    </xf>
    <xf numFmtId="0" fontId="44" fillId="11" borderId="2" xfId="0" applyFont="1" applyFill="1" applyBorder="1" applyAlignment="1">
      <alignment horizontal="center" vertical="center"/>
    </xf>
    <xf numFmtId="0" fontId="44" fillId="11" borderId="1" xfId="0" applyFont="1" applyFill="1" applyBorder="1" applyAlignment="1">
      <alignment horizontal="center" vertical="center" wrapText="1"/>
    </xf>
    <xf numFmtId="0" fontId="36" fillId="4" borderId="1" xfId="0" applyFont="1" applyFill="1" applyBorder="1" applyAlignment="1">
      <alignment horizontal="center" vertical="center"/>
    </xf>
    <xf numFmtId="0" fontId="43" fillId="7" borderId="11" xfId="0" applyFont="1" applyFill="1" applyBorder="1" applyAlignment="1">
      <alignment horizontal="center" vertical="center"/>
    </xf>
    <xf numFmtId="0" fontId="45" fillId="16" borderId="1" xfId="0" applyFont="1" applyFill="1" applyBorder="1" applyAlignment="1">
      <alignment horizontal="center" vertical="center"/>
    </xf>
    <xf numFmtId="0" fontId="46" fillId="9" borderId="1" xfId="0" applyFont="1" applyFill="1" applyBorder="1" applyAlignment="1">
      <alignment horizontal="center" vertical="center"/>
    </xf>
    <xf numFmtId="0" fontId="40" fillId="16" borderId="1" xfId="0" applyFont="1" applyFill="1" applyBorder="1" applyAlignment="1">
      <alignment horizontal="center" vertical="center"/>
    </xf>
    <xf numFmtId="0" fontId="35" fillId="17" borderId="1" xfId="0" applyFont="1" applyFill="1" applyBorder="1" applyAlignment="1">
      <alignment horizontal="center" vertical="center"/>
    </xf>
    <xf numFmtId="0" fontId="47" fillId="17" borderId="11" xfId="0" applyFont="1" applyFill="1" applyBorder="1" applyAlignment="1">
      <alignment horizontal="center" vertical="center"/>
    </xf>
    <xf numFmtId="0" fontId="47" fillId="17" borderId="1" xfId="0" applyFont="1" applyFill="1" applyBorder="1" applyAlignment="1">
      <alignment horizontal="center" vertical="center"/>
    </xf>
    <xf numFmtId="166" fontId="0" fillId="0" borderId="0" xfId="0" applyNumberFormat="1"/>
    <xf numFmtId="0" fontId="0" fillId="0" borderId="15" xfId="0" applyBorder="1" applyAlignment="1">
      <alignment horizontal="right" vertical="center"/>
    </xf>
    <xf numFmtId="0" fontId="0" fillId="0" borderId="15" xfId="0" applyBorder="1" applyAlignment="1">
      <alignment horizontal="right" vertical="center"/>
    </xf>
    <xf numFmtId="0" fontId="0" fillId="0" borderId="27" xfId="0" applyBorder="1"/>
    <xf numFmtId="0" fontId="0" fillId="6" borderId="20" xfId="0" applyFill="1" applyBorder="1" applyAlignment="1">
      <alignment horizontal="center"/>
    </xf>
    <xf numFmtId="0" fontId="0" fillId="6" borderId="15" xfId="0" applyFill="1" applyBorder="1" applyAlignment="1">
      <alignment horizontal="center"/>
    </xf>
    <xf numFmtId="0" fontId="0" fillId="0" borderId="0" xfId="0" applyBorder="1"/>
    <xf numFmtId="0" fontId="0" fillId="0" borderId="0" xfId="0" applyBorder="1" applyAlignment="1">
      <alignment horizontal="center"/>
    </xf>
    <xf numFmtId="0" fontId="9" fillId="11" borderId="1" xfId="0" applyFont="1" applyFill="1" applyBorder="1" applyAlignment="1">
      <alignment horizontal="center" vertical="center"/>
    </xf>
    <xf numFmtId="0" fontId="7" fillId="22" borderId="28" xfId="0" applyFont="1" applyFill="1" applyBorder="1" applyAlignment="1">
      <alignment horizontal="center" vertical="center"/>
    </xf>
    <xf numFmtId="0" fontId="0" fillId="0" borderId="0" xfId="0" applyBorder="1" applyAlignment="1">
      <alignment horizontal="right" vertical="center"/>
    </xf>
    <xf numFmtId="0" fontId="0" fillId="0" borderId="5" xfId="0" applyFill="1" applyBorder="1" applyAlignment="1">
      <alignment horizontal="center"/>
    </xf>
    <xf numFmtId="0" fontId="0" fillId="0" borderId="15" xfId="0" applyFill="1" applyBorder="1" applyAlignment="1">
      <alignment horizontal="center"/>
    </xf>
    <xf numFmtId="0" fontId="0" fillId="0" borderId="29" xfId="0" applyBorder="1" applyAlignment="1">
      <alignment horizontal="center"/>
    </xf>
    <xf numFmtId="0" fontId="7" fillId="10" borderId="29" xfId="0" applyFont="1" applyFill="1" applyBorder="1" applyAlignment="1">
      <alignment horizontal="center" vertical="center"/>
    </xf>
    <xf numFmtId="0" fontId="0" fillId="0" borderId="29" xfId="0" applyFill="1" applyBorder="1" applyAlignment="1">
      <alignment horizontal="center"/>
    </xf>
    <xf numFmtId="0" fontId="10" fillId="10" borderId="1" xfId="0" applyFont="1" applyFill="1" applyBorder="1" applyAlignment="1">
      <alignment horizontal="center" vertical="center"/>
    </xf>
    <xf numFmtId="0" fontId="7" fillId="12" borderId="29" xfId="0" applyFont="1" applyFill="1" applyBorder="1" applyAlignment="1">
      <alignment horizontal="center" vertical="center"/>
    </xf>
    <xf numFmtId="0" fontId="0" fillId="0" borderId="29" xfId="0" applyBorder="1"/>
    <xf numFmtId="0" fontId="7" fillId="16" borderId="0" xfId="0" applyFont="1" applyFill="1" applyBorder="1" applyAlignment="1">
      <alignment horizontal="center" vertical="center"/>
    </xf>
    <xf numFmtId="0" fontId="0" fillId="0" borderId="29" xfId="0" applyBorder="1" applyAlignment="1">
      <alignment horizontal="right" vertical="center"/>
    </xf>
    <xf numFmtId="0" fontId="0" fillId="0" borderId="29" xfId="0" applyBorder="1" applyAlignment="1">
      <alignment horizontal="right" vertical="center"/>
    </xf>
    <xf numFmtId="0" fontId="7" fillId="7" borderId="29" xfId="0" applyFont="1" applyFill="1" applyBorder="1" applyAlignment="1">
      <alignment horizontal="center" vertical="center"/>
    </xf>
    <xf numFmtId="0" fontId="0" fillId="0" borderId="29" xfId="0" applyBorder="1" applyAlignment="1">
      <alignment horizontal="right" vertical="center"/>
    </xf>
    <xf numFmtId="0" fontId="0" fillId="0" borderId="29" xfId="0" applyBorder="1" applyAlignment="1">
      <alignment horizontal="right" vertical="center"/>
    </xf>
    <xf numFmtId="3" fontId="7" fillId="18" borderId="1" xfId="0" applyNumberFormat="1" applyFont="1" applyFill="1" applyBorder="1" applyAlignment="1">
      <alignment horizontal="center" vertical="center"/>
    </xf>
    <xf numFmtId="0" fontId="0" fillId="0" borderId="29" xfId="0" applyBorder="1" applyAlignment="1">
      <alignment horizontal="right" vertical="center"/>
    </xf>
    <xf numFmtId="0" fontId="0" fillId="0" borderId="8" xfId="0" applyBorder="1" applyAlignment="1">
      <alignment horizontal="center" vertical="center"/>
    </xf>
    <xf numFmtId="166" fontId="0" fillId="0" borderId="8" xfId="0" applyNumberFormat="1" applyBorder="1" applyAlignment="1">
      <alignment horizontal="center" vertical="center"/>
    </xf>
    <xf numFmtId="0" fontId="48" fillId="0" borderId="29" xfId="0" applyFont="1" applyBorder="1" applyAlignment="1">
      <alignment horizontal="center"/>
    </xf>
    <xf numFmtId="0" fontId="48" fillId="0" borderId="0" xfId="0" applyFont="1"/>
    <xf numFmtId="0" fontId="0" fillId="0" borderId="29" xfId="0" applyBorder="1" applyAlignment="1">
      <alignment horizontal="right" vertical="center"/>
    </xf>
    <xf numFmtId="0" fontId="0" fillId="0" borderId="29" xfId="0" applyBorder="1" applyAlignment="1">
      <alignment horizontal="right" vertical="center"/>
    </xf>
    <xf numFmtId="0" fontId="1" fillId="0" borderId="4" xfId="0" applyFont="1" applyBorder="1" applyAlignment="1">
      <alignment horizontal="left"/>
    </xf>
    <xf numFmtId="0" fontId="1" fillId="0" borderId="2" xfId="0" applyFont="1" applyBorder="1" applyAlignment="1">
      <alignment horizontal="center"/>
    </xf>
    <xf numFmtId="0" fontId="1" fillId="0" borderId="2" xfId="0" applyFont="1" applyBorder="1" applyAlignment="1">
      <alignment horizontal="center" vertical="center"/>
    </xf>
    <xf numFmtId="164" fontId="0" fillId="0" borderId="2" xfId="0" applyNumberFormat="1" applyFont="1" applyBorder="1"/>
    <xf numFmtId="0" fontId="1" fillId="0" borderId="6" xfId="0" applyFont="1" applyBorder="1" applyAlignment="1">
      <alignment horizontal="center"/>
    </xf>
    <xf numFmtId="0" fontId="0" fillId="0" borderId="29" xfId="0" applyBorder="1" applyAlignment="1">
      <alignment horizontal="right" vertical="center"/>
    </xf>
    <xf numFmtId="0" fontId="0" fillId="0" borderId="29" xfId="0" applyBorder="1" applyAlignment="1">
      <alignment horizontal="right" vertical="center"/>
    </xf>
    <xf numFmtId="0" fontId="0" fillId="0" borderId="29" xfId="0" applyBorder="1" applyAlignment="1">
      <alignment horizontal="right" vertical="center"/>
    </xf>
    <xf numFmtId="0" fontId="0" fillId="0" borderId="21" xfId="0" applyFill="1" applyBorder="1" applyAlignment="1">
      <alignment horizontal="center"/>
    </xf>
    <xf numFmtId="166" fontId="0" fillId="0" borderId="28" xfId="0" applyNumberFormat="1" applyBorder="1" applyAlignment="1">
      <alignment horizontal="right" vertical="center"/>
    </xf>
    <xf numFmtId="0" fontId="0" fillId="0" borderId="28" xfId="0" applyBorder="1" applyAlignment="1">
      <alignment horizontal="right" vertical="center"/>
    </xf>
    <xf numFmtId="0" fontId="0" fillId="0" borderId="29" xfId="0" applyBorder="1" applyAlignment="1">
      <alignment horizontal="right" vertical="center"/>
    </xf>
    <xf numFmtId="166" fontId="0" fillId="0" borderId="29" xfId="0" applyNumberFormat="1" applyBorder="1" applyAlignment="1">
      <alignment horizontal="right" vertical="center"/>
    </xf>
    <xf numFmtId="0" fontId="0" fillId="0" borderId="2" xfId="0" applyBorder="1" applyAlignment="1">
      <alignment horizontal="center" vertical="center"/>
    </xf>
    <xf numFmtId="0" fontId="0" fillId="0" borderId="30" xfId="0" applyBorder="1" applyAlignment="1">
      <alignment horizontal="center" vertical="center"/>
    </xf>
    <xf numFmtId="0" fontId="0" fillId="0" borderId="8" xfId="0" applyBorder="1" applyAlignment="1">
      <alignment horizontal="center" vertical="center"/>
    </xf>
    <xf numFmtId="166" fontId="0" fillId="0" borderId="2" xfId="0" applyNumberFormat="1" applyBorder="1" applyAlignment="1">
      <alignment horizontal="center" vertical="center"/>
    </xf>
    <xf numFmtId="166" fontId="0" fillId="0" borderId="30" xfId="0" applyNumberFormat="1" applyBorder="1" applyAlignment="1">
      <alignment horizontal="center" vertical="center"/>
    </xf>
    <xf numFmtId="166" fontId="0" fillId="0" borderId="8" xfId="0" applyNumberFormat="1" applyBorder="1" applyAlignment="1">
      <alignment horizontal="center" vertical="center"/>
    </xf>
    <xf numFmtId="0" fontId="21" fillId="0" borderId="0" xfId="42403" applyAlignment="1">
      <alignment horizontal="center" vertical="center" wrapText="1"/>
    </xf>
    <xf numFmtId="0" fontId="18" fillId="0" borderId="0" xfId="0" applyFont="1" applyAlignment="1">
      <alignment horizontal="center" vertical="center" wrapText="1"/>
    </xf>
  </cellXfs>
  <cellStyles count="42406">
    <cellStyle name="Comma 2" xfId="42402"/>
    <cellStyle name="Normal 10" xfId="48"/>
    <cellStyle name="Normal 10 10" xfId="534"/>
    <cellStyle name="Normal 10 10 2" xfId="2229"/>
    <cellStyle name="Normal 10 10 2 2" xfId="10454"/>
    <cellStyle name="Normal 10 10 2 2 2" xfId="26904"/>
    <cellStyle name="Normal 10 10 2 3" xfId="18679"/>
    <cellStyle name="Normal 10 10 2 4" xfId="35133"/>
    <cellStyle name="Normal 10 10 3" xfId="3874"/>
    <cellStyle name="Normal 10 10 3 2" xfId="12099"/>
    <cellStyle name="Normal 10 10 3 2 2" xfId="28549"/>
    <cellStyle name="Normal 10 10 3 3" xfId="20324"/>
    <cellStyle name="Normal 10 10 3 4" xfId="36778"/>
    <cellStyle name="Normal 10 10 4" xfId="5519"/>
    <cellStyle name="Normal 10 10 4 2" xfId="13744"/>
    <cellStyle name="Normal 10 10 4 2 2" xfId="30194"/>
    <cellStyle name="Normal 10 10 4 3" xfId="21969"/>
    <cellStyle name="Normal 10 10 4 4" xfId="38423"/>
    <cellStyle name="Normal 10 10 5" xfId="7164"/>
    <cellStyle name="Normal 10 10 5 2" xfId="15389"/>
    <cellStyle name="Normal 10 10 5 2 2" xfId="31839"/>
    <cellStyle name="Normal 10 10 5 3" xfId="23614"/>
    <cellStyle name="Normal 10 10 5 4" xfId="40068"/>
    <cellStyle name="Normal 10 10 6" xfId="8809"/>
    <cellStyle name="Normal 10 10 6 2" xfId="25259"/>
    <cellStyle name="Normal 10 10 7" xfId="17033"/>
    <cellStyle name="Normal 10 10 8" xfId="33487"/>
    <cellStyle name="Normal 10 10 9" xfId="41714"/>
    <cellStyle name="Normal 10 11" xfId="769"/>
    <cellStyle name="Normal 10 11 2" xfId="2464"/>
    <cellStyle name="Normal 10 11 2 2" xfId="10689"/>
    <cellStyle name="Normal 10 11 2 2 2" xfId="27139"/>
    <cellStyle name="Normal 10 11 2 3" xfId="18914"/>
    <cellStyle name="Normal 10 11 2 4" xfId="35368"/>
    <cellStyle name="Normal 10 11 3" xfId="4109"/>
    <cellStyle name="Normal 10 11 3 2" xfId="12334"/>
    <cellStyle name="Normal 10 11 3 2 2" xfId="28784"/>
    <cellStyle name="Normal 10 11 3 3" xfId="20559"/>
    <cellStyle name="Normal 10 11 3 4" xfId="37013"/>
    <cellStyle name="Normal 10 11 4" xfId="5754"/>
    <cellStyle name="Normal 10 11 4 2" xfId="13979"/>
    <cellStyle name="Normal 10 11 4 2 2" xfId="30429"/>
    <cellStyle name="Normal 10 11 4 3" xfId="22204"/>
    <cellStyle name="Normal 10 11 4 4" xfId="38658"/>
    <cellStyle name="Normal 10 11 5" xfId="7399"/>
    <cellStyle name="Normal 10 11 5 2" xfId="15624"/>
    <cellStyle name="Normal 10 11 5 2 2" xfId="32074"/>
    <cellStyle name="Normal 10 11 5 3" xfId="23849"/>
    <cellStyle name="Normal 10 11 5 4" xfId="40303"/>
    <cellStyle name="Normal 10 11 6" xfId="9044"/>
    <cellStyle name="Normal 10 11 6 2" xfId="25494"/>
    <cellStyle name="Normal 10 11 7" xfId="17268"/>
    <cellStyle name="Normal 10 11 8" xfId="33722"/>
    <cellStyle name="Normal 10 11 9" xfId="41949"/>
    <cellStyle name="Normal 10 12" xfId="1004"/>
    <cellStyle name="Normal 10 12 2" xfId="2699"/>
    <cellStyle name="Normal 10 12 2 2" xfId="10924"/>
    <cellStyle name="Normal 10 12 2 2 2" xfId="27374"/>
    <cellStyle name="Normal 10 12 2 3" xfId="19149"/>
    <cellStyle name="Normal 10 12 2 4" xfId="35603"/>
    <cellStyle name="Normal 10 12 3" xfId="4344"/>
    <cellStyle name="Normal 10 12 3 2" xfId="12569"/>
    <cellStyle name="Normal 10 12 3 2 2" xfId="29019"/>
    <cellStyle name="Normal 10 12 3 3" xfId="20794"/>
    <cellStyle name="Normal 10 12 3 4" xfId="37248"/>
    <cellStyle name="Normal 10 12 4" xfId="5989"/>
    <cellStyle name="Normal 10 12 4 2" xfId="14214"/>
    <cellStyle name="Normal 10 12 4 2 2" xfId="30664"/>
    <cellStyle name="Normal 10 12 4 3" xfId="22439"/>
    <cellStyle name="Normal 10 12 4 4" xfId="38893"/>
    <cellStyle name="Normal 10 12 5" xfId="7634"/>
    <cellStyle name="Normal 10 12 5 2" xfId="15859"/>
    <cellStyle name="Normal 10 12 5 2 2" xfId="32309"/>
    <cellStyle name="Normal 10 12 5 3" xfId="24084"/>
    <cellStyle name="Normal 10 12 5 4" xfId="40538"/>
    <cellStyle name="Normal 10 12 6" xfId="9279"/>
    <cellStyle name="Normal 10 12 6 2" xfId="25729"/>
    <cellStyle name="Normal 10 12 7" xfId="17503"/>
    <cellStyle name="Normal 10 12 8" xfId="33957"/>
    <cellStyle name="Normal 10 12 9" xfId="42184"/>
    <cellStyle name="Normal 10 13" xfId="1284"/>
    <cellStyle name="Normal 10 13 2" xfId="2934"/>
    <cellStyle name="Normal 10 13 2 2" xfId="11159"/>
    <cellStyle name="Normal 10 13 2 2 2" xfId="27609"/>
    <cellStyle name="Normal 10 13 2 3" xfId="19384"/>
    <cellStyle name="Normal 10 13 2 4" xfId="35838"/>
    <cellStyle name="Normal 10 13 3" xfId="4579"/>
    <cellStyle name="Normal 10 13 3 2" xfId="12804"/>
    <cellStyle name="Normal 10 13 3 2 2" xfId="29254"/>
    <cellStyle name="Normal 10 13 3 3" xfId="21029"/>
    <cellStyle name="Normal 10 13 3 4" xfId="37483"/>
    <cellStyle name="Normal 10 13 4" xfId="6224"/>
    <cellStyle name="Normal 10 13 4 2" xfId="14449"/>
    <cellStyle name="Normal 10 13 4 2 2" xfId="30899"/>
    <cellStyle name="Normal 10 13 4 3" xfId="22674"/>
    <cellStyle name="Normal 10 13 4 4" xfId="39128"/>
    <cellStyle name="Normal 10 13 5" xfId="7869"/>
    <cellStyle name="Normal 10 13 5 2" xfId="16094"/>
    <cellStyle name="Normal 10 13 5 2 2" xfId="32544"/>
    <cellStyle name="Normal 10 13 5 3" xfId="24319"/>
    <cellStyle name="Normal 10 13 5 4" xfId="40773"/>
    <cellStyle name="Normal 10 13 6" xfId="9514"/>
    <cellStyle name="Normal 10 13 6 2" xfId="25964"/>
    <cellStyle name="Normal 10 13 7" xfId="17738"/>
    <cellStyle name="Normal 10 13 8" xfId="34192"/>
    <cellStyle name="Normal 10 14" xfId="1519"/>
    <cellStyle name="Normal 10 14 2" xfId="3169"/>
    <cellStyle name="Normal 10 14 2 2" xfId="11394"/>
    <cellStyle name="Normal 10 14 2 2 2" xfId="27844"/>
    <cellStyle name="Normal 10 14 2 3" xfId="19619"/>
    <cellStyle name="Normal 10 14 2 4" xfId="36073"/>
    <cellStyle name="Normal 10 14 3" xfId="4814"/>
    <cellStyle name="Normal 10 14 3 2" xfId="13039"/>
    <cellStyle name="Normal 10 14 3 2 2" xfId="29489"/>
    <cellStyle name="Normal 10 14 3 3" xfId="21264"/>
    <cellStyle name="Normal 10 14 3 4" xfId="37718"/>
    <cellStyle name="Normal 10 14 4" xfId="6459"/>
    <cellStyle name="Normal 10 14 4 2" xfId="14684"/>
    <cellStyle name="Normal 10 14 4 2 2" xfId="31134"/>
    <cellStyle name="Normal 10 14 4 3" xfId="22909"/>
    <cellStyle name="Normal 10 14 4 4" xfId="39363"/>
    <cellStyle name="Normal 10 14 5" xfId="8104"/>
    <cellStyle name="Normal 10 14 5 2" xfId="16329"/>
    <cellStyle name="Normal 10 14 5 2 2" xfId="32779"/>
    <cellStyle name="Normal 10 14 5 3" xfId="24554"/>
    <cellStyle name="Normal 10 14 5 4" xfId="41008"/>
    <cellStyle name="Normal 10 14 6" xfId="9749"/>
    <cellStyle name="Normal 10 14 6 2" xfId="26199"/>
    <cellStyle name="Normal 10 14 7" xfId="17973"/>
    <cellStyle name="Normal 10 14 8" xfId="34427"/>
    <cellStyle name="Normal 10 15" xfId="1754"/>
    <cellStyle name="Normal 10 15 2" xfId="9984"/>
    <cellStyle name="Normal 10 15 2 2" xfId="26434"/>
    <cellStyle name="Normal 10 15 3" xfId="18208"/>
    <cellStyle name="Normal 10 15 4" xfId="34662"/>
    <cellStyle name="Normal 10 16" xfId="3404"/>
    <cellStyle name="Normal 10 16 2" xfId="11629"/>
    <cellStyle name="Normal 10 16 2 2" xfId="28079"/>
    <cellStyle name="Normal 10 16 3" xfId="19854"/>
    <cellStyle name="Normal 10 16 4" xfId="36308"/>
    <cellStyle name="Normal 10 17" xfId="5049"/>
    <cellStyle name="Normal 10 17 2" xfId="13274"/>
    <cellStyle name="Normal 10 17 2 2" xfId="29724"/>
    <cellStyle name="Normal 10 17 3" xfId="21499"/>
    <cellStyle name="Normal 10 17 4" xfId="37953"/>
    <cellStyle name="Normal 10 18" xfId="6694"/>
    <cellStyle name="Normal 10 18 2" xfId="14919"/>
    <cellStyle name="Normal 10 18 2 2" xfId="31369"/>
    <cellStyle name="Normal 10 18 3" xfId="23144"/>
    <cellStyle name="Normal 10 18 4" xfId="39598"/>
    <cellStyle name="Normal 10 19" xfId="8339"/>
    <cellStyle name="Normal 10 19 2" xfId="24789"/>
    <cellStyle name="Normal 10 2" xfId="75"/>
    <cellStyle name="Normal 10 2 10" xfId="3429"/>
    <cellStyle name="Normal 10 2 10 2" xfId="11654"/>
    <cellStyle name="Normal 10 2 10 2 2" xfId="28104"/>
    <cellStyle name="Normal 10 2 10 3" xfId="19879"/>
    <cellStyle name="Normal 10 2 10 4" xfId="36333"/>
    <cellStyle name="Normal 10 2 11" xfId="5074"/>
    <cellStyle name="Normal 10 2 11 2" xfId="13299"/>
    <cellStyle name="Normal 10 2 11 2 2" xfId="29749"/>
    <cellStyle name="Normal 10 2 11 3" xfId="21524"/>
    <cellStyle name="Normal 10 2 11 4" xfId="37978"/>
    <cellStyle name="Normal 10 2 12" xfId="6719"/>
    <cellStyle name="Normal 10 2 12 2" xfId="14944"/>
    <cellStyle name="Normal 10 2 12 2 2" xfId="31394"/>
    <cellStyle name="Normal 10 2 12 3" xfId="23169"/>
    <cellStyle name="Normal 10 2 12 4" xfId="39623"/>
    <cellStyle name="Normal 10 2 13" xfId="8364"/>
    <cellStyle name="Normal 10 2 13 2" xfId="24814"/>
    <cellStyle name="Normal 10 2 14" xfId="16588"/>
    <cellStyle name="Normal 10 2 15" xfId="33041"/>
    <cellStyle name="Normal 10 2 16" xfId="41269"/>
    <cellStyle name="Normal 10 2 2" xfId="125"/>
    <cellStyle name="Normal 10 2 2 10" xfId="5124"/>
    <cellStyle name="Normal 10 2 2 10 2" xfId="13349"/>
    <cellStyle name="Normal 10 2 2 10 2 2" xfId="29799"/>
    <cellStyle name="Normal 10 2 2 10 3" xfId="21574"/>
    <cellStyle name="Normal 10 2 2 10 4" xfId="38028"/>
    <cellStyle name="Normal 10 2 2 11" xfId="6769"/>
    <cellStyle name="Normal 10 2 2 11 2" xfId="14994"/>
    <cellStyle name="Normal 10 2 2 11 2 2" xfId="31444"/>
    <cellStyle name="Normal 10 2 2 11 3" xfId="23219"/>
    <cellStyle name="Normal 10 2 2 11 4" xfId="39673"/>
    <cellStyle name="Normal 10 2 2 12" xfId="8414"/>
    <cellStyle name="Normal 10 2 2 12 2" xfId="24864"/>
    <cellStyle name="Normal 10 2 2 13" xfId="16638"/>
    <cellStyle name="Normal 10 2 2 14" xfId="33091"/>
    <cellStyle name="Normal 10 2 2 15" xfId="41319"/>
    <cellStyle name="Normal 10 2 2 2" xfId="368"/>
    <cellStyle name="Normal 10 2 2 2 2" xfId="2067"/>
    <cellStyle name="Normal 10 2 2 2 2 2" xfId="10294"/>
    <cellStyle name="Normal 10 2 2 2 2 2 2" xfId="26744"/>
    <cellStyle name="Normal 10 2 2 2 2 3" xfId="18519"/>
    <cellStyle name="Normal 10 2 2 2 2 4" xfId="34973"/>
    <cellStyle name="Normal 10 2 2 2 3" xfId="3714"/>
    <cellStyle name="Normal 10 2 2 2 3 2" xfId="11939"/>
    <cellStyle name="Normal 10 2 2 2 3 2 2" xfId="28389"/>
    <cellStyle name="Normal 10 2 2 2 3 3" xfId="20164"/>
    <cellStyle name="Normal 10 2 2 2 3 4" xfId="36618"/>
    <cellStyle name="Normal 10 2 2 2 4" xfId="5359"/>
    <cellStyle name="Normal 10 2 2 2 4 2" xfId="13584"/>
    <cellStyle name="Normal 10 2 2 2 4 2 2" xfId="30034"/>
    <cellStyle name="Normal 10 2 2 2 4 3" xfId="21809"/>
    <cellStyle name="Normal 10 2 2 2 4 4" xfId="38263"/>
    <cellStyle name="Normal 10 2 2 2 5" xfId="7004"/>
    <cellStyle name="Normal 10 2 2 2 5 2" xfId="15229"/>
    <cellStyle name="Normal 10 2 2 2 5 2 2" xfId="31679"/>
    <cellStyle name="Normal 10 2 2 2 5 3" xfId="23454"/>
    <cellStyle name="Normal 10 2 2 2 5 4" xfId="39908"/>
    <cellStyle name="Normal 10 2 2 2 6" xfId="8649"/>
    <cellStyle name="Normal 10 2 2 2 6 2" xfId="25099"/>
    <cellStyle name="Normal 10 2 2 2 7" xfId="16873"/>
    <cellStyle name="Normal 10 2 2 2 8" xfId="33327"/>
    <cellStyle name="Normal 10 2 2 2 9" xfId="41554"/>
    <cellStyle name="Normal 10 2 2 3" xfId="609"/>
    <cellStyle name="Normal 10 2 2 3 2" xfId="2304"/>
    <cellStyle name="Normal 10 2 2 3 2 2" xfId="10529"/>
    <cellStyle name="Normal 10 2 2 3 2 2 2" xfId="26979"/>
    <cellStyle name="Normal 10 2 2 3 2 3" xfId="18754"/>
    <cellStyle name="Normal 10 2 2 3 2 4" xfId="35208"/>
    <cellStyle name="Normal 10 2 2 3 3" xfId="3949"/>
    <cellStyle name="Normal 10 2 2 3 3 2" xfId="12174"/>
    <cellStyle name="Normal 10 2 2 3 3 2 2" xfId="28624"/>
    <cellStyle name="Normal 10 2 2 3 3 3" xfId="20399"/>
    <cellStyle name="Normal 10 2 2 3 3 4" xfId="36853"/>
    <cellStyle name="Normal 10 2 2 3 4" xfId="5594"/>
    <cellStyle name="Normal 10 2 2 3 4 2" xfId="13819"/>
    <cellStyle name="Normal 10 2 2 3 4 2 2" xfId="30269"/>
    <cellStyle name="Normal 10 2 2 3 4 3" xfId="22044"/>
    <cellStyle name="Normal 10 2 2 3 4 4" xfId="38498"/>
    <cellStyle name="Normal 10 2 2 3 5" xfId="7239"/>
    <cellStyle name="Normal 10 2 2 3 5 2" xfId="15464"/>
    <cellStyle name="Normal 10 2 2 3 5 2 2" xfId="31914"/>
    <cellStyle name="Normal 10 2 2 3 5 3" xfId="23689"/>
    <cellStyle name="Normal 10 2 2 3 5 4" xfId="40143"/>
    <cellStyle name="Normal 10 2 2 3 6" xfId="8884"/>
    <cellStyle name="Normal 10 2 2 3 6 2" xfId="25334"/>
    <cellStyle name="Normal 10 2 2 3 7" xfId="17108"/>
    <cellStyle name="Normal 10 2 2 3 8" xfId="33562"/>
    <cellStyle name="Normal 10 2 2 3 9" xfId="41789"/>
    <cellStyle name="Normal 10 2 2 4" xfId="844"/>
    <cellStyle name="Normal 10 2 2 4 2" xfId="2539"/>
    <cellStyle name="Normal 10 2 2 4 2 2" xfId="10764"/>
    <cellStyle name="Normal 10 2 2 4 2 2 2" xfId="27214"/>
    <cellStyle name="Normal 10 2 2 4 2 3" xfId="18989"/>
    <cellStyle name="Normal 10 2 2 4 2 4" xfId="35443"/>
    <cellStyle name="Normal 10 2 2 4 3" xfId="4184"/>
    <cellStyle name="Normal 10 2 2 4 3 2" xfId="12409"/>
    <cellStyle name="Normal 10 2 2 4 3 2 2" xfId="28859"/>
    <cellStyle name="Normal 10 2 2 4 3 3" xfId="20634"/>
    <cellStyle name="Normal 10 2 2 4 3 4" xfId="37088"/>
    <cellStyle name="Normal 10 2 2 4 4" xfId="5829"/>
    <cellStyle name="Normal 10 2 2 4 4 2" xfId="14054"/>
    <cellStyle name="Normal 10 2 2 4 4 2 2" xfId="30504"/>
    <cellStyle name="Normal 10 2 2 4 4 3" xfId="22279"/>
    <cellStyle name="Normal 10 2 2 4 4 4" xfId="38733"/>
    <cellStyle name="Normal 10 2 2 4 5" xfId="7474"/>
    <cellStyle name="Normal 10 2 2 4 5 2" xfId="15699"/>
    <cellStyle name="Normal 10 2 2 4 5 2 2" xfId="32149"/>
    <cellStyle name="Normal 10 2 2 4 5 3" xfId="23924"/>
    <cellStyle name="Normal 10 2 2 4 5 4" xfId="40378"/>
    <cellStyle name="Normal 10 2 2 4 6" xfId="9119"/>
    <cellStyle name="Normal 10 2 2 4 6 2" xfId="25569"/>
    <cellStyle name="Normal 10 2 2 4 7" xfId="17343"/>
    <cellStyle name="Normal 10 2 2 4 8" xfId="33797"/>
    <cellStyle name="Normal 10 2 2 4 9" xfId="42024"/>
    <cellStyle name="Normal 10 2 2 5" xfId="1079"/>
    <cellStyle name="Normal 10 2 2 5 2" xfId="2774"/>
    <cellStyle name="Normal 10 2 2 5 2 2" xfId="10999"/>
    <cellStyle name="Normal 10 2 2 5 2 2 2" xfId="27449"/>
    <cellStyle name="Normal 10 2 2 5 2 3" xfId="19224"/>
    <cellStyle name="Normal 10 2 2 5 2 4" xfId="35678"/>
    <cellStyle name="Normal 10 2 2 5 3" xfId="4419"/>
    <cellStyle name="Normal 10 2 2 5 3 2" xfId="12644"/>
    <cellStyle name="Normal 10 2 2 5 3 2 2" xfId="29094"/>
    <cellStyle name="Normal 10 2 2 5 3 3" xfId="20869"/>
    <cellStyle name="Normal 10 2 2 5 3 4" xfId="37323"/>
    <cellStyle name="Normal 10 2 2 5 4" xfId="6064"/>
    <cellStyle name="Normal 10 2 2 5 4 2" xfId="14289"/>
    <cellStyle name="Normal 10 2 2 5 4 2 2" xfId="30739"/>
    <cellStyle name="Normal 10 2 2 5 4 3" xfId="22514"/>
    <cellStyle name="Normal 10 2 2 5 4 4" xfId="38968"/>
    <cellStyle name="Normal 10 2 2 5 5" xfId="7709"/>
    <cellStyle name="Normal 10 2 2 5 5 2" xfId="15934"/>
    <cellStyle name="Normal 10 2 2 5 5 2 2" xfId="32384"/>
    <cellStyle name="Normal 10 2 2 5 5 3" xfId="24159"/>
    <cellStyle name="Normal 10 2 2 5 5 4" xfId="40613"/>
    <cellStyle name="Normal 10 2 2 5 6" xfId="9354"/>
    <cellStyle name="Normal 10 2 2 5 6 2" xfId="25804"/>
    <cellStyle name="Normal 10 2 2 5 7" xfId="17578"/>
    <cellStyle name="Normal 10 2 2 5 8" xfId="34032"/>
    <cellStyle name="Normal 10 2 2 5 9" xfId="42259"/>
    <cellStyle name="Normal 10 2 2 6" xfId="1359"/>
    <cellStyle name="Normal 10 2 2 6 2" xfId="3009"/>
    <cellStyle name="Normal 10 2 2 6 2 2" xfId="11234"/>
    <cellStyle name="Normal 10 2 2 6 2 2 2" xfId="27684"/>
    <cellStyle name="Normal 10 2 2 6 2 3" xfId="19459"/>
    <cellStyle name="Normal 10 2 2 6 2 4" xfId="35913"/>
    <cellStyle name="Normal 10 2 2 6 3" xfId="4654"/>
    <cellStyle name="Normal 10 2 2 6 3 2" xfId="12879"/>
    <cellStyle name="Normal 10 2 2 6 3 2 2" xfId="29329"/>
    <cellStyle name="Normal 10 2 2 6 3 3" xfId="21104"/>
    <cellStyle name="Normal 10 2 2 6 3 4" xfId="37558"/>
    <cellStyle name="Normal 10 2 2 6 4" xfId="6299"/>
    <cellStyle name="Normal 10 2 2 6 4 2" xfId="14524"/>
    <cellStyle name="Normal 10 2 2 6 4 2 2" xfId="30974"/>
    <cellStyle name="Normal 10 2 2 6 4 3" xfId="22749"/>
    <cellStyle name="Normal 10 2 2 6 4 4" xfId="39203"/>
    <cellStyle name="Normal 10 2 2 6 5" xfId="7944"/>
    <cellStyle name="Normal 10 2 2 6 5 2" xfId="16169"/>
    <cellStyle name="Normal 10 2 2 6 5 2 2" xfId="32619"/>
    <cellStyle name="Normal 10 2 2 6 5 3" xfId="24394"/>
    <cellStyle name="Normal 10 2 2 6 5 4" xfId="40848"/>
    <cellStyle name="Normal 10 2 2 6 6" xfId="9589"/>
    <cellStyle name="Normal 10 2 2 6 6 2" xfId="26039"/>
    <cellStyle name="Normal 10 2 2 6 7" xfId="17813"/>
    <cellStyle name="Normal 10 2 2 6 8" xfId="34267"/>
    <cellStyle name="Normal 10 2 2 7" xfId="1594"/>
    <cellStyle name="Normal 10 2 2 7 2" xfId="3244"/>
    <cellStyle name="Normal 10 2 2 7 2 2" xfId="11469"/>
    <cellStyle name="Normal 10 2 2 7 2 2 2" xfId="27919"/>
    <cellStyle name="Normal 10 2 2 7 2 3" xfId="19694"/>
    <cellStyle name="Normal 10 2 2 7 2 4" xfId="36148"/>
    <cellStyle name="Normal 10 2 2 7 3" xfId="4889"/>
    <cellStyle name="Normal 10 2 2 7 3 2" xfId="13114"/>
    <cellStyle name="Normal 10 2 2 7 3 2 2" xfId="29564"/>
    <cellStyle name="Normal 10 2 2 7 3 3" xfId="21339"/>
    <cellStyle name="Normal 10 2 2 7 3 4" xfId="37793"/>
    <cellStyle name="Normal 10 2 2 7 4" xfId="6534"/>
    <cellStyle name="Normal 10 2 2 7 4 2" xfId="14759"/>
    <cellStyle name="Normal 10 2 2 7 4 2 2" xfId="31209"/>
    <cellStyle name="Normal 10 2 2 7 4 3" xfId="22984"/>
    <cellStyle name="Normal 10 2 2 7 4 4" xfId="39438"/>
    <cellStyle name="Normal 10 2 2 7 5" xfId="8179"/>
    <cellStyle name="Normal 10 2 2 7 5 2" xfId="16404"/>
    <cellStyle name="Normal 10 2 2 7 5 2 2" xfId="32854"/>
    <cellStyle name="Normal 10 2 2 7 5 3" xfId="24629"/>
    <cellStyle name="Normal 10 2 2 7 5 4" xfId="41083"/>
    <cellStyle name="Normal 10 2 2 7 6" xfId="9824"/>
    <cellStyle name="Normal 10 2 2 7 6 2" xfId="26274"/>
    <cellStyle name="Normal 10 2 2 7 7" xfId="18048"/>
    <cellStyle name="Normal 10 2 2 7 8" xfId="34502"/>
    <cellStyle name="Normal 10 2 2 8" xfId="1829"/>
    <cellStyle name="Normal 10 2 2 8 2" xfId="10059"/>
    <cellStyle name="Normal 10 2 2 8 2 2" xfId="26509"/>
    <cellStyle name="Normal 10 2 2 8 3" xfId="18283"/>
    <cellStyle name="Normal 10 2 2 8 4" xfId="34737"/>
    <cellStyle name="Normal 10 2 2 9" xfId="3479"/>
    <cellStyle name="Normal 10 2 2 9 2" xfId="11704"/>
    <cellStyle name="Normal 10 2 2 9 2 2" xfId="28154"/>
    <cellStyle name="Normal 10 2 2 9 3" xfId="19929"/>
    <cellStyle name="Normal 10 2 2 9 4" xfId="36383"/>
    <cellStyle name="Normal 10 2 3" xfId="318"/>
    <cellStyle name="Normal 10 2 3 2" xfId="2017"/>
    <cellStyle name="Normal 10 2 3 2 2" xfId="10244"/>
    <cellStyle name="Normal 10 2 3 2 2 2" xfId="26694"/>
    <cellStyle name="Normal 10 2 3 2 3" xfId="18469"/>
    <cellStyle name="Normal 10 2 3 2 4" xfId="34923"/>
    <cellStyle name="Normal 10 2 3 3" xfId="3664"/>
    <cellStyle name="Normal 10 2 3 3 2" xfId="11889"/>
    <cellStyle name="Normal 10 2 3 3 2 2" xfId="28339"/>
    <cellStyle name="Normal 10 2 3 3 3" xfId="20114"/>
    <cellStyle name="Normal 10 2 3 3 4" xfId="36568"/>
    <cellStyle name="Normal 10 2 3 4" xfId="5309"/>
    <cellStyle name="Normal 10 2 3 4 2" xfId="13534"/>
    <cellStyle name="Normal 10 2 3 4 2 2" xfId="29984"/>
    <cellStyle name="Normal 10 2 3 4 3" xfId="21759"/>
    <cellStyle name="Normal 10 2 3 4 4" xfId="38213"/>
    <cellStyle name="Normal 10 2 3 5" xfId="6954"/>
    <cellStyle name="Normal 10 2 3 5 2" xfId="15179"/>
    <cellStyle name="Normal 10 2 3 5 2 2" xfId="31629"/>
    <cellStyle name="Normal 10 2 3 5 3" xfId="23404"/>
    <cellStyle name="Normal 10 2 3 5 4" xfId="39858"/>
    <cellStyle name="Normal 10 2 3 6" xfId="8599"/>
    <cellStyle name="Normal 10 2 3 6 2" xfId="25049"/>
    <cellStyle name="Normal 10 2 3 7" xfId="16823"/>
    <cellStyle name="Normal 10 2 3 8" xfId="33277"/>
    <cellStyle name="Normal 10 2 3 9" xfId="41504"/>
    <cellStyle name="Normal 10 2 4" xfId="559"/>
    <cellStyle name="Normal 10 2 4 2" xfId="2254"/>
    <cellStyle name="Normal 10 2 4 2 2" xfId="10479"/>
    <cellStyle name="Normal 10 2 4 2 2 2" xfId="26929"/>
    <cellStyle name="Normal 10 2 4 2 3" xfId="18704"/>
    <cellStyle name="Normal 10 2 4 2 4" xfId="35158"/>
    <cellStyle name="Normal 10 2 4 3" xfId="3899"/>
    <cellStyle name="Normal 10 2 4 3 2" xfId="12124"/>
    <cellStyle name="Normal 10 2 4 3 2 2" xfId="28574"/>
    <cellStyle name="Normal 10 2 4 3 3" xfId="20349"/>
    <cellStyle name="Normal 10 2 4 3 4" xfId="36803"/>
    <cellStyle name="Normal 10 2 4 4" xfId="5544"/>
    <cellStyle name="Normal 10 2 4 4 2" xfId="13769"/>
    <cellStyle name="Normal 10 2 4 4 2 2" xfId="30219"/>
    <cellStyle name="Normal 10 2 4 4 3" xfId="21994"/>
    <cellStyle name="Normal 10 2 4 4 4" xfId="38448"/>
    <cellStyle name="Normal 10 2 4 5" xfId="7189"/>
    <cellStyle name="Normal 10 2 4 5 2" xfId="15414"/>
    <cellStyle name="Normal 10 2 4 5 2 2" xfId="31864"/>
    <cellStyle name="Normal 10 2 4 5 3" xfId="23639"/>
    <cellStyle name="Normal 10 2 4 5 4" xfId="40093"/>
    <cellStyle name="Normal 10 2 4 6" xfId="8834"/>
    <cellStyle name="Normal 10 2 4 6 2" xfId="25284"/>
    <cellStyle name="Normal 10 2 4 7" xfId="17058"/>
    <cellStyle name="Normal 10 2 4 8" xfId="33512"/>
    <cellStyle name="Normal 10 2 4 9" xfId="41739"/>
    <cellStyle name="Normal 10 2 5" xfId="794"/>
    <cellStyle name="Normal 10 2 5 2" xfId="2489"/>
    <cellStyle name="Normal 10 2 5 2 2" xfId="10714"/>
    <cellStyle name="Normal 10 2 5 2 2 2" xfId="27164"/>
    <cellStyle name="Normal 10 2 5 2 3" xfId="18939"/>
    <cellStyle name="Normal 10 2 5 2 4" xfId="35393"/>
    <cellStyle name="Normal 10 2 5 3" xfId="4134"/>
    <cellStyle name="Normal 10 2 5 3 2" xfId="12359"/>
    <cellStyle name="Normal 10 2 5 3 2 2" xfId="28809"/>
    <cellStyle name="Normal 10 2 5 3 3" xfId="20584"/>
    <cellStyle name="Normal 10 2 5 3 4" xfId="37038"/>
    <cellStyle name="Normal 10 2 5 4" xfId="5779"/>
    <cellStyle name="Normal 10 2 5 4 2" xfId="14004"/>
    <cellStyle name="Normal 10 2 5 4 2 2" xfId="30454"/>
    <cellStyle name="Normal 10 2 5 4 3" xfId="22229"/>
    <cellStyle name="Normal 10 2 5 4 4" xfId="38683"/>
    <cellStyle name="Normal 10 2 5 5" xfId="7424"/>
    <cellStyle name="Normal 10 2 5 5 2" xfId="15649"/>
    <cellStyle name="Normal 10 2 5 5 2 2" xfId="32099"/>
    <cellStyle name="Normal 10 2 5 5 3" xfId="23874"/>
    <cellStyle name="Normal 10 2 5 5 4" xfId="40328"/>
    <cellStyle name="Normal 10 2 5 6" xfId="9069"/>
    <cellStyle name="Normal 10 2 5 6 2" xfId="25519"/>
    <cellStyle name="Normal 10 2 5 7" xfId="17293"/>
    <cellStyle name="Normal 10 2 5 8" xfId="33747"/>
    <cellStyle name="Normal 10 2 5 9" xfId="41974"/>
    <cellStyle name="Normal 10 2 6" xfId="1029"/>
    <cellStyle name="Normal 10 2 6 2" xfId="2724"/>
    <cellStyle name="Normal 10 2 6 2 2" xfId="10949"/>
    <cellStyle name="Normal 10 2 6 2 2 2" xfId="27399"/>
    <cellStyle name="Normal 10 2 6 2 3" xfId="19174"/>
    <cellStyle name="Normal 10 2 6 2 4" xfId="35628"/>
    <cellStyle name="Normal 10 2 6 3" xfId="4369"/>
    <cellStyle name="Normal 10 2 6 3 2" xfId="12594"/>
    <cellStyle name="Normal 10 2 6 3 2 2" xfId="29044"/>
    <cellStyle name="Normal 10 2 6 3 3" xfId="20819"/>
    <cellStyle name="Normal 10 2 6 3 4" xfId="37273"/>
    <cellStyle name="Normal 10 2 6 4" xfId="6014"/>
    <cellStyle name="Normal 10 2 6 4 2" xfId="14239"/>
    <cellStyle name="Normal 10 2 6 4 2 2" xfId="30689"/>
    <cellStyle name="Normal 10 2 6 4 3" xfId="22464"/>
    <cellStyle name="Normal 10 2 6 4 4" xfId="38918"/>
    <cellStyle name="Normal 10 2 6 5" xfId="7659"/>
    <cellStyle name="Normal 10 2 6 5 2" xfId="15884"/>
    <cellStyle name="Normal 10 2 6 5 2 2" xfId="32334"/>
    <cellStyle name="Normal 10 2 6 5 3" xfId="24109"/>
    <cellStyle name="Normal 10 2 6 5 4" xfId="40563"/>
    <cellStyle name="Normal 10 2 6 6" xfId="9304"/>
    <cellStyle name="Normal 10 2 6 6 2" xfId="25754"/>
    <cellStyle name="Normal 10 2 6 7" xfId="17528"/>
    <cellStyle name="Normal 10 2 6 8" xfId="33982"/>
    <cellStyle name="Normal 10 2 6 9" xfId="42209"/>
    <cellStyle name="Normal 10 2 7" xfId="1309"/>
    <cellStyle name="Normal 10 2 7 2" xfId="2959"/>
    <cellStyle name="Normal 10 2 7 2 2" xfId="11184"/>
    <cellStyle name="Normal 10 2 7 2 2 2" xfId="27634"/>
    <cellStyle name="Normal 10 2 7 2 3" xfId="19409"/>
    <cellStyle name="Normal 10 2 7 2 4" xfId="35863"/>
    <cellStyle name="Normal 10 2 7 3" xfId="4604"/>
    <cellStyle name="Normal 10 2 7 3 2" xfId="12829"/>
    <cellStyle name="Normal 10 2 7 3 2 2" xfId="29279"/>
    <cellStyle name="Normal 10 2 7 3 3" xfId="21054"/>
    <cellStyle name="Normal 10 2 7 3 4" xfId="37508"/>
    <cellStyle name="Normal 10 2 7 4" xfId="6249"/>
    <cellStyle name="Normal 10 2 7 4 2" xfId="14474"/>
    <cellStyle name="Normal 10 2 7 4 2 2" xfId="30924"/>
    <cellStyle name="Normal 10 2 7 4 3" xfId="22699"/>
    <cellStyle name="Normal 10 2 7 4 4" xfId="39153"/>
    <cellStyle name="Normal 10 2 7 5" xfId="7894"/>
    <cellStyle name="Normal 10 2 7 5 2" xfId="16119"/>
    <cellStyle name="Normal 10 2 7 5 2 2" xfId="32569"/>
    <cellStyle name="Normal 10 2 7 5 3" xfId="24344"/>
    <cellStyle name="Normal 10 2 7 5 4" xfId="40798"/>
    <cellStyle name="Normal 10 2 7 6" xfId="9539"/>
    <cellStyle name="Normal 10 2 7 6 2" xfId="25989"/>
    <cellStyle name="Normal 10 2 7 7" xfId="17763"/>
    <cellStyle name="Normal 10 2 7 8" xfId="34217"/>
    <cellStyle name="Normal 10 2 8" xfId="1544"/>
    <cellStyle name="Normal 10 2 8 2" xfId="3194"/>
    <cellStyle name="Normal 10 2 8 2 2" xfId="11419"/>
    <cellStyle name="Normal 10 2 8 2 2 2" xfId="27869"/>
    <cellStyle name="Normal 10 2 8 2 3" xfId="19644"/>
    <cellStyle name="Normal 10 2 8 2 4" xfId="36098"/>
    <cellStyle name="Normal 10 2 8 3" xfId="4839"/>
    <cellStyle name="Normal 10 2 8 3 2" xfId="13064"/>
    <cellStyle name="Normal 10 2 8 3 2 2" xfId="29514"/>
    <cellStyle name="Normal 10 2 8 3 3" xfId="21289"/>
    <cellStyle name="Normal 10 2 8 3 4" xfId="37743"/>
    <cellStyle name="Normal 10 2 8 4" xfId="6484"/>
    <cellStyle name="Normal 10 2 8 4 2" xfId="14709"/>
    <cellStyle name="Normal 10 2 8 4 2 2" xfId="31159"/>
    <cellStyle name="Normal 10 2 8 4 3" xfId="22934"/>
    <cellStyle name="Normal 10 2 8 4 4" xfId="39388"/>
    <cellStyle name="Normal 10 2 8 5" xfId="8129"/>
    <cellStyle name="Normal 10 2 8 5 2" xfId="16354"/>
    <cellStyle name="Normal 10 2 8 5 2 2" xfId="32804"/>
    <cellStyle name="Normal 10 2 8 5 3" xfId="24579"/>
    <cellStyle name="Normal 10 2 8 5 4" xfId="41033"/>
    <cellStyle name="Normal 10 2 8 6" xfId="9774"/>
    <cellStyle name="Normal 10 2 8 6 2" xfId="26224"/>
    <cellStyle name="Normal 10 2 8 7" xfId="17998"/>
    <cellStyle name="Normal 10 2 8 8" xfId="34452"/>
    <cellStyle name="Normal 10 2 9" xfId="1779"/>
    <cellStyle name="Normal 10 2 9 2" xfId="10009"/>
    <cellStyle name="Normal 10 2 9 2 2" xfId="26459"/>
    <cellStyle name="Normal 10 2 9 3" xfId="18233"/>
    <cellStyle name="Normal 10 2 9 4" xfId="34687"/>
    <cellStyle name="Normal 10 20" xfId="16563"/>
    <cellStyle name="Normal 10 21" xfId="33016"/>
    <cellStyle name="Normal 10 22" xfId="41244"/>
    <cellStyle name="Normal 10 3" xfId="100"/>
    <cellStyle name="Normal 10 3 10" xfId="5099"/>
    <cellStyle name="Normal 10 3 10 2" xfId="13324"/>
    <cellStyle name="Normal 10 3 10 2 2" xfId="29774"/>
    <cellStyle name="Normal 10 3 10 3" xfId="21549"/>
    <cellStyle name="Normal 10 3 10 4" xfId="38003"/>
    <cellStyle name="Normal 10 3 11" xfId="6744"/>
    <cellStyle name="Normal 10 3 11 2" xfId="14969"/>
    <cellStyle name="Normal 10 3 11 2 2" xfId="31419"/>
    <cellStyle name="Normal 10 3 11 3" xfId="23194"/>
    <cellStyle name="Normal 10 3 11 4" xfId="39648"/>
    <cellStyle name="Normal 10 3 12" xfId="8389"/>
    <cellStyle name="Normal 10 3 12 2" xfId="24839"/>
    <cellStyle name="Normal 10 3 13" xfId="16613"/>
    <cellStyle name="Normal 10 3 14" xfId="33066"/>
    <cellStyle name="Normal 10 3 15" xfId="41294"/>
    <cellStyle name="Normal 10 3 2" xfId="343"/>
    <cellStyle name="Normal 10 3 2 2" xfId="2042"/>
    <cellStyle name="Normal 10 3 2 2 2" xfId="10269"/>
    <cellStyle name="Normal 10 3 2 2 2 2" xfId="26719"/>
    <cellStyle name="Normal 10 3 2 2 3" xfId="18494"/>
    <cellStyle name="Normal 10 3 2 2 4" xfId="34948"/>
    <cellStyle name="Normal 10 3 2 3" xfId="3689"/>
    <cellStyle name="Normal 10 3 2 3 2" xfId="11914"/>
    <cellStyle name="Normal 10 3 2 3 2 2" xfId="28364"/>
    <cellStyle name="Normal 10 3 2 3 3" xfId="20139"/>
    <cellStyle name="Normal 10 3 2 3 4" xfId="36593"/>
    <cellStyle name="Normal 10 3 2 4" xfId="5334"/>
    <cellStyle name="Normal 10 3 2 4 2" xfId="13559"/>
    <cellStyle name="Normal 10 3 2 4 2 2" xfId="30009"/>
    <cellStyle name="Normal 10 3 2 4 3" xfId="21784"/>
    <cellStyle name="Normal 10 3 2 4 4" xfId="38238"/>
    <cellStyle name="Normal 10 3 2 5" xfId="6979"/>
    <cellStyle name="Normal 10 3 2 5 2" xfId="15204"/>
    <cellStyle name="Normal 10 3 2 5 2 2" xfId="31654"/>
    <cellStyle name="Normal 10 3 2 5 3" xfId="23429"/>
    <cellStyle name="Normal 10 3 2 5 4" xfId="39883"/>
    <cellStyle name="Normal 10 3 2 6" xfId="8624"/>
    <cellStyle name="Normal 10 3 2 6 2" xfId="25074"/>
    <cellStyle name="Normal 10 3 2 7" xfId="16848"/>
    <cellStyle name="Normal 10 3 2 8" xfId="33302"/>
    <cellStyle name="Normal 10 3 2 9" xfId="41529"/>
    <cellStyle name="Normal 10 3 3" xfId="584"/>
    <cellStyle name="Normal 10 3 3 2" xfId="2279"/>
    <cellStyle name="Normal 10 3 3 2 2" xfId="10504"/>
    <cellStyle name="Normal 10 3 3 2 2 2" xfId="26954"/>
    <cellStyle name="Normal 10 3 3 2 3" xfId="18729"/>
    <cellStyle name="Normal 10 3 3 2 4" xfId="35183"/>
    <cellStyle name="Normal 10 3 3 3" xfId="3924"/>
    <cellStyle name="Normal 10 3 3 3 2" xfId="12149"/>
    <cellStyle name="Normal 10 3 3 3 2 2" xfId="28599"/>
    <cellStyle name="Normal 10 3 3 3 3" xfId="20374"/>
    <cellStyle name="Normal 10 3 3 3 4" xfId="36828"/>
    <cellStyle name="Normal 10 3 3 4" xfId="5569"/>
    <cellStyle name="Normal 10 3 3 4 2" xfId="13794"/>
    <cellStyle name="Normal 10 3 3 4 2 2" xfId="30244"/>
    <cellStyle name="Normal 10 3 3 4 3" xfId="22019"/>
    <cellStyle name="Normal 10 3 3 4 4" xfId="38473"/>
    <cellStyle name="Normal 10 3 3 5" xfId="7214"/>
    <cellStyle name="Normal 10 3 3 5 2" xfId="15439"/>
    <cellStyle name="Normal 10 3 3 5 2 2" xfId="31889"/>
    <cellStyle name="Normal 10 3 3 5 3" xfId="23664"/>
    <cellStyle name="Normal 10 3 3 5 4" xfId="40118"/>
    <cellStyle name="Normal 10 3 3 6" xfId="8859"/>
    <cellStyle name="Normal 10 3 3 6 2" xfId="25309"/>
    <cellStyle name="Normal 10 3 3 7" xfId="17083"/>
    <cellStyle name="Normal 10 3 3 8" xfId="33537"/>
    <cellStyle name="Normal 10 3 3 9" xfId="41764"/>
    <cellStyle name="Normal 10 3 4" xfId="819"/>
    <cellStyle name="Normal 10 3 4 2" xfId="2514"/>
    <cellStyle name="Normal 10 3 4 2 2" xfId="10739"/>
    <cellStyle name="Normal 10 3 4 2 2 2" xfId="27189"/>
    <cellStyle name="Normal 10 3 4 2 3" xfId="18964"/>
    <cellStyle name="Normal 10 3 4 2 4" xfId="35418"/>
    <cellStyle name="Normal 10 3 4 3" xfId="4159"/>
    <cellStyle name="Normal 10 3 4 3 2" xfId="12384"/>
    <cellStyle name="Normal 10 3 4 3 2 2" xfId="28834"/>
    <cellStyle name="Normal 10 3 4 3 3" xfId="20609"/>
    <cellStyle name="Normal 10 3 4 3 4" xfId="37063"/>
    <cellStyle name="Normal 10 3 4 4" xfId="5804"/>
    <cellStyle name="Normal 10 3 4 4 2" xfId="14029"/>
    <cellStyle name="Normal 10 3 4 4 2 2" xfId="30479"/>
    <cellStyle name="Normal 10 3 4 4 3" xfId="22254"/>
    <cellStyle name="Normal 10 3 4 4 4" xfId="38708"/>
    <cellStyle name="Normal 10 3 4 5" xfId="7449"/>
    <cellStyle name="Normal 10 3 4 5 2" xfId="15674"/>
    <cellStyle name="Normal 10 3 4 5 2 2" xfId="32124"/>
    <cellStyle name="Normal 10 3 4 5 3" xfId="23899"/>
    <cellStyle name="Normal 10 3 4 5 4" xfId="40353"/>
    <cellStyle name="Normal 10 3 4 6" xfId="9094"/>
    <cellStyle name="Normal 10 3 4 6 2" xfId="25544"/>
    <cellStyle name="Normal 10 3 4 7" xfId="17318"/>
    <cellStyle name="Normal 10 3 4 8" xfId="33772"/>
    <cellStyle name="Normal 10 3 4 9" xfId="41999"/>
    <cellStyle name="Normal 10 3 5" xfId="1054"/>
    <cellStyle name="Normal 10 3 5 2" xfId="2749"/>
    <cellStyle name="Normal 10 3 5 2 2" xfId="10974"/>
    <cellStyle name="Normal 10 3 5 2 2 2" xfId="27424"/>
    <cellStyle name="Normal 10 3 5 2 3" xfId="19199"/>
    <cellStyle name="Normal 10 3 5 2 4" xfId="35653"/>
    <cellStyle name="Normal 10 3 5 3" xfId="4394"/>
    <cellStyle name="Normal 10 3 5 3 2" xfId="12619"/>
    <cellStyle name="Normal 10 3 5 3 2 2" xfId="29069"/>
    <cellStyle name="Normal 10 3 5 3 3" xfId="20844"/>
    <cellStyle name="Normal 10 3 5 3 4" xfId="37298"/>
    <cellStyle name="Normal 10 3 5 4" xfId="6039"/>
    <cellStyle name="Normal 10 3 5 4 2" xfId="14264"/>
    <cellStyle name="Normal 10 3 5 4 2 2" xfId="30714"/>
    <cellStyle name="Normal 10 3 5 4 3" xfId="22489"/>
    <cellStyle name="Normal 10 3 5 4 4" xfId="38943"/>
    <cellStyle name="Normal 10 3 5 5" xfId="7684"/>
    <cellStyle name="Normal 10 3 5 5 2" xfId="15909"/>
    <cellStyle name="Normal 10 3 5 5 2 2" xfId="32359"/>
    <cellStyle name="Normal 10 3 5 5 3" xfId="24134"/>
    <cellStyle name="Normal 10 3 5 5 4" xfId="40588"/>
    <cellStyle name="Normal 10 3 5 6" xfId="9329"/>
    <cellStyle name="Normal 10 3 5 6 2" xfId="25779"/>
    <cellStyle name="Normal 10 3 5 7" xfId="17553"/>
    <cellStyle name="Normal 10 3 5 8" xfId="34007"/>
    <cellStyle name="Normal 10 3 5 9" xfId="42234"/>
    <cellStyle name="Normal 10 3 6" xfId="1334"/>
    <cellStyle name="Normal 10 3 6 2" xfId="2984"/>
    <cellStyle name="Normal 10 3 6 2 2" xfId="11209"/>
    <cellStyle name="Normal 10 3 6 2 2 2" xfId="27659"/>
    <cellStyle name="Normal 10 3 6 2 3" xfId="19434"/>
    <cellStyle name="Normal 10 3 6 2 4" xfId="35888"/>
    <cellStyle name="Normal 10 3 6 3" xfId="4629"/>
    <cellStyle name="Normal 10 3 6 3 2" xfId="12854"/>
    <cellStyle name="Normal 10 3 6 3 2 2" xfId="29304"/>
    <cellStyle name="Normal 10 3 6 3 3" xfId="21079"/>
    <cellStyle name="Normal 10 3 6 3 4" xfId="37533"/>
    <cellStyle name="Normal 10 3 6 4" xfId="6274"/>
    <cellStyle name="Normal 10 3 6 4 2" xfId="14499"/>
    <cellStyle name="Normal 10 3 6 4 2 2" xfId="30949"/>
    <cellStyle name="Normal 10 3 6 4 3" xfId="22724"/>
    <cellStyle name="Normal 10 3 6 4 4" xfId="39178"/>
    <cellStyle name="Normal 10 3 6 5" xfId="7919"/>
    <cellStyle name="Normal 10 3 6 5 2" xfId="16144"/>
    <cellStyle name="Normal 10 3 6 5 2 2" xfId="32594"/>
    <cellStyle name="Normal 10 3 6 5 3" xfId="24369"/>
    <cellStyle name="Normal 10 3 6 5 4" xfId="40823"/>
    <cellStyle name="Normal 10 3 6 6" xfId="9564"/>
    <cellStyle name="Normal 10 3 6 6 2" xfId="26014"/>
    <cellStyle name="Normal 10 3 6 7" xfId="17788"/>
    <cellStyle name="Normal 10 3 6 8" xfId="34242"/>
    <cellStyle name="Normal 10 3 7" xfId="1569"/>
    <cellStyle name="Normal 10 3 7 2" xfId="3219"/>
    <cellStyle name="Normal 10 3 7 2 2" xfId="11444"/>
    <cellStyle name="Normal 10 3 7 2 2 2" xfId="27894"/>
    <cellStyle name="Normal 10 3 7 2 3" xfId="19669"/>
    <cellStyle name="Normal 10 3 7 2 4" xfId="36123"/>
    <cellStyle name="Normal 10 3 7 3" xfId="4864"/>
    <cellStyle name="Normal 10 3 7 3 2" xfId="13089"/>
    <cellStyle name="Normal 10 3 7 3 2 2" xfId="29539"/>
    <cellStyle name="Normal 10 3 7 3 3" xfId="21314"/>
    <cellStyle name="Normal 10 3 7 3 4" xfId="37768"/>
    <cellStyle name="Normal 10 3 7 4" xfId="6509"/>
    <cellStyle name="Normal 10 3 7 4 2" xfId="14734"/>
    <cellStyle name="Normal 10 3 7 4 2 2" xfId="31184"/>
    <cellStyle name="Normal 10 3 7 4 3" xfId="22959"/>
    <cellStyle name="Normal 10 3 7 4 4" xfId="39413"/>
    <cellStyle name="Normal 10 3 7 5" xfId="8154"/>
    <cellStyle name="Normal 10 3 7 5 2" xfId="16379"/>
    <cellStyle name="Normal 10 3 7 5 2 2" xfId="32829"/>
    <cellStyle name="Normal 10 3 7 5 3" xfId="24604"/>
    <cellStyle name="Normal 10 3 7 5 4" xfId="41058"/>
    <cellStyle name="Normal 10 3 7 6" xfId="9799"/>
    <cellStyle name="Normal 10 3 7 6 2" xfId="26249"/>
    <cellStyle name="Normal 10 3 7 7" xfId="18023"/>
    <cellStyle name="Normal 10 3 7 8" xfId="34477"/>
    <cellStyle name="Normal 10 3 8" xfId="1804"/>
    <cellStyle name="Normal 10 3 8 2" xfId="10034"/>
    <cellStyle name="Normal 10 3 8 2 2" xfId="26484"/>
    <cellStyle name="Normal 10 3 8 3" xfId="18258"/>
    <cellStyle name="Normal 10 3 8 4" xfId="34712"/>
    <cellStyle name="Normal 10 3 9" xfId="3454"/>
    <cellStyle name="Normal 10 3 9 2" xfId="11679"/>
    <cellStyle name="Normal 10 3 9 2 2" xfId="28129"/>
    <cellStyle name="Normal 10 3 9 3" xfId="19904"/>
    <cellStyle name="Normal 10 3 9 4" xfId="36358"/>
    <cellStyle name="Normal 10 4" xfId="150"/>
    <cellStyle name="Normal 10 4 10" xfId="5149"/>
    <cellStyle name="Normal 10 4 10 2" xfId="13374"/>
    <cellStyle name="Normal 10 4 10 2 2" xfId="29824"/>
    <cellStyle name="Normal 10 4 10 3" xfId="21599"/>
    <cellStyle name="Normal 10 4 10 4" xfId="38053"/>
    <cellStyle name="Normal 10 4 11" xfId="6794"/>
    <cellStyle name="Normal 10 4 11 2" xfId="15019"/>
    <cellStyle name="Normal 10 4 11 2 2" xfId="31469"/>
    <cellStyle name="Normal 10 4 11 3" xfId="23244"/>
    <cellStyle name="Normal 10 4 11 4" xfId="39698"/>
    <cellStyle name="Normal 10 4 12" xfId="8439"/>
    <cellStyle name="Normal 10 4 12 2" xfId="24889"/>
    <cellStyle name="Normal 10 4 13" xfId="16663"/>
    <cellStyle name="Normal 10 4 14" xfId="33116"/>
    <cellStyle name="Normal 10 4 15" xfId="41344"/>
    <cellStyle name="Normal 10 4 2" xfId="393"/>
    <cellStyle name="Normal 10 4 2 2" xfId="2092"/>
    <cellStyle name="Normal 10 4 2 2 2" xfId="10319"/>
    <cellStyle name="Normal 10 4 2 2 2 2" xfId="26769"/>
    <cellStyle name="Normal 10 4 2 2 3" xfId="18544"/>
    <cellStyle name="Normal 10 4 2 2 4" xfId="34998"/>
    <cellStyle name="Normal 10 4 2 3" xfId="3739"/>
    <cellStyle name="Normal 10 4 2 3 2" xfId="11964"/>
    <cellStyle name="Normal 10 4 2 3 2 2" xfId="28414"/>
    <cellStyle name="Normal 10 4 2 3 3" xfId="20189"/>
    <cellStyle name="Normal 10 4 2 3 4" xfId="36643"/>
    <cellStyle name="Normal 10 4 2 4" xfId="5384"/>
    <cellStyle name="Normal 10 4 2 4 2" xfId="13609"/>
    <cellStyle name="Normal 10 4 2 4 2 2" xfId="30059"/>
    <cellStyle name="Normal 10 4 2 4 3" xfId="21834"/>
    <cellStyle name="Normal 10 4 2 4 4" xfId="38288"/>
    <cellStyle name="Normal 10 4 2 5" xfId="7029"/>
    <cellStyle name="Normal 10 4 2 5 2" xfId="15254"/>
    <cellStyle name="Normal 10 4 2 5 2 2" xfId="31704"/>
    <cellStyle name="Normal 10 4 2 5 3" xfId="23479"/>
    <cellStyle name="Normal 10 4 2 5 4" xfId="39933"/>
    <cellStyle name="Normal 10 4 2 6" xfId="8674"/>
    <cellStyle name="Normal 10 4 2 6 2" xfId="25124"/>
    <cellStyle name="Normal 10 4 2 7" xfId="16898"/>
    <cellStyle name="Normal 10 4 2 8" xfId="33352"/>
    <cellStyle name="Normal 10 4 2 9" xfId="41579"/>
    <cellStyle name="Normal 10 4 3" xfId="634"/>
    <cellStyle name="Normal 10 4 3 2" xfId="2329"/>
    <cellStyle name="Normal 10 4 3 2 2" xfId="10554"/>
    <cellStyle name="Normal 10 4 3 2 2 2" xfId="27004"/>
    <cellStyle name="Normal 10 4 3 2 3" xfId="18779"/>
    <cellStyle name="Normal 10 4 3 2 4" xfId="35233"/>
    <cellStyle name="Normal 10 4 3 3" xfId="3974"/>
    <cellStyle name="Normal 10 4 3 3 2" xfId="12199"/>
    <cellStyle name="Normal 10 4 3 3 2 2" xfId="28649"/>
    <cellStyle name="Normal 10 4 3 3 3" xfId="20424"/>
    <cellStyle name="Normal 10 4 3 3 4" xfId="36878"/>
    <cellStyle name="Normal 10 4 3 4" xfId="5619"/>
    <cellStyle name="Normal 10 4 3 4 2" xfId="13844"/>
    <cellStyle name="Normal 10 4 3 4 2 2" xfId="30294"/>
    <cellStyle name="Normal 10 4 3 4 3" xfId="22069"/>
    <cellStyle name="Normal 10 4 3 4 4" xfId="38523"/>
    <cellStyle name="Normal 10 4 3 5" xfId="7264"/>
    <cellStyle name="Normal 10 4 3 5 2" xfId="15489"/>
    <cellStyle name="Normal 10 4 3 5 2 2" xfId="31939"/>
    <cellStyle name="Normal 10 4 3 5 3" xfId="23714"/>
    <cellStyle name="Normal 10 4 3 5 4" xfId="40168"/>
    <cellStyle name="Normal 10 4 3 6" xfId="8909"/>
    <cellStyle name="Normal 10 4 3 6 2" xfId="25359"/>
    <cellStyle name="Normal 10 4 3 7" xfId="17133"/>
    <cellStyle name="Normal 10 4 3 8" xfId="33587"/>
    <cellStyle name="Normal 10 4 3 9" xfId="41814"/>
    <cellStyle name="Normal 10 4 4" xfId="869"/>
    <cellStyle name="Normal 10 4 4 2" xfId="2564"/>
    <cellStyle name="Normal 10 4 4 2 2" xfId="10789"/>
    <cellStyle name="Normal 10 4 4 2 2 2" xfId="27239"/>
    <cellStyle name="Normal 10 4 4 2 3" xfId="19014"/>
    <cellStyle name="Normal 10 4 4 2 4" xfId="35468"/>
    <cellStyle name="Normal 10 4 4 3" xfId="4209"/>
    <cellStyle name="Normal 10 4 4 3 2" xfId="12434"/>
    <cellStyle name="Normal 10 4 4 3 2 2" xfId="28884"/>
    <cellStyle name="Normal 10 4 4 3 3" xfId="20659"/>
    <cellStyle name="Normal 10 4 4 3 4" xfId="37113"/>
    <cellStyle name="Normal 10 4 4 4" xfId="5854"/>
    <cellStyle name="Normal 10 4 4 4 2" xfId="14079"/>
    <cellStyle name="Normal 10 4 4 4 2 2" xfId="30529"/>
    <cellStyle name="Normal 10 4 4 4 3" xfId="22304"/>
    <cellStyle name="Normal 10 4 4 4 4" xfId="38758"/>
    <cellStyle name="Normal 10 4 4 5" xfId="7499"/>
    <cellStyle name="Normal 10 4 4 5 2" xfId="15724"/>
    <cellStyle name="Normal 10 4 4 5 2 2" xfId="32174"/>
    <cellStyle name="Normal 10 4 4 5 3" xfId="23949"/>
    <cellStyle name="Normal 10 4 4 5 4" xfId="40403"/>
    <cellStyle name="Normal 10 4 4 6" xfId="9144"/>
    <cellStyle name="Normal 10 4 4 6 2" xfId="25594"/>
    <cellStyle name="Normal 10 4 4 7" xfId="17368"/>
    <cellStyle name="Normal 10 4 4 8" xfId="33822"/>
    <cellStyle name="Normal 10 4 4 9" xfId="42049"/>
    <cellStyle name="Normal 10 4 5" xfId="1104"/>
    <cellStyle name="Normal 10 4 5 2" xfId="2799"/>
    <cellStyle name="Normal 10 4 5 2 2" xfId="11024"/>
    <cellStyle name="Normal 10 4 5 2 2 2" xfId="27474"/>
    <cellStyle name="Normal 10 4 5 2 3" xfId="19249"/>
    <cellStyle name="Normal 10 4 5 2 4" xfId="35703"/>
    <cellStyle name="Normal 10 4 5 3" xfId="4444"/>
    <cellStyle name="Normal 10 4 5 3 2" xfId="12669"/>
    <cellStyle name="Normal 10 4 5 3 2 2" xfId="29119"/>
    <cellStyle name="Normal 10 4 5 3 3" xfId="20894"/>
    <cellStyle name="Normal 10 4 5 3 4" xfId="37348"/>
    <cellStyle name="Normal 10 4 5 4" xfId="6089"/>
    <cellStyle name="Normal 10 4 5 4 2" xfId="14314"/>
    <cellStyle name="Normal 10 4 5 4 2 2" xfId="30764"/>
    <cellStyle name="Normal 10 4 5 4 3" xfId="22539"/>
    <cellStyle name="Normal 10 4 5 4 4" xfId="38993"/>
    <cellStyle name="Normal 10 4 5 5" xfId="7734"/>
    <cellStyle name="Normal 10 4 5 5 2" xfId="15959"/>
    <cellStyle name="Normal 10 4 5 5 2 2" xfId="32409"/>
    <cellStyle name="Normal 10 4 5 5 3" xfId="24184"/>
    <cellStyle name="Normal 10 4 5 5 4" xfId="40638"/>
    <cellStyle name="Normal 10 4 5 6" xfId="9379"/>
    <cellStyle name="Normal 10 4 5 6 2" xfId="25829"/>
    <cellStyle name="Normal 10 4 5 7" xfId="17603"/>
    <cellStyle name="Normal 10 4 5 8" xfId="34057"/>
    <cellStyle name="Normal 10 4 5 9" xfId="42284"/>
    <cellStyle name="Normal 10 4 6" xfId="1384"/>
    <cellStyle name="Normal 10 4 6 2" xfId="3034"/>
    <cellStyle name="Normal 10 4 6 2 2" xfId="11259"/>
    <cellStyle name="Normal 10 4 6 2 2 2" xfId="27709"/>
    <cellStyle name="Normal 10 4 6 2 3" xfId="19484"/>
    <cellStyle name="Normal 10 4 6 2 4" xfId="35938"/>
    <cellStyle name="Normal 10 4 6 3" xfId="4679"/>
    <cellStyle name="Normal 10 4 6 3 2" xfId="12904"/>
    <cellStyle name="Normal 10 4 6 3 2 2" xfId="29354"/>
    <cellStyle name="Normal 10 4 6 3 3" xfId="21129"/>
    <cellStyle name="Normal 10 4 6 3 4" xfId="37583"/>
    <cellStyle name="Normal 10 4 6 4" xfId="6324"/>
    <cellStyle name="Normal 10 4 6 4 2" xfId="14549"/>
    <cellStyle name="Normal 10 4 6 4 2 2" xfId="30999"/>
    <cellStyle name="Normal 10 4 6 4 3" xfId="22774"/>
    <cellStyle name="Normal 10 4 6 4 4" xfId="39228"/>
    <cellStyle name="Normal 10 4 6 5" xfId="7969"/>
    <cellStyle name="Normal 10 4 6 5 2" xfId="16194"/>
    <cellStyle name="Normal 10 4 6 5 2 2" xfId="32644"/>
    <cellStyle name="Normal 10 4 6 5 3" xfId="24419"/>
    <cellStyle name="Normal 10 4 6 5 4" xfId="40873"/>
    <cellStyle name="Normal 10 4 6 6" xfId="9614"/>
    <cellStyle name="Normal 10 4 6 6 2" xfId="26064"/>
    <cellStyle name="Normal 10 4 6 7" xfId="17838"/>
    <cellStyle name="Normal 10 4 6 8" xfId="34292"/>
    <cellStyle name="Normal 10 4 7" xfId="1619"/>
    <cellStyle name="Normal 10 4 7 2" xfId="3269"/>
    <cellStyle name="Normal 10 4 7 2 2" xfId="11494"/>
    <cellStyle name="Normal 10 4 7 2 2 2" xfId="27944"/>
    <cellStyle name="Normal 10 4 7 2 3" xfId="19719"/>
    <cellStyle name="Normal 10 4 7 2 4" xfId="36173"/>
    <cellStyle name="Normal 10 4 7 3" xfId="4914"/>
    <cellStyle name="Normal 10 4 7 3 2" xfId="13139"/>
    <cellStyle name="Normal 10 4 7 3 2 2" xfId="29589"/>
    <cellStyle name="Normal 10 4 7 3 3" xfId="21364"/>
    <cellStyle name="Normal 10 4 7 3 4" xfId="37818"/>
    <cellStyle name="Normal 10 4 7 4" xfId="6559"/>
    <cellStyle name="Normal 10 4 7 4 2" xfId="14784"/>
    <cellStyle name="Normal 10 4 7 4 2 2" xfId="31234"/>
    <cellStyle name="Normal 10 4 7 4 3" xfId="23009"/>
    <cellStyle name="Normal 10 4 7 4 4" xfId="39463"/>
    <cellStyle name="Normal 10 4 7 5" xfId="8204"/>
    <cellStyle name="Normal 10 4 7 5 2" xfId="16429"/>
    <cellStyle name="Normal 10 4 7 5 2 2" xfId="32879"/>
    <cellStyle name="Normal 10 4 7 5 3" xfId="24654"/>
    <cellStyle name="Normal 10 4 7 5 4" xfId="41108"/>
    <cellStyle name="Normal 10 4 7 6" xfId="9849"/>
    <cellStyle name="Normal 10 4 7 6 2" xfId="26299"/>
    <cellStyle name="Normal 10 4 7 7" xfId="18073"/>
    <cellStyle name="Normal 10 4 7 8" xfId="34527"/>
    <cellStyle name="Normal 10 4 8" xfId="1854"/>
    <cellStyle name="Normal 10 4 8 2" xfId="10084"/>
    <cellStyle name="Normal 10 4 8 2 2" xfId="26534"/>
    <cellStyle name="Normal 10 4 8 3" xfId="18308"/>
    <cellStyle name="Normal 10 4 8 4" xfId="34762"/>
    <cellStyle name="Normal 10 4 9" xfId="3504"/>
    <cellStyle name="Normal 10 4 9 2" xfId="11729"/>
    <cellStyle name="Normal 10 4 9 2 2" xfId="28179"/>
    <cellStyle name="Normal 10 4 9 3" xfId="19954"/>
    <cellStyle name="Normal 10 4 9 4" xfId="36408"/>
    <cellStyle name="Normal 10 5" xfId="177"/>
    <cellStyle name="Normal 10 5 10" xfId="5176"/>
    <cellStyle name="Normal 10 5 10 2" xfId="13401"/>
    <cellStyle name="Normal 10 5 10 2 2" xfId="29851"/>
    <cellStyle name="Normal 10 5 10 3" xfId="21626"/>
    <cellStyle name="Normal 10 5 10 4" xfId="38080"/>
    <cellStyle name="Normal 10 5 11" xfId="6821"/>
    <cellStyle name="Normal 10 5 11 2" xfId="15046"/>
    <cellStyle name="Normal 10 5 11 2 2" xfId="31496"/>
    <cellStyle name="Normal 10 5 11 3" xfId="23271"/>
    <cellStyle name="Normal 10 5 11 4" xfId="39725"/>
    <cellStyle name="Normal 10 5 12" xfId="8466"/>
    <cellStyle name="Normal 10 5 12 2" xfId="24916"/>
    <cellStyle name="Normal 10 5 13" xfId="16690"/>
    <cellStyle name="Normal 10 5 14" xfId="33143"/>
    <cellStyle name="Normal 10 5 15" xfId="41371"/>
    <cellStyle name="Normal 10 5 2" xfId="420"/>
    <cellStyle name="Normal 10 5 2 2" xfId="2119"/>
    <cellStyle name="Normal 10 5 2 2 2" xfId="10346"/>
    <cellStyle name="Normal 10 5 2 2 2 2" xfId="26796"/>
    <cellStyle name="Normal 10 5 2 2 3" xfId="18571"/>
    <cellStyle name="Normal 10 5 2 2 4" xfId="35025"/>
    <cellStyle name="Normal 10 5 2 3" xfId="3766"/>
    <cellStyle name="Normal 10 5 2 3 2" xfId="11991"/>
    <cellStyle name="Normal 10 5 2 3 2 2" xfId="28441"/>
    <cellStyle name="Normal 10 5 2 3 3" xfId="20216"/>
    <cellStyle name="Normal 10 5 2 3 4" xfId="36670"/>
    <cellStyle name="Normal 10 5 2 4" xfId="5411"/>
    <cellStyle name="Normal 10 5 2 4 2" xfId="13636"/>
    <cellStyle name="Normal 10 5 2 4 2 2" xfId="30086"/>
    <cellStyle name="Normal 10 5 2 4 3" xfId="21861"/>
    <cellStyle name="Normal 10 5 2 4 4" xfId="38315"/>
    <cellStyle name="Normal 10 5 2 5" xfId="7056"/>
    <cellStyle name="Normal 10 5 2 5 2" xfId="15281"/>
    <cellStyle name="Normal 10 5 2 5 2 2" xfId="31731"/>
    <cellStyle name="Normal 10 5 2 5 3" xfId="23506"/>
    <cellStyle name="Normal 10 5 2 5 4" xfId="39960"/>
    <cellStyle name="Normal 10 5 2 6" xfId="8701"/>
    <cellStyle name="Normal 10 5 2 6 2" xfId="25151"/>
    <cellStyle name="Normal 10 5 2 7" xfId="16925"/>
    <cellStyle name="Normal 10 5 2 8" xfId="33379"/>
    <cellStyle name="Normal 10 5 2 9" xfId="41606"/>
    <cellStyle name="Normal 10 5 3" xfId="661"/>
    <cellStyle name="Normal 10 5 3 2" xfId="2356"/>
    <cellStyle name="Normal 10 5 3 2 2" xfId="10581"/>
    <cellStyle name="Normal 10 5 3 2 2 2" xfId="27031"/>
    <cellStyle name="Normal 10 5 3 2 3" xfId="18806"/>
    <cellStyle name="Normal 10 5 3 2 4" xfId="35260"/>
    <cellStyle name="Normal 10 5 3 3" xfId="4001"/>
    <cellStyle name="Normal 10 5 3 3 2" xfId="12226"/>
    <cellStyle name="Normal 10 5 3 3 2 2" xfId="28676"/>
    <cellStyle name="Normal 10 5 3 3 3" xfId="20451"/>
    <cellStyle name="Normal 10 5 3 3 4" xfId="36905"/>
    <cellStyle name="Normal 10 5 3 4" xfId="5646"/>
    <cellStyle name="Normal 10 5 3 4 2" xfId="13871"/>
    <cellStyle name="Normal 10 5 3 4 2 2" xfId="30321"/>
    <cellStyle name="Normal 10 5 3 4 3" xfId="22096"/>
    <cellStyle name="Normal 10 5 3 4 4" xfId="38550"/>
    <cellStyle name="Normal 10 5 3 5" xfId="7291"/>
    <cellStyle name="Normal 10 5 3 5 2" xfId="15516"/>
    <cellStyle name="Normal 10 5 3 5 2 2" xfId="31966"/>
    <cellStyle name="Normal 10 5 3 5 3" xfId="23741"/>
    <cellStyle name="Normal 10 5 3 5 4" xfId="40195"/>
    <cellStyle name="Normal 10 5 3 6" xfId="8936"/>
    <cellStyle name="Normal 10 5 3 6 2" xfId="25386"/>
    <cellStyle name="Normal 10 5 3 7" xfId="17160"/>
    <cellStyle name="Normal 10 5 3 8" xfId="33614"/>
    <cellStyle name="Normal 10 5 3 9" xfId="41841"/>
    <cellStyle name="Normal 10 5 4" xfId="896"/>
    <cellStyle name="Normal 10 5 4 2" xfId="2591"/>
    <cellStyle name="Normal 10 5 4 2 2" xfId="10816"/>
    <cellStyle name="Normal 10 5 4 2 2 2" xfId="27266"/>
    <cellStyle name="Normal 10 5 4 2 3" xfId="19041"/>
    <cellStyle name="Normal 10 5 4 2 4" xfId="35495"/>
    <cellStyle name="Normal 10 5 4 3" xfId="4236"/>
    <cellStyle name="Normal 10 5 4 3 2" xfId="12461"/>
    <cellStyle name="Normal 10 5 4 3 2 2" xfId="28911"/>
    <cellStyle name="Normal 10 5 4 3 3" xfId="20686"/>
    <cellStyle name="Normal 10 5 4 3 4" xfId="37140"/>
    <cellStyle name="Normal 10 5 4 4" xfId="5881"/>
    <cellStyle name="Normal 10 5 4 4 2" xfId="14106"/>
    <cellStyle name="Normal 10 5 4 4 2 2" xfId="30556"/>
    <cellStyle name="Normal 10 5 4 4 3" xfId="22331"/>
    <cellStyle name="Normal 10 5 4 4 4" xfId="38785"/>
    <cellStyle name="Normal 10 5 4 5" xfId="7526"/>
    <cellStyle name="Normal 10 5 4 5 2" xfId="15751"/>
    <cellStyle name="Normal 10 5 4 5 2 2" xfId="32201"/>
    <cellStyle name="Normal 10 5 4 5 3" xfId="23976"/>
    <cellStyle name="Normal 10 5 4 5 4" xfId="40430"/>
    <cellStyle name="Normal 10 5 4 6" xfId="9171"/>
    <cellStyle name="Normal 10 5 4 6 2" xfId="25621"/>
    <cellStyle name="Normal 10 5 4 7" xfId="17395"/>
    <cellStyle name="Normal 10 5 4 8" xfId="33849"/>
    <cellStyle name="Normal 10 5 4 9" xfId="42076"/>
    <cellStyle name="Normal 10 5 5" xfId="1131"/>
    <cellStyle name="Normal 10 5 5 2" xfId="2826"/>
    <cellStyle name="Normal 10 5 5 2 2" xfId="11051"/>
    <cellStyle name="Normal 10 5 5 2 2 2" xfId="27501"/>
    <cellStyle name="Normal 10 5 5 2 3" xfId="19276"/>
    <cellStyle name="Normal 10 5 5 2 4" xfId="35730"/>
    <cellStyle name="Normal 10 5 5 3" xfId="4471"/>
    <cellStyle name="Normal 10 5 5 3 2" xfId="12696"/>
    <cellStyle name="Normal 10 5 5 3 2 2" xfId="29146"/>
    <cellStyle name="Normal 10 5 5 3 3" xfId="20921"/>
    <cellStyle name="Normal 10 5 5 3 4" xfId="37375"/>
    <cellStyle name="Normal 10 5 5 4" xfId="6116"/>
    <cellStyle name="Normal 10 5 5 4 2" xfId="14341"/>
    <cellStyle name="Normal 10 5 5 4 2 2" xfId="30791"/>
    <cellStyle name="Normal 10 5 5 4 3" xfId="22566"/>
    <cellStyle name="Normal 10 5 5 4 4" xfId="39020"/>
    <cellStyle name="Normal 10 5 5 5" xfId="7761"/>
    <cellStyle name="Normal 10 5 5 5 2" xfId="15986"/>
    <cellStyle name="Normal 10 5 5 5 2 2" xfId="32436"/>
    <cellStyle name="Normal 10 5 5 5 3" xfId="24211"/>
    <cellStyle name="Normal 10 5 5 5 4" xfId="40665"/>
    <cellStyle name="Normal 10 5 5 6" xfId="9406"/>
    <cellStyle name="Normal 10 5 5 6 2" xfId="25856"/>
    <cellStyle name="Normal 10 5 5 7" xfId="17630"/>
    <cellStyle name="Normal 10 5 5 8" xfId="34084"/>
    <cellStyle name="Normal 10 5 5 9" xfId="42311"/>
    <cellStyle name="Normal 10 5 6" xfId="1411"/>
    <cellStyle name="Normal 10 5 6 2" xfId="3061"/>
    <cellStyle name="Normal 10 5 6 2 2" xfId="11286"/>
    <cellStyle name="Normal 10 5 6 2 2 2" xfId="27736"/>
    <cellStyle name="Normal 10 5 6 2 3" xfId="19511"/>
    <cellStyle name="Normal 10 5 6 2 4" xfId="35965"/>
    <cellStyle name="Normal 10 5 6 3" xfId="4706"/>
    <cellStyle name="Normal 10 5 6 3 2" xfId="12931"/>
    <cellStyle name="Normal 10 5 6 3 2 2" xfId="29381"/>
    <cellStyle name="Normal 10 5 6 3 3" xfId="21156"/>
    <cellStyle name="Normal 10 5 6 3 4" xfId="37610"/>
    <cellStyle name="Normal 10 5 6 4" xfId="6351"/>
    <cellStyle name="Normal 10 5 6 4 2" xfId="14576"/>
    <cellStyle name="Normal 10 5 6 4 2 2" xfId="31026"/>
    <cellStyle name="Normal 10 5 6 4 3" xfId="22801"/>
    <cellStyle name="Normal 10 5 6 4 4" xfId="39255"/>
    <cellStyle name="Normal 10 5 6 5" xfId="7996"/>
    <cellStyle name="Normal 10 5 6 5 2" xfId="16221"/>
    <cellStyle name="Normal 10 5 6 5 2 2" xfId="32671"/>
    <cellStyle name="Normal 10 5 6 5 3" xfId="24446"/>
    <cellStyle name="Normal 10 5 6 5 4" xfId="40900"/>
    <cellStyle name="Normal 10 5 6 6" xfId="9641"/>
    <cellStyle name="Normal 10 5 6 6 2" xfId="26091"/>
    <cellStyle name="Normal 10 5 6 7" xfId="17865"/>
    <cellStyle name="Normal 10 5 6 8" xfId="34319"/>
    <cellStyle name="Normal 10 5 7" xfId="1646"/>
    <cellStyle name="Normal 10 5 7 2" xfId="3296"/>
    <cellStyle name="Normal 10 5 7 2 2" xfId="11521"/>
    <cellStyle name="Normal 10 5 7 2 2 2" xfId="27971"/>
    <cellStyle name="Normal 10 5 7 2 3" xfId="19746"/>
    <cellStyle name="Normal 10 5 7 2 4" xfId="36200"/>
    <cellStyle name="Normal 10 5 7 3" xfId="4941"/>
    <cellStyle name="Normal 10 5 7 3 2" xfId="13166"/>
    <cellStyle name="Normal 10 5 7 3 2 2" xfId="29616"/>
    <cellStyle name="Normal 10 5 7 3 3" xfId="21391"/>
    <cellStyle name="Normal 10 5 7 3 4" xfId="37845"/>
    <cellStyle name="Normal 10 5 7 4" xfId="6586"/>
    <cellStyle name="Normal 10 5 7 4 2" xfId="14811"/>
    <cellStyle name="Normal 10 5 7 4 2 2" xfId="31261"/>
    <cellStyle name="Normal 10 5 7 4 3" xfId="23036"/>
    <cellStyle name="Normal 10 5 7 4 4" xfId="39490"/>
    <cellStyle name="Normal 10 5 7 5" xfId="8231"/>
    <cellStyle name="Normal 10 5 7 5 2" xfId="16456"/>
    <cellStyle name="Normal 10 5 7 5 2 2" xfId="32906"/>
    <cellStyle name="Normal 10 5 7 5 3" xfId="24681"/>
    <cellStyle name="Normal 10 5 7 5 4" xfId="41135"/>
    <cellStyle name="Normal 10 5 7 6" xfId="9876"/>
    <cellStyle name="Normal 10 5 7 6 2" xfId="26326"/>
    <cellStyle name="Normal 10 5 7 7" xfId="18100"/>
    <cellStyle name="Normal 10 5 7 8" xfId="34554"/>
    <cellStyle name="Normal 10 5 8" xfId="1881"/>
    <cellStyle name="Normal 10 5 8 2" xfId="10111"/>
    <cellStyle name="Normal 10 5 8 2 2" xfId="26561"/>
    <cellStyle name="Normal 10 5 8 3" xfId="18335"/>
    <cellStyle name="Normal 10 5 8 4" xfId="34789"/>
    <cellStyle name="Normal 10 5 9" xfId="3531"/>
    <cellStyle name="Normal 10 5 9 2" xfId="11756"/>
    <cellStyle name="Normal 10 5 9 2 2" xfId="28206"/>
    <cellStyle name="Normal 10 5 9 3" xfId="19981"/>
    <cellStyle name="Normal 10 5 9 4" xfId="36435"/>
    <cellStyle name="Normal 10 6" xfId="206"/>
    <cellStyle name="Normal 10 6 10" xfId="5203"/>
    <cellStyle name="Normal 10 6 10 2" xfId="13428"/>
    <cellStyle name="Normal 10 6 10 2 2" xfId="29878"/>
    <cellStyle name="Normal 10 6 10 3" xfId="21653"/>
    <cellStyle name="Normal 10 6 10 4" xfId="38107"/>
    <cellStyle name="Normal 10 6 11" xfId="6848"/>
    <cellStyle name="Normal 10 6 11 2" xfId="15073"/>
    <cellStyle name="Normal 10 6 11 2 2" xfId="31523"/>
    <cellStyle name="Normal 10 6 11 3" xfId="23298"/>
    <cellStyle name="Normal 10 6 11 4" xfId="39752"/>
    <cellStyle name="Normal 10 6 12" xfId="8493"/>
    <cellStyle name="Normal 10 6 12 2" xfId="24943"/>
    <cellStyle name="Normal 10 6 13" xfId="16717"/>
    <cellStyle name="Normal 10 6 14" xfId="33170"/>
    <cellStyle name="Normal 10 6 15" xfId="41398"/>
    <cellStyle name="Normal 10 6 2" xfId="449"/>
    <cellStyle name="Normal 10 6 2 2" xfId="2146"/>
    <cellStyle name="Normal 10 6 2 2 2" xfId="10373"/>
    <cellStyle name="Normal 10 6 2 2 2 2" xfId="26823"/>
    <cellStyle name="Normal 10 6 2 2 3" xfId="18598"/>
    <cellStyle name="Normal 10 6 2 2 4" xfId="35052"/>
    <cellStyle name="Normal 10 6 2 3" xfId="3793"/>
    <cellStyle name="Normal 10 6 2 3 2" xfId="12018"/>
    <cellStyle name="Normal 10 6 2 3 2 2" xfId="28468"/>
    <cellStyle name="Normal 10 6 2 3 3" xfId="20243"/>
    <cellStyle name="Normal 10 6 2 3 4" xfId="36697"/>
    <cellStyle name="Normal 10 6 2 4" xfId="5438"/>
    <cellStyle name="Normal 10 6 2 4 2" xfId="13663"/>
    <cellStyle name="Normal 10 6 2 4 2 2" xfId="30113"/>
    <cellStyle name="Normal 10 6 2 4 3" xfId="21888"/>
    <cellStyle name="Normal 10 6 2 4 4" xfId="38342"/>
    <cellStyle name="Normal 10 6 2 5" xfId="7083"/>
    <cellStyle name="Normal 10 6 2 5 2" xfId="15308"/>
    <cellStyle name="Normal 10 6 2 5 2 2" xfId="31758"/>
    <cellStyle name="Normal 10 6 2 5 3" xfId="23533"/>
    <cellStyle name="Normal 10 6 2 5 4" xfId="39987"/>
    <cellStyle name="Normal 10 6 2 6" xfId="8728"/>
    <cellStyle name="Normal 10 6 2 6 2" xfId="25178"/>
    <cellStyle name="Normal 10 6 2 7" xfId="16952"/>
    <cellStyle name="Normal 10 6 2 8" xfId="33406"/>
    <cellStyle name="Normal 10 6 2 9" xfId="41633"/>
    <cellStyle name="Normal 10 6 3" xfId="688"/>
    <cellStyle name="Normal 10 6 3 2" xfId="2383"/>
    <cellStyle name="Normal 10 6 3 2 2" xfId="10608"/>
    <cellStyle name="Normal 10 6 3 2 2 2" xfId="27058"/>
    <cellStyle name="Normal 10 6 3 2 3" xfId="18833"/>
    <cellStyle name="Normal 10 6 3 2 4" xfId="35287"/>
    <cellStyle name="Normal 10 6 3 3" xfId="4028"/>
    <cellStyle name="Normal 10 6 3 3 2" xfId="12253"/>
    <cellStyle name="Normal 10 6 3 3 2 2" xfId="28703"/>
    <cellStyle name="Normal 10 6 3 3 3" xfId="20478"/>
    <cellStyle name="Normal 10 6 3 3 4" xfId="36932"/>
    <cellStyle name="Normal 10 6 3 4" xfId="5673"/>
    <cellStyle name="Normal 10 6 3 4 2" xfId="13898"/>
    <cellStyle name="Normal 10 6 3 4 2 2" xfId="30348"/>
    <cellStyle name="Normal 10 6 3 4 3" xfId="22123"/>
    <cellStyle name="Normal 10 6 3 4 4" xfId="38577"/>
    <cellStyle name="Normal 10 6 3 5" xfId="7318"/>
    <cellStyle name="Normal 10 6 3 5 2" xfId="15543"/>
    <cellStyle name="Normal 10 6 3 5 2 2" xfId="31993"/>
    <cellStyle name="Normal 10 6 3 5 3" xfId="23768"/>
    <cellStyle name="Normal 10 6 3 5 4" xfId="40222"/>
    <cellStyle name="Normal 10 6 3 6" xfId="8963"/>
    <cellStyle name="Normal 10 6 3 6 2" xfId="25413"/>
    <cellStyle name="Normal 10 6 3 7" xfId="17187"/>
    <cellStyle name="Normal 10 6 3 8" xfId="33641"/>
    <cellStyle name="Normal 10 6 3 9" xfId="41868"/>
    <cellStyle name="Normal 10 6 4" xfId="923"/>
    <cellStyle name="Normal 10 6 4 2" xfId="2618"/>
    <cellStyle name="Normal 10 6 4 2 2" xfId="10843"/>
    <cellStyle name="Normal 10 6 4 2 2 2" xfId="27293"/>
    <cellStyle name="Normal 10 6 4 2 3" xfId="19068"/>
    <cellStyle name="Normal 10 6 4 2 4" xfId="35522"/>
    <cellStyle name="Normal 10 6 4 3" xfId="4263"/>
    <cellStyle name="Normal 10 6 4 3 2" xfId="12488"/>
    <cellStyle name="Normal 10 6 4 3 2 2" xfId="28938"/>
    <cellStyle name="Normal 10 6 4 3 3" xfId="20713"/>
    <cellStyle name="Normal 10 6 4 3 4" xfId="37167"/>
    <cellStyle name="Normal 10 6 4 4" xfId="5908"/>
    <cellStyle name="Normal 10 6 4 4 2" xfId="14133"/>
    <cellStyle name="Normal 10 6 4 4 2 2" xfId="30583"/>
    <cellStyle name="Normal 10 6 4 4 3" xfId="22358"/>
    <cellStyle name="Normal 10 6 4 4 4" xfId="38812"/>
    <cellStyle name="Normal 10 6 4 5" xfId="7553"/>
    <cellStyle name="Normal 10 6 4 5 2" xfId="15778"/>
    <cellStyle name="Normal 10 6 4 5 2 2" xfId="32228"/>
    <cellStyle name="Normal 10 6 4 5 3" xfId="24003"/>
    <cellStyle name="Normal 10 6 4 5 4" xfId="40457"/>
    <cellStyle name="Normal 10 6 4 6" xfId="9198"/>
    <cellStyle name="Normal 10 6 4 6 2" xfId="25648"/>
    <cellStyle name="Normal 10 6 4 7" xfId="17422"/>
    <cellStyle name="Normal 10 6 4 8" xfId="33876"/>
    <cellStyle name="Normal 10 6 4 9" xfId="42103"/>
    <cellStyle name="Normal 10 6 5" xfId="1158"/>
    <cellStyle name="Normal 10 6 5 2" xfId="2853"/>
    <cellStyle name="Normal 10 6 5 2 2" xfId="11078"/>
    <cellStyle name="Normal 10 6 5 2 2 2" xfId="27528"/>
    <cellStyle name="Normal 10 6 5 2 3" xfId="19303"/>
    <cellStyle name="Normal 10 6 5 2 4" xfId="35757"/>
    <cellStyle name="Normal 10 6 5 3" xfId="4498"/>
    <cellStyle name="Normal 10 6 5 3 2" xfId="12723"/>
    <cellStyle name="Normal 10 6 5 3 2 2" xfId="29173"/>
    <cellStyle name="Normal 10 6 5 3 3" xfId="20948"/>
    <cellStyle name="Normal 10 6 5 3 4" xfId="37402"/>
    <cellStyle name="Normal 10 6 5 4" xfId="6143"/>
    <cellStyle name="Normal 10 6 5 4 2" xfId="14368"/>
    <cellStyle name="Normal 10 6 5 4 2 2" xfId="30818"/>
    <cellStyle name="Normal 10 6 5 4 3" xfId="22593"/>
    <cellStyle name="Normal 10 6 5 4 4" xfId="39047"/>
    <cellStyle name="Normal 10 6 5 5" xfId="7788"/>
    <cellStyle name="Normal 10 6 5 5 2" xfId="16013"/>
    <cellStyle name="Normal 10 6 5 5 2 2" xfId="32463"/>
    <cellStyle name="Normal 10 6 5 5 3" xfId="24238"/>
    <cellStyle name="Normal 10 6 5 5 4" xfId="40692"/>
    <cellStyle name="Normal 10 6 5 6" xfId="9433"/>
    <cellStyle name="Normal 10 6 5 6 2" xfId="25883"/>
    <cellStyle name="Normal 10 6 5 7" xfId="17657"/>
    <cellStyle name="Normal 10 6 5 8" xfId="34111"/>
    <cellStyle name="Normal 10 6 5 9" xfId="42338"/>
    <cellStyle name="Normal 10 6 6" xfId="1438"/>
    <cellStyle name="Normal 10 6 6 2" xfId="3088"/>
    <cellStyle name="Normal 10 6 6 2 2" xfId="11313"/>
    <cellStyle name="Normal 10 6 6 2 2 2" xfId="27763"/>
    <cellStyle name="Normal 10 6 6 2 3" xfId="19538"/>
    <cellStyle name="Normal 10 6 6 2 4" xfId="35992"/>
    <cellStyle name="Normal 10 6 6 3" xfId="4733"/>
    <cellStyle name="Normal 10 6 6 3 2" xfId="12958"/>
    <cellStyle name="Normal 10 6 6 3 2 2" xfId="29408"/>
    <cellStyle name="Normal 10 6 6 3 3" xfId="21183"/>
    <cellStyle name="Normal 10 6 6 3 4" xfId="37637"/>
    <cellStyle name="Normal 10 6 6 4" xfId="6378"/>
    <cellStyle name="Normal 10 6 6 4 2" xfId="14603"/>
    <cellStyle name="Normal 10 6 6 4 2 2" xfId="31053"/>
    <cellStyle name="Normal 10 6 6 4 3" xfId="22828"/>
    <cellStyle name="Normal 10 6 6 4 4" xfId="39282"/>
    <cellStyle name="Normal 10 6 6 5" xfId="8023"/>
    <cellStyle name="Normal 10 6 6 5 2" xfId="16248"/>
    <cellStyle name="Normal 10 6 6 5 2 2" xfId="32698"/>
    <cellStyle name="Normal 10 6 6 5 3" xfId="24473"/>
    <cellStyle name="Normal 10 6 6 5 4" xfId="40927"/>
    <cellStyle name="Normal 10 6 6 6" xfId="9668"/>
    <cellStyle name="Normal 10 6 6 6 2" xfId="26118"/>
    <cellStyle name="Normal 10 6 6 7" xfId="17892"/>
    <cellStyle name="Normal 10 6 6 8" xfId="34346"/>
    <cellStyle name="Normal 10 6 7" xfId="1673"/>
    <cellStyle name="Normal 10 6 7 2" xfId="3323"/>
    <cellStyle name="Normal 10 6 7 2 2" xfId="11548"/>
    <cellStyle name="Normal 10 6 7 2 2 2" xfId="27998"/>
    <cellStyle name="Normal 10 6 7 2 3" xfId="19773"/>
    <cellStyle name="Normal 10 6 7 2 4" xfId="36227"/>
    <cellStyle name="Normal 10 6 7 3" xfId="4968"/>
    <cellStyle name="Normal 10 6 7 3 2" xfId="13193"/>
    <cellStyle name="Normal 10 6 7 3 2 2" xfId="29643"/>
    <cellStyle name="Normal 10 6 7 3 3" xfId="21418"/>
    <cellStyle name="Normal 10 6 7 3 4" xfId="37872"/>
    <cellStyle name="Normal 10 6 7 4" xfId="6613"/>
    <cellStyle name="Normal 10 6 7 4 2" xfId="14838"/>
    <cellStyle name="Normal 10 6 7 4 2 2" xfId="31288"/>
    <cellStyle name="Normal 10 6 7 4 3" xfId="23063"/>
    <cellStyle name="Normal 10 6 7 4 4" xfId="39517"/>
    <cellStyle name="Normal 10 6 7 5" xfId="8258"/>
    <cellStyle name="Normal 10 6 7 5 2" xfId="16483"/>
    <cellStyle name="Normal 10 6 7 5 2 2" xfId="32933"/>
    <cellStyle name="Normal 10 6 7 5 3" xfId="24708"/>
    <cellStyle name="Normal 10 6 7 5 4" xfId="41162"/>
    <cellStyle name="Normal 10 6 7 6" xfId="9903"/>
    <cellStyle name="Normal 10 6 7 6 2" xfId="26353"/>
    <cellStyle name="Normal 10 6 7 7" xfId="18127"/>
    <cellStyle name="Normal 10 6 7 8" xfId="34581"/>
    <cellStyle name="Normal 10 6 8" xfId="1908"/>
    <cellStyle name="Normal 10 6 8 2" xfId="10138"/>
    <cellStyle name="Normal 10 6 8 2 2" xfId="26588"/>
    <cellStyle name="Normal 10 6 8 3" xfId="18362"/>
    <cellStyle name="Normal 10 6 8 4" xfId="34816"/>
    <cellStyle name="Normal 10 6 9" xfId="3558"/>
    <cellStyle name="Normal 10 6 9 2" xfId="11783"/>
    <cellStyle name="Normal 10 6 9 2 2" xfId="28233"/>
    <cellStyle name="Normal 10 6 9 3" xfId="20008"/>
    <cellStyle name="Normal 10 6 9 4" xfId="36462"/>
    <cellStyle name="Normal 10 7" xfId="233"/>
    <cellStyle name="Normal 10 7 10" xfId="5230"/>
    <cellStyle name="Normal 10 7 10 2" xfId="13455"/>
    <cellStyle name="Normal 10 7 10 2 2" xfId="29905"/>
    <cellStyle name="Normal 10 7 10 3" xfId="21680"/>
    <cellStyle name="Normal 10 7 10 4" xfId="38134"/>
    <cellStyle name="Normal 10 7 11" xfId="6875"/>
    <cellStyle name="Normal 10 7 11 2" xfId="15100"/>
    <cellStyle name="Normal 10 7 11 2 2" xfId="31550"/>
    <cellStyle name="Normal 10 7 11 3" xfId="23325"/>
    <cellStyle name="Normal 10 7 11 4" xfId="39779"/>
    <cellStyle name="Normal 10 7 12" xfId="8520"/>
    <cellStyle name="Normal 10 7 12 2" xfId="24970"/>
    <cellStyle name="Normal 10 7 13" xfId="16744"/>
    <cellStyle name="Normal 10 7 14" xfId="33197"/>
    <cellStyle name="Normal 10 7 15" xfId="41425"/>
    <cellStyle name="Normal 10 7 2" xfId="476"/>
    <cellStyle name="Normal 10 7 2 2" xfId="2173"/>
    <cellStyle name="Normal 10 7 2 2 2" xfId="10400"/>
    <cellStyle name="Normal 10 7 2 2 2 2" xfId="26850"/>
    <cellStyle name="Normal 10 7 2 2 3" xfId="18625"/>
    <cellStyle name="Normal 10 7 2 2 4" xfId="35079"/>
    <cellStyle name="Normal 10 7 2 3" xfId="3820"/>
    <cellStyle name="Normal 10 7 2 3 2" xfId="12045"/>
    <cellStyle name="Normal 10 7 2 3 2 2" xfId="28495"/>
    <cellStyle name="Normal 10 7 2 3 3" xfId="20270"/>
    <cellStyle name="Normal 10 7 2 3 4" xfId="36724"/>
    <cellStyle name="Normal 10 7 2 4" xfId="5465"/>
    <cellStyle name="Normal 10 7 2 4 2" xfId="13690"/>
    <cellStyle name="Normal 10 7 2 4 2 2" xfId="30140"/>
    <cellStyle name="Normal 10 7 2 4 3" xfId="21915"/>
    <cellStyle name="Normal 10 7 2 4 4" xfId="38369"/>
    <cellStyle name="Normal 10 7 2 5" xfId="7110"/>
    <cellStyle name="Normal 10 7 2 5 2" xfId="15335"/>
    <cellStyle name="Normal 10 7 2 5 2 2" xfId="31785"/>
    <cellStyle name="Normal 10 7 2 5 3" xfId="23560"/>
    <cellStyle name="Normal 10 7 2 5 4" xfId="40014"/>
    <cellStyle name="Normal 10 7 2 6" xfId="8755"/>
    <cellStyle name="Normal 10 7 2 6 2" xfId="25205"/>
    <cellStyle name="Normal 10 7 2 7" xfId="16979"/>
    <cellStyle name="Normal 10 7 2 8" xfId="33433"/>
    <cellStyle name="Normal 10 7 2 9" xfId="41660"/>
    <cellStyle name="Normal 10 7 3" xfId="715"/>
    <cellStyle name="Normal 10 7 3 2" xfId="2410"/>
    <cellStyle name="Normal 10 7 3 2 2" xfId="10635"/>
    <cellStyle name="Normal 10 7 3 2 2 2" xfId="27085"/>
    <cellStyle name="Normal 10 7 3 2 3" xfId="18860"/>
    <cellStyle name="Normal 10 7 3 2 4" xfId="35314"/>
    <cellStyle name="Normal 10 7 3 3" xfId="4055"/>
    <cellStyle name="Normal 10 7 3 3 2" xfId="12280"/>
    <cellStyle name="Normal 10 7 3 3 2 2" xfId="28730"/>
    <cellStyle name="Normal 10 7 3 3 3" xfId="20505"/>
    <cellStyle name="Normal 10 7 3 3 4" xfId="36959"/>
    <cellStyle name="Normal 10 7 3 4" xfId="5700"/>
    <cellStyle name="Normal 10 7 3 4 2" xfId="13925"/>
    <cellStyle name="Normal 10 7 3 4 2 2" xfId="30375"/>
    <cellStyle name="Normal 10 7 3 4 3" xfId="22150"/>
    <cellStyle name="Normal 10 7 3 4 4" xfId="38604"/>
    <cellStyle name="Normal 10 7 3 5" xfId="7345"/>
    <cellStyle name="Normal 10 7 3 5 2" xfId="15570"/>
    <cellStyle name="Normal 10 7 3 5 2 2" xfId="32020"/>
    <cellStyle name="Normal 10 7 3 5 3" xfId="23795"/>
    <cellStyle name="Normal 10 7 3 5 4" xfId="40249"/>
    <cellStyle name="Normal 10 7 3 6" xfId="8990"/>
    <cellStyle name="Normal 10 7 3 6 2" xfId="25440"/>
    <cellStyle name="Normal 10 7 3 7" xfId="17214"/>
    <cellStyle name="Normal 10 7 3 8" xfId="33668"/>
    <cellStyle name="Normal 10 7 3 9" xfId="41895"/>
    <cellStyle name="Normal 10 7 4" xfId="950"/>
    <cellStyle name="Normal 10 7 4 2" xfId="2645"/>
    <cellStyle name="Normal 10 7 4 2 2" xfId="10870"/>
    <cellStyle name="Normal 10 7 4 2 2 2" xfId="27320"/>
    <cellStyle name="Normal 10 7 4 2 3" xfId="19095"/>
    <cellStyle name="Normal 10 7 4 2 4" xfId="35549"/>
    <cellStyle name="Normal 10 7 4 3" xfId="4290"/>
    <cellStyle name="Normal 10 7 4 3 2" xfId="12515"/>
    <cellStyle name="Normal 10 7 4 3 2 2" xfId="28965"/>
    <cellStyle name="Normal 10 7 4 3 3" xfId="20740"/>
    <cellStyle name="Normal 10 7 4 3 4" xfId="37194"/>
    <cellStyle name="Normal 10 7 4 4" xfId="5935"/>
    <cellStyle name="Normal 10 7 4 4 2" xfId="14160"/>
    <cellStyle name="Normal 10 7 4 4 2 2" xfId="30610"/>
    <cellStyle name="Normal 10 7 4 4 3" xfId="22385"/>
    <cellStyle name="Normal 10 7 4 4 4" xfId="38839"/>
    <cellStyle name="Normal 10 7 4 5" xfId="7580"/>
    <cellStyle name="Normal 10 7 4 5 2" xfId="15805"/>
    <cellStyle name="Normal 10 7 4 5 2 2" xfId="32255"/>
    <cellStyle name="Normal 10 7 4 5 3" xfId="24030"/>
    <cellStyle name="Normal 10 7 4 5 4" xfId="40484"/>
    <cellStyle name="Normal 10 7 4 6" xfId="9225"/>
    <cellStyle name="Normal 10 7 4 6 2" xfId="25675"/>
    <cellStyle name="Normal 10 7 4 7" xfId="17449"/>
    <cellStyle name="Normal 10 7 4 8" xfId="33903"/>
    <cellStyle name="Normal 10 7 4 9" xfId="42130"/>
    <cellStyle name="Normal 10 7 5" xfId="1185"/>
    <cellStyle name="Normal 10 7 5 2" xfId="2880"/>
    <cellStyle name="Normal 10 7 5 2 2" xfId="11105"/>
    <cellStyle name="Normal 10 7 5 2 2 2" xfId="27555"/>
    <cellStyle name="Normal 10 7 5 2 3" xfId="19330"/>
    <cellStyle name="Normal 10 7 5 2 4" xfId="35784"/>
    <cellStyle name="Normal 10 7 5 3" xfId="4525"/>
    <cellStyle name="Normal 10 7 5 3 2" xfId="12750"/>
    <cellStyle name="Normal 10 7 5 3 2 2" xfId="29200"/>
    <cellStyle name="Normal 10 7 5 3 3" xfId="20975"/>
    <cellStyle name="Normal 10 7 5 3 4" xfId="37429"/>
    <cellStyle name="Normal 10 7 5 4" xfId="6170"/>
    <cellStyle name="Normal 10 7 5 4 2" xfId="14395"/>
    <cellStyle name="Normal 10 7 5 4 2 2" xfId="30845"/>
    <cellStyle name="Normal 10 7 5 4 3" xfId="22620"/>
    <cellStyle name="Normal 10 7 5 4 4" xfId="39074"/>
    <cellStyle name="Normal 10 7 5 5" xfId="7815"/>
    <cellStyle name="Normal 10 7 5 5 2" xfId="16040"/>
    <cellStyle name="Normal 10 7 5 5 2 2" xfId="32490"/>
    <cellStyle name="Normal 10 7 5 5 3" xfId="24265"/>
    <cellStyle name="Normal 10 7 5 5 4" xfId="40719"/>
    <cellStyle name="Normal 10 7 5 6" xfId="9460"/>
    <cellStyle name="Normal 10 7 5 6 2" xfId="25910"/>
    <cellStyle name="Normal 10 7 5 7" xfId="17684"/>
    <cellStyle name="Normal 10 7 5 8" xfId="34138"/>
    <cellStyle name="Normal 10 7 5 9" xfId="42365"/>
    <cellStyle name="Normal 10 7 6" xfId="1465"/>
    <cellStyle name="Normal 10 7 6 2" xfId="3115"/>
    <cellStyle name="Normal 10 7 6 2 2" xfId="11340"/>
    <cellStyle name="Normal 10 7 6 2 2 2" xfId="27790"/>
    <cellStyle name="Normal 10 7 6 2 3" xfId="19565"/>
    <cellStyle name="Normal 10 7 6 2 4" xfId="36019"/>
    <cellStyle name="Normal 10 7 6 3" xfId="4760"/>
    <cellStyle name="Normal 10 7 6 3 2" xfId="12985"/>
    <cellStyle name="Normal 10 7 6 3 2 2" xfId="29435"/>
    <cellStyle name="Normal 10 7 6 3 3" xfId="21210"/>
    <cellStyle name="Normal 10 7 6 3 4" xfId="37664"/>
    <cellStyle name="Normal 10 7 6 4" xfId="6405"/>
    <cellStyle name="Normal 10 7 6 4 2" xfId="14630"/>
    <cellStyle name="Normal 10 7 6 4 2 2" xfId="31080"/>
    <cellStyle name="Normal 10 7 6 4 3" xfId="22855"/>
    <cellStyle name="Normal 10 7 6 4 4" xfId="39309"/>
    <cellStyle name="Normal 10 7 6 5" xfId="8050"/>
    <cellStyle name="Normal 10 7 6 5 2" xfId="16275"/>
    <cellStyle name="Normal 10 7 6 5 2 2" xfId="32725"/>
    <cellStyle name="Normal 10 7 6 5 3" xfId="24500"/>
    <cellStyle name="Normal 10 7 6 5 4" xfId="40954"/>
    <cellStyle name="Normal 10 7 6 6" xfId="9695"/>
    <cellStyle name="Normal 10 7 6 6 2" xfId="26145"/>
    <cellStyle name="Normal 10 7 6 7" xfId="17919"/>
    <cellStyle name="Normal 10 7 6 8" xfId="34373"/>
    <cellStyle name="Normal 10 7 7" xfId="1700"/>
    <cellStyle name="Normal 10 7 7 2" xfId="3350"/>
    <cellStyle name="Normal 10 7 7 2 2" xfId="11575"/>
    <cellStyle name="Normal 10 7 7 2 2 2" xfId="28025"/>
    <cellStyle name="Normal 10 7 7 2 3" xfId="19800"/>
    <cellStyle name="Normal 10 7 7 2 4" xfId="36254"/>
    <cellStyle name="Normal 10 7 7 3" xfId="4995"/>
    <cellStyle name="Normal 10 7 7 3 2" xfId="13220"/>
    <cellStyle name="Normal 10 7 7 3 2 2" xfId="29670"/>
    <cellStyle name="Normal 10 7 7 3 3" xfId="21445"/>
    <cellStyle name="Normal 10 7 7 3 4" xfId="37899"/>
    <cellStyle name="Normal 10 7 7 4" xfId="6640"/>
    <cellStyle name="Normal 10 7 7 4 2" xfId="14865"/>
    <cellStyle name="Normal 10 7 7 4 2 2" xfId="31315"/>
    <cellStyle name="Normal 10 7 7 4 3" xfId="23090"/>
    <cellStyle name="Normal 10 7 7 4 4" xfId="39544"/>
    <cellStyle name="Normal 10 7 7 5" xfId="8285"/>
    <cellStyle name="Normal 10 7 7 5 2" xfId="16510"/>
    <cellStyle name="Normal 10 7 7 5 2 2" xfId="32960"/>
    <cellStyle name="Normal 10 7 7 5 3" xfId="24735"/>
    <cellStyle name="Normal 10 7 7 5 4" xfId="41189"/>
    <cellStyle name="Normal 10 7 7 6" xfId="9930"/>
    <cellStyle name="Normal 10 7 7 6 2" xfId="26380"/>
    <cellStyle name="Normal 10 7 7 7" xfId="18154"/>
    <cellStyle name="Normal 10 7 7 8" xfId="34608"/>
    <cellStyle name="Normal 10 7 8" xfId="1935"/>
    <cellStyle name="Normal 10 7 8 2" xfId="10165"/>
    <cellStyle name="Normal 10 7 8 2 2" xfId="26615"/>
    <cellStyle name="Normal 10 7 8 3" xfId="18389"/>
    <cellStyle name="Normal 10 7 8 4" xfId="34843"/>
    <cellStyle name="Normal 10 7 9" xfId="3585"/>
    <cellStyle name="Normal 10 7 9 2" xfId="11810"/>
    <cellStyle name="Normal 10 7 9 2 2" xfId="28260"/>
    <cellStyle name="Normal 10 7 9 3" xfId="20035"/>
    <cellStyle name="Normal 10 7 9 4" xfId="36489"/>
    <cellStyle name="Normal 10 8" xfId="262"/>
    <cellStyle name="Normal 10 8 10" xfId="5257"/>
    <cellStyle name="Normal 10 8 10 2" xfId="13482"/>
    <cellStyle name="Normal 10 8 10 2 2" xfId="29932"/>
    <cellStyle name="Normal 10 8 10 3" xfId="21707"/>
    <cellStyle name="Normal 10 8 10 4" xfId="38161"/>
    <cellStyle name="Normal 10 8 11" xfId="6902"/>
    <cellStyle name="Normal 10 8 11 2" xfId="15127"/>
    <cellStyle name="Normal 10 8 11 2 2" xfId="31577"/>
    <cellStyle name="Normal 10 8 11 3" xfId="23352"/>
    <cellStyle name="Normal 10 8 11 4" xfId="39806"/>
    <cellStyle name="Normal 10 8 12" xfId="8547"/>
    <cellStyle name="Normal 10 8 12 2" xfId="24997"/>
    <cellStyle name="Normal 10 8 13" xfId="16771"/>
    <cellStyle name="Normal 10 8 14" xfId="33224"/>
    <cellStyle name="Normal 10 8 15" xfId="41452"/>
    <cellStyle name="Normal 10 8 2" xfId="505"/>
    <cellStyle name="Normal 10 8 2 2" xfId="2200"/>
    <cellStyle name="Normal 10 8 2 2 2" xfId="10427"/>
    <cellStyle name="Normal 10 8 2 2 2 2" xfId="26877"/>
    <cellStyle name="Normal 10 8 2 2 3" xfId="18652"/>
    <cellStyle name="Normal 10 8 2 2 4" xfId="35106"/>
    <cellStyle name="Normal 10 8 2 3" xfId="3847"/>
    <cellStyle name="Normal 10 8 2 3 2" xfId="12072"/>
    <cellStyle name="Normal 10 8 2 3 2 2" xfId="28522"/>
    <cellStyle name="Normal 10 8 2 3 3" xfId="20297"/>
    <cellStyle name="Normal 10 8 2 3 4" xfId="36751"/>
    <cellStyle name="Normal 10 8 2 4" xfId="5492"/>
    <cellStyle name="Normal 10 8 2 4 2" xfId="13717"/>
    <cellStyle name="Normal 10 8 2 4 2 2" xfId="30167"/>
    <cellStyle name="Normal 10 8 2 4 3" xfId="21942"/>
    <cellStyle name="Normal 10 8 2 4 4" xfId="38396"/>
    <cellStyle name="Normal 10 8 2 5" xfId="7137"/>
    <cellStyle name="Normal 10 8 2 5 2" xfId="15362"/>
    <cellStyle name="Normal 10 8 2 5 2 2" xfId="31812"/>
    <cellStyle name="Normal 10 8 2 5 3" xfId="23587"/>
    <cellStyle name="Normal 10 8 2 5 4" xfId="40041"/>
    <cellStyle name="Normal 10 8 2 6" xfId="8782"/>
    <cellStyle name="Normal 10 8 2 6 2" xfId="25232"/>
    <cellStyle name="Normal 10 8 2 7" xfId="17006"/>
    <cellStyle name="Normal 10 8 2 8" xfId="33460"/>
    <cellStyle name="Normal 10 8 2 9" xfId="41687"/>
    <cellStyle name="Normal 10 8 3" xfId="742"/>
    <cellStyle name="Normal 10 8 3 2" xfId="2437"/>
    <cellStyle name="Normal 10 8 3 2 2" xfId="10662"/>
    <cellStyle name="Normal 10 8 3 2 2 2" xfId="27112"/>
    <cellStyle name="Normal 10 8 3 2 3" xfId="18887"/>
    <cellStyle name="Normal 10 8 3 2 4" xfId="35341"/>
    <cellStyle name="Normal 10 8 3 3" xfId="4082"/>
    <cellStyle name="Normal 10 8 3 3 2" xfId="12307"/>
    <cellStyle name="Normal 10 8 3 3 2 2" xfId="28757"/>
    <cellStyle name="Normal 10 8 3 3 3" xfId="20532"/>
    <cellStyle name="Normal 10 8 3 3 4" xfId="36986"/>
    <cellStyle name="Normal 10 8 3 4" xfId="5727"/>
    <cellStyle name="Normal 10 8 3 4 2" xfId="13952"/>
    <cellStyle name="Normal 10 8 3 4 2 2" xfId="30402"/>
    <cellStyle name="Normal 10 8 3 4 3" xfId="22177"/>
    <cellStyle name="Normal 10 8 3 4 4" xfId="38631"/>
    <cellStyle name="Normal 10 8 3 5" xfId="7372"/>
    <cellStyle name="Normal 10 8 3 5 2" xfId="15597"/>
    <cellStyle name="Normal 10 8 3 5 2 2" xfId="32047"/>
    <cellStyle name="Normal 10 8 3 5 3" xfId="23822"/>
    <cellStyle name="Normal 10 8 3 5 4" xfId="40276"/>
    <cellStyle name="Normal 10 8 3 6" xfId="9017"/>
    <cellStyle name="Normal 10 8 3 6 2" xfId="25467"/>
    <cellStyle name="Normal 10 8 3 7" xfId="17241"/>
    <cellStyle name="Normal 10 8 3 8" xfId="33695"/>
    <cellStyle name="Normal 10 8 3 9" xfId="41922"/>
    <cellStyle name="Normal 10 8 4" xfId="977"/>
    <cellStyle name="Normal 10 8 4 2" xfId="2672"/>
    <cellStyle name="Normal 10 8 4 2 2" xfId="10897"/>
    <cellStyle name="Normal 10 8 4 2 2 2" xfId="27347"/>
    <cellStyle name="Normal 10 8 4 2 3" xfId="19122"/>
    <cellStyle name="Normal 10 8 4 2 4" xfId="35576"/>
    <cellStyle name="Normal 10 8 4 3" xfId="4317"/>
    <cellStyle name="Normal 10 8 4 3 2" xfId="12542"/>
    <cellStyle name="Normal 10 8 4 3 2 2" xfId="28992"/>
    <cellStyle name="Normal 10 8 4 3 3" xfId="20767"/>
    <cellStyle name="Normal 10 8 4 3 4" xfId="37221"/>
    <cellStyle name="Normal 10 8 4 4" xfId="5962"/>
    <cellStyle name="Normal 10 8 4 4 2" xfId="14187"/>
    <cellStyle name="Normal 10 8 4 4 2 2" xfId="30637"/>
    <cellStyle name="Normal 10 8 4 4 3" xfId="22412"/>
    <cellStyle name="Normal 10 8 4 4 4" xfId="38866"/>
    <cellStyle name="Normal 10 8 4 5" xfId="7607"/>
    <cellStyle name="Normal 10 8 4 5 2" xfId="15832"/>
    <cellStyle name="Normal 10 8 4 5 2 2" xfId="32282"/>
    <cellStyle name="Normal 10 8 4 5 3" xfId="24057"/>
    <cellStyle name="Normal 10 8 4 5 4" xfId="40511"/>
    <cellStyle name="Normal 10 8 4 6" xfId="9252"/>
    <cellStyle name="Normal 10 8 4 6 2" xfId="25702"/>
    <cellStyle name="Normal 10 8 4 7" xfId="17476"/>
    <cellStyle name="Normal 10 8 4 8" xfId="33930"/>
    <cellStyle name="Normal 10 8 4 9" xfId="42157"/>
    <cellStyle name="Normal 10 8 5" xfId="1212"/>
    <cellStyle name="Normal 10 8 5 2" xfId="2907"/>
    <cellStyle name="Normal 10 8 5 2 2" xfId="11132"/>
    <cellStyle name="Normal 10 8 5 2 2 2" xfId="27582"/>
    <cellStyle name="Normal 10 8 5 2 3" xfId="19357"/>
    <cellStyle name="Normal 10 8 5 2 4" xfId="35811"/>
    <cellStyle name="Normal 10 8 5 3" xfId="4552"/>
    <cellStyle name="Normal 10 8 5 3 2" xfId="12777"/>
    <cellStyle name="Normal 10 8 5 3 2 2" xfId="29227"/>
    <cellStyle name="Normal 10 8 5 3 3" xfId="21002"/>
    <cellStyle name="Normal 10 8 5 3 4" xfId="37456"/>
    <cellStyle name="Normal 10 8 5 4" xfId="6197"/>
    <cellStyle name="Normal 10 8 5 4 2" xfId="14422"/>
    <cellStyle name="Normal 10 8 5 4 2 2" xfId="30872"/>
    <cellStyle name="Normal 10 8 5 4 3" xfId="22647"/>
    <cellStyle name="Normal 10 8 5 4 4" xfId="39101"/>
    <cellStyle name="Normal 10 8 5 5" xfId="7842"/>
    <cellStyle name="Normal 10 8 5 5 2" xfId="16067"/>
    <cellStyle name="Normal 10 8 5 5 2 2" xfId="32517"/>
    <cellStyle name="Normal 10 8 5 5 3" xfId="24292"/>
    <cellStyle name="Normal 10 8 5 5 4" xfId="40746"/>
    <cellStyle name="Normal 10 8 5 6" xfId="9487"/>
    <cellStyle name="Normal 10 8 5 6 2" xfId="25937"/>
    <cellStyle name="Normal 10 8 5 7" xfId="17711"/>
    <cellStyle name="Normal 10 8 5 8" xfId="34165"/>
    <cellStyle name="Normal 10 8 5 9" xfId="42392"/>
    <cellStyle name="Normal 10 8 6" xfId="1492"/>
    <cellStyle name="Normal 10 8 6 2" xfId="3142"/>
    <cellStyle name="Normal 10 8 6 2 2" xfId="11367"/>
    <cellStyle name="Normal 10 8 6 2 2 2" xfId="27817"/>
    <cellStyle name="Normal 10 8 6 2 3" xfId="19592"/>
    <cellStyle name="Normal 10 8 6 2 4" xfId="36046"/>
    <cellStyle name="Normal 10 8 6 3" xfId="4787"/>
    <cellStyle name="Normal 10 8 6 3 2" xfId="13012"/>
    <cellStyle name="Normal 10 8 6 3 2 2" xfId="29462"/>
    <cellStyle name="Normal 10 8 6 3 3" xfId="21237"/>
    <cellStyle name="Normal 10 8 6 3 4" xfId="37691"/>
    <cellStyle name="Normal 10 8 6 4" xfId="6432"/>
    <cellStyle name="Normal 10 8 6 4 2" xfId="14657"/>
    <cellStyle name="Normal 10 8 6 4 2 2" xfId="31107"/>
    <cellStyle name="Normal 10 8 6 4 3" xfId="22882"/>
    <cellStyle name="Normal 10 8 6 4 4" xfId="39336"/>
    <cellStyle name="Normal 10 8 6 5" xfId="8077"/>
    <cellStyle name="Normal 10 8 6 5 2" xfId="16302"/>
    <cellStyle name="Normal 10 8 6 5 2 2" xfId="32752"/>
    <cellStyle name="Normal 10 8 6 5 3" xfId="24527"/>
    <cellStyle name="Normal 10 8 6 5 4" xfId="40981"/>
    <cellStyle name="Normal 10 8 6 6" xfId="9722"/>
    <cellStyle name="Normal 10 8 6 6 2" xfId="26172"/>
    <cellStyle name="Normal 10 8 6 7" xfId="17946"/>
    <cellStyle name="Normal 10 8 6 8" xfId="34400"/>
    <cellStyle name="Normal 10 8 7" xfId="1727"/>
    <cellStyle name="Normal 10 8 7 2" xfId="3377"/>
    <cellStyle name="Normal 10 8 7 2 2" xfId="11602"/>
    <cellStyle name="Normal 10 8 7 2 2 2" xfId="28052"/>
    <cellStyle name="Normal 10 8 7 2 3" xfId="19827"/>
    <cellStyle name="Normal 10 8 7 2 4" xfId="36281"/>
    <cellStyle name="Normal 10 8 7 3" xfId="5022"/>
    <cellStyle name="Normal 10 8 7 3 2" xfId="13247"/>
    <cellStyle name="Normal 10 8 7 3 2 2" xfId="29697"/>
    <cellStyle name="Normal 10 8 7 3 3" xfId="21472"/>
    <cellStyle name="Normal 10 8 7 3 4" xfId="37926"/>
    <cellStyle name="Normal 10 8 7 4" xfId="6667"/>
    <cellStyle name="Normal 10 8 7 4 2" xfId="14892"/>
    <cellStyle name="Normal 10 8 7 4 2 2" xfId="31342"/>
    <cellStyle name="Normal 10 8 7 4 3" xfId="23117"/>
    <cellStyle name="Normal 10 8 7 4 4" xfId="39571"/>
    <cellStyle name="Normal 10 8 7 5" xfId="8312"/>
    <cellStyle name="Normal 10 8 7 5 2" xfId="16537"/>
    <cellStyle name="Normal 10 8 7 5 2 2" xfId="32987"/>
    <cellStyle name="Normal 10 8 7 5 3" xfId="24762"/>
    <cellStyle name="Normal 10 8 7 5 4" xfId="41216"/>
    <cellStyle name="Normal 10 8 7 6" xfId="9957"/>
    <cellStyle name="Normal 10 8 7 6 2" xfId="26407"/>
    <cellStyle name="Normal 10 8 7 7" xfId="18181"/>
    <cellStyle name="Normal 10 8 7 8" xfId="34635"/>
    <cellStyle name="Normal 10 8 8" xfId="1962"/>
    <cellStyle name="Normal 10 8 8 2" xfId="10192"/>
    <cellStyle name="Normal 10 8 8 2 2" xfId="26642"/>
    <cellStyle name="Normal 10 8 8 3" xfId="18416"/>
    <cellStyle name="Normal 10 8 8 4" xfId="34870"/>
    <cellStyle name="Normal 10 8 9" xfId="3612"/>
    <cellStyle name="Normal 10 8 9 2" xfId="11837"/>
    <cellStyle name="Normal 10 8 9 2 2" xfId="28287"/>
    <cellStyle name="Normal 10 8 9 3" xfId="20062"/>
    <cellStyle name="Normal 10 8 9 4" xfId="36516"/>
    <cellStyle name="Normal 10 9" xfId="291"/>
    <cellStyle name="Normal 10 9 2" xfId="1992"/>
    <cellStyle name="Normal 10 9 2 2" xfId="10219"/>
    <cellStyle name="Normal 10 9 2 2 2" xfId="26669"/>
    <cellStyle name="Normal 10 9 2 3" xfId="18444"/>
    <cellStyle name="Normal 10 9 2 4" xfId="34898"/>
    <cellStyle name="Normal 10 9 3" xfId="3639"/>
    <cellStyle name="Normal 10 9 3 2" xfId="11864"/>
    <cellStyle name="Normal 10 9 3 2 2" xfId="28314"/>
    <cellStyle name="Normal 10 9 3 3" xfId="20089"/>
    <cellStyle name="Normal 10 9 3 4" xfId="36543"/>
    <cellStyle name="Normal 10 9 4" xfId="5284"/>
    <cellStyle name="Normal 10 9 4 2" xfId="13509"/>
    <cellStyle name="Normal 10 9 4 2 2" xfId="29959"/>
    <cellStyle name="Normal 10 9 4 3" xfId="21734"/>
    <cellStyle name="Normal 10 9 4 4" xfId="38188"/>
    <cellStyle name="Normal 10 9 5" xfId="6929"/>
    <cellStyle name="Normal 10 9 5 2" xfId="15154"/>
    <cellStyle name="Normal 10 9 5 2 2" xfId="31604"/>
    <cellStyle name="Normal 10 9 5 3" xfId="23379"/>
    <cellStyle name="Normal 10 9 5 4" xfId="39833"/>
    <cellStyle name="Normal 10 9 6" xfId="8574"/>
    <cellStyle name="Normal 10 9 6 2" xfId="25024"/>
    <cellStyle name="Normal 10 9 7" xfId="16798"/>
    <cellStyle name="Normal 10 9 8" xfId="33252"/>
    <cellStyle name="Normal 10 9 9" xfId="41479"/>
    <cellStyle name="Normal 11" xfId="50"/>
    <cellStyle name="Normal 11 10" xfId="536"/>
    <cellStyle name="Normal 11 10 2" xfId="2231"/>
    <cellStyle name="Normal 11 10 2 2" xfId="10456"/>
    <cellStyle name="Normal 11 10 2 2 2" xfId="26906"/>
    <cellStyle name="Normal 11 10 2 3" xfId="18681"/>
    <cellStyle name="Normal 11 10 2 4" xfId="35135"/>
    <cellStyle name="Normal 11 10 3" xfId="3876"/>
    <cellStyle name="Normal 11 10 3 2" xfId="12101"/>
    <cellStyle name="Normal 11 10 3 2 2" xfId="28551"/>
    <cellStyle name="Normal 11 10 3 3" xfId="20326"/>
    <cellStyle name="Normal 11 10 3 4" xfId="36780"/>
    <cellStyle name="Normal 11 10 4" xfId="5521"/>
    <cellStyle name="Normal 11 10 4 2" xfId="13746"/>
    <cellStyle name="Normal 11 10 4 2 2" xfId="30196"/>
    <cellStyle name="Normal 11 10 4 3" xfId="21971"/>
    <cellStyle name="Normal 11 10 4 4" xfId="38425"/>
    <cellStyle name="Normal 11 10 5" xfId="7166"/>
    <cellStyle name="Normal 11 10 5 2" xfId="15391"/>
    <cellStyle name="Normal 11 10 5 2 2" xfId="31841"/>
    <cellStyle name="Normal 11 10 5 3" xfId="23616"/>
    <cellStyle name="Normal 11 10 5 4" xfId="40070"/>
    <cellStyle name="Normal 11 10 6" xfId="8811"/>
    <cellStyle name="Normal 11 10 6 2" xfId="25261"/>
    <cellStyle name="Normal 11 10 7" xfId="17035"/>
    <cellStyle name="Normal 11 10 8" xfId="33489"/>
    <cellStyle name="Normal 11 10 9" xfId="41716"/>
    <cellStyle name="Normal 11 11" xfId="771"/>
    <cellStyle name="Normal 11 11 2" xfId="2466"/>
    <cellStyle name="Normal 11 11 2 2" xfId="10691"/>
    <cellStyle name="Normal 11 11 2 2 2" xfId="27141"/>
    <cellStyle name="Normal 11 11 2 3" xfId="18916"/>
    <cellStyle name="Normal 11 11 2 4" xfId="35370"/>
    <cellStyle name="Normal 11 11 3" xfId="4111"/>
    <cellStyle name="Normal 11 11 3 2" xfId="12336"/>
    <cellStyle name="Normal 11 11 3 2 2" xfId="28786"/>
    <cellStyle name="Normal 11 11 3 3" xfId="20561"/>
    <cellStyle name="Normal 11 11 3 4" xfId="37015"/>
    <cellStyle name="Normal 11 11 4" xfId="5756"/>
    <cellStyle name="Normal 11 11 4 2" xfId="13981"/>
    <cellStyle name="Normal 11 11 4 2 2" xfId="30431"/>
    <cellStyle name="Normal 11 11 4 3" xfId="22206"/>
    <cellStyle name="Normal 11 11 4 4" xfId="38660"/>
    <cellStyle name="Normal 11 11 5" xfId="7401"/>
    <cellStyle name="Normal 11 11 5 2" xfId="15626"/>
    <cellStyle name="Normal 11 11 5 2 2" xfId="32076"/>
    <cellStyle name="Normal 11 11 5 3" xfId="23851"/>
    <cellStyle name="Normal 11 11 5 4" xfId="40305"/>
    <cellStyle name="Normal 11 11 6" xfId="9046"/>
    <cellStyle name="Normal 11 11 6 2" xfId="25496"/>
    <cellStyle name="Normal 11 11 7" xfId="17270"/>
    <cellStyle name="Normal 11 11 8" xfId="33724"/>
    <cellStyle name="Normal 11 11 9" xfId="41951"/>
    <cellStyle name="Normal 11 12" xfId="1006"/>
    <cellStyle name="Normal 11 12 2" xfId="2701"/>
    <cellStyle name="Normal 11 12 2 2" xfId="10926"/>
    <cellStyle name="Normal 11 12 2 2 2" xfId="27376"/>
    <cellStyle name="Normal 11 12 2 3" xfId="19151"/>
    <cellStyle name="Normal 11 12 2 4" xfId="35605"/>
    <cellStyle name="Normal 11 12 3" xfId="4346"/>
    <cellStyle name="Normal 11 12 3 2" xfId="12571"/>
    <cellStyle name="Normal 11 12 3 2 2" xfId="29021"/>
    <cellStyle name="Normal 11 12 3 3" xfId="20796"/>
    <cellStyle name="Normal 11 12 3 4" xfId="37250"/>
    <cellStyle name="Normal 11 12 4" xfId="5991"/>
    <cellStyle name="Normal 11 12 4 2" xfId="14216"/>
    <cellStyle name="Normal 11 12 4 2 2" xfId="30666"/>
    <cellStyle name="Normal 11 12 4 3" xfId="22441"/>
    <cellStyle name="Normal 11 12 4 4" xfId="38895"/>
    <cellStyle name="Normal 11 12 5" xfId="7636"/>
    <cellStyle name="Normal 11 12 5 2" xfId="15861"/>
    <cellStyle name="Normal 11 12 5 2 2" xfId="32311"/>
    <cellStyle name="Normal 11 12 5 3" xfId="24086"/>
    <cellStyle name="Normal 11 12 5 4" xfId="40540"/>
    <cellStyle name="Normal 11 12 6" xfId="9281"/>
    <cellStyle name="Normal 11 12 6 2" xfId="25731"/>
    <cellStyle name="Normal 11 12 7" xfId="17505"/>
    <cellStyle name="Normal 11 12 8" xfId="33959"/>
    <cellStyle name="Normal 11 12 9" xfId="42186"/>
    <cellStyle name="Normal 11 13" xfId="1286"/>
    <cellStyle name="Normal 11 13 2" xfId="2936"/>
    <cellStyle name="Normal 11 13 2 2" xfId="11161"/>
    <cellStyle name="Normal 11 13 2 2 2" xfId="27611"/>
    <cellStyle name="Normal 11 13 2 3" xfId="19386"/>
    <cellStyle name="Normal 11 13 2 4" xfId="35840"/>
    <cellStyle name="Normal 11 13 3" xfId="4581"/>
    <cellStyle name="Normal 11 13 3 2" xfId="12806"/>
    <cellStyle name="Normal 11 13 3 2 2" xfId="29256"/>
    <cellStyle name="Normal 11 13 3 3" xfId="21031"/>
    <cellStyle name="Normal 11 13 3 4" xfId="37485"/>
    <cellStyle name="Normal 11 13 4" xfId="6226"/>
    <cellStyle name="Normal 11 13 4 2" xfId="14451"/>
    <cellStyle name="Normal 11 13 4 2 2" xfId="30901"/>
    <cellStyle name="Normal 11 13 4 3" xfId="22676"/>
    <cellStyle name="Normal 11 13 4 4" xfId="39130"/>
    <cellStyle name="Normal 11 13 5" xfId="7871"/>
    <cellStyle name="Normal 11 13 5 2" xfId="16096"/>
    <cellStyle name="Normal 11 13 5 2 2" xfId="32546"/>
    <cellStyle name="Normal 11 13 5 3" xfId="24321"/>
    <cellStyle name="Normal 11 13 5 4" xfId="40775"/>
    <cellStyle name="Normal 11 13 6" xfId="9516"/>
    <cellStyle name="Normal 11 13 6 2" xfId="25966"/>
    <cellStyle name="Normal 11 13 7" xfId="17740"/>
    <cellStyle name="Normal 11 13 8" xfId="34194"/>
    <cellStyle name="Normal 11 14" xfId="1521"/>
    <cellStyle name="Normal 11 14 2" xfId="3171"/>
    <cellStyle name="Normal 11 14 2 2" xfId="11396"/>
    <cellStyle name="Normal 11 14 2 2 2" xfId="27846"/>
    <cellStyle name="Normal 11 14 2 3" xfId="19621"/>
    <cellStyle name="Normal 11 14 2 4" xfId="36075"/>
    <cellStyle name="Normal 11 14 3" xfId="4816"/>
    <cellStyle name="Normal 11 14 3 2" xfId="13041"/>
    <cellStyle name="Normal 11 14 3 2 2" xfId="29491"/>
    <cellStyle name="Normal 11 14 3 3" xfId="21266"/>
    <cellStyle name="Normal 11 14 3 4" xfId="37720"/>
    <cellStyle name="Normal 11 14 4" xfId="6461"/>
    <cellStyle name="Normal 11 14 4 2" xfId="14686"/>
    <cellStyle name="Normal 11 14 4 2 2" xfId="31136"/>
    <cellStyle name="Normal 11 14 4 3" xfId="22911"/>
    <cellStyle name="Normal 11 14 4 4" xfId="39365"/>
    <cellStyle name="Normal 11 14 5" xfId="8106"/>
    <cellStyle name="Normal 11 14 5 2" xfId="16331"/>
    <cellStyle name="Normal 11 14 5 2 2" xfId="32781"/>
    <cellStyle name="Normal 11 14 5 3" xfId="24556"/>
    <cellStyle name="Normal 11 14 5 4" xfId="41010"/>
    <cellStyle name="Normal 11 14 6" xfId="9751"/>
    <cellStyle name="Normal 11 14 6 2" xfId="26201"/>
    <cellStyle name="Normal 11 14 7" xfId="17975"/>
    <cellStyle name="Normal 11 14 8" xfId="34429"/>
    <cellStyle name="Normal 11 15" xfId="1756"/>
    <cellStyle name="Normal 11 15 2" xfId="9986"/>
    <cellStyle name="Normal 11 15 2 2" xfId="26436"/>
    <cellStyle name="Normal 11 15 3" xfId="18210"/>
    <cellStyle name="Normal 11 15 4" xfId="34664"/>
    <cellStyle name="Normal 11 16" xfId="3406"/>
    <cellStyle name="Normal 11 16 2" xfId="11631"/>
    <cellStyle name="Normal 11 16 2 2" xfId="28081"/>
    <cellStyle name="Normal 11 16 3" xfId="19856"/>
    <cellStyle name="Normal 11 16 4" xfId="36310"/>
    <cellStyle name="Normal 11 17" xfId="5051"/>
    <cellStyle name="Normal 11 17 2" xfId="13276"/>
    <cellStyle name="Normal 11 17 2 2" xfId="29726"/>
    <cellStyle name="Normal 11 17 3" xfId="21501"/>
    <cellStyle name="Normal 11 17 4" xfId="37955"/>
    <cellStyle name="Normal 11 18" xfId="6696"/>
    <cellStyle name="Normal 11 18 2" xfId="14921"/>
    <cellStyle name="Normal 11 18 2 2" xfId="31371"/>
    <cellStyle name="Normal 11 18 3" xfId="23146"/>
    <cellStyle name="Normal 11 18 4" xfId="39600"/>
    <cellStyle name="Normal 11 19" xfId="8341"/>
    <cellStyle name="Normal 11 19 2" xfId="24791"/>
    <cellStyle name="Normal 11 2" xfId="77"/>
    <cellStyle name="Normal 11 2 10" xfId="3431"/>
    <cellStyle name="Normal 11 2 10 2" xfId="11656"/>
    <cellStyle name="Normal 11 2 10 2 2" xfId="28106"/>
    <cellStyle name="Normal 11 2 10 3" xfId="19881"/>
    <cellStyle name="Normal 11 2 10 4" xfId="36335"/>
    <cellStyle name="Normal 11 2 11" xfId="5076"/>
    <cellStyle name="Normal 11 2 11 2" xfId="13301"/>
    <cellStyle name="Normal 11 2 11 2 2" xfId="29751"/>
    <cellStyle name="Normal 11 2 11 3" xfId="21526"/>
    <cellStyle name="Normal 11 2 11 4" xfId="37980"/>
    <cellStyle name="Normal 11 2 12" xfId="6721"/>
    <cellStyle name="Normal 11 2 12 2" xfId="14946"/>
    <cellStyle name="Normal 11 2 12 2 2" xfId="31396"/>
    <cellStyle name="Normal 11 2 12 3" xfId="23171"/>
    <cellStyle name="Normal 11 2 12 4" xfId="39625"/>
    <cellStyle name="Normal 11 2 13" xfId="8366"/>
    <cellStyle name="Normal 11 2 13 2" xfId="24816"/>
    <cellStyle name="Normal 11 2 14" xfId="16590"/>
    <cellStyle name="Normal 11 2 15" xfId="33043"/>
    <cellStyle name="Normal 11 2 16" xfId="41271"/>
    <cellStyle name="Normal 11 2 2" xfId="127"/>
    <cellStyle name="Normal 11 2 2 10" xfId="5126"/>
    <cellStyle name="Normal 11 2 2 10 2" xfId="13351"/>
    <cellStyle name="Normal 11 2 2 10 2 2" xfId="29801"/>
    <cellStyle name="Normal 11 2 2 10 3" xfId="21576"/>
    <cellStyle name="Normal 11 2 2 10 4" xfId="38030"/>
    <cellStyle name="Normal 11 2 2 11" xfId="6771"/>
    <cellStyle name="Normal 11 2 2 11 2" xfId="14996"/>
    <cellStyle name="Normal 11 2 2 11 2 2" xfId="31446"/>
    <cellStyle name="Normal 11 2 2 11 3" xfId="23221"/>
    <cellStyle name="Normal 11 2 2 11 4" xfId="39675"/>
    <cellStyle name="Normal 11 2 2 12" xfId="8416"/>
    <cellStyle name="Normal 11 2 2 12 2" xfId="24866"/>
    <cellStyle name="Normal 11 2 2 13" xfId="16640"/>
    <cellStyle name="Normal 11 2 2 14" xfId="33093"/>
    <cellStyle name="Normal 11 2 2 15" xfId="41321"/>
    <cellStyle name="Normal 11 2 2 2" xfId="370"/>
    <cellStyle name="Normal 11 2 2 2 2" xfId="2069"/>
    <cellStyle name="Normal 11 2 2 2 2 2" xfId="10296"/>
    <cellStyle name="Normal 11 2 2 2 2 2 2" xfId="26746"/>
    <cellStyle name="Normal 11 2 2 2 2 3" xfId="18521"/>
    <cellStyle name="Normal 11 2 2 2 2 4" xfId="34975"/>
    <cellStyle name="Normal 11 2 2 2 3" xfId="3716"/>
    <cellStyle name="Normal 11 2 2 2 3 2" xfId="11941"/>
    <cellStyle name="Normal 11 2 2 2 3 2 2" xfId="28391"/>
    <cellStyle name="Normal 11 2 2 2 3 3" xfId="20166"/>
    <cellStyle name="Normal 11 2 2 2 3 4" xfId="36620"/>
    <cellStyle name="Normal 11 2 2 2 4" xfId="5361"/>
    <cellStyle name="Normal 11 2 2 2 4 2" xfId="13586"/>
    <cellStyle name="Normal 11 2 2 2 4 2 2" xfId="30036"/>
    <cellStyle name="Normal 11 2 2 2 4 3" xfId="21811"/>
    <cellStyle name="Normal 11 2 2 2 4 4" xfId="38265"/>
    <cellStyle name="Normal 11 2 2 2 5" xfId="7006"/>
    <cellStyle name="Normal 11 2 2 2 5 2" xfId="15231"/>
    <cellStyle name="Normal 11 2 2 2 5 2 2" xfId="31681"/>
    <cellStyle name="Normal 11 2 2 2 5 3" xfId="23456"/>
    <cellStyle name="Normal 11 2 2 2 5 4" xfId="39910"/>
    <cellStyle name="Normal 11 2 2 2 6" xfId="8651"/>
    <cellStyle name="Normal 11 2 2 2 6 2" xfId="25101"/>
    <cellStyle name="Normal 11 2 2 2 7" xfId="16875"/>
    <cellStyle name="Normal 11 2 2 2 8" xfId="33329"/>
    <cellStyle name="Normal 11 2 2 2 9" xfId="41556"/>
    <cellStyle name="Normal 11 2 2 3" xfId="611"/>
    <cellStyle name="Normal 11 2 2 3 2" xfId="2306"/>
    <cellStyle name="Normal 11 2 2 3 2 2" xfId="10531"/>
    <cellStyle name="Normal 11 2 2 3 2 2 2" xfId="26981"/>
    <cellStyle name="Normal 11 2 2 3 2 3" xfId="18756"/>
    <cellStyle name="Normal 11 2 2 3 2 4" xfId="35210"/>
    <cellStyle name="Normal 11 2 2 3 3" xfId="3951"/>
    <cellStyle name="Normal 11 2 2 3 3 2" xfId="12176"/>
    <cellStyle name="Normal 11 2 2 3 3 2 2" xfId="28626"/>
    <cellStyle name="Normal 11 2 2 3 3 3" xfId="20401"/>
    <cellStyle name="Normal 11 2 2 3 3 4" xfId="36855"/>
    <cellStyle name="Normal 11 2 2 3 4" xfId="5596"/>
    <cellStyle name="Normal 11 2 2 3 4 2" xfId="13821"/>
    <cellStyle name="Normal 11 2 2 3 4 2 2" xfId="30271"/>
    <cellStyle name="Normal 11 2 2 3 4 3" xfId="22046"/>
    <cellStyle name="Normal 11 2 2 3 4 4" xfId="38500"/>
    <cellStyle name="Normal 11 2 2 3 5" xfId="7241"/>
    <cellStyle name="Normal 11 2 2 3 5 2" xfId="15466"/>
    <cellStyle name="Normal 11 2 2 3 5 2 2" xfId="31916"/>
    <cellStyle name="Normal 11 2 2 3 5 3" xfId="23691"/>
    <cellStyle name="Normal 11 2 2 3 5 4" xfId="40145"/>
    <cellStyle name="Normal 11 2 2 3 6" xfId="8886"/>
    <cellStyle name="Normal 11 2 2 3 6 2" xfId="25336"/>
    <cellStyle name="Normal 11 2 2 3 7" xfId="17110"/>
    <cellStyle name="Normal 11 2 2 3 8" xfId="33564"/>
    <cellStyle name="Normal 11 2 2 3 9" xfId="41791"/>
    <cellStyle name="Normal 11 2 2 4" xfId="846"/>
    <cellStyle name="Normal 11 2 2 4 2" xfId="2541"/>
    <cellStyle name="Normal 11 2 2 4 2 2" xfId="10766"/>
    <cellStyle name="Normal 11 2 2 4 2 2 2" xfId="27216"/>
    <cellStyle name="Normal 11 2 2 4 2 3" xfId="18991"/>
    <cellStyle name="Normal 11 2 2 4 2 4" xfId="35445"/>
    <cellStyle name="Normal 11 2 2 4 3" xfId="4186"/>
    <cellStyle name="Normal 11 2 2 4 3 2" xfId="12411"/>
    <cellStyle name="Normal 11 2 2 4 3 2 2" xfId="28861"/>
    <cellStyle name="Normal 11 2 2 4 3 3" xfId="20636"/>
    <cellStyle name="Normal 11 2 2 4 3 4" xfId="37090"/>
    <cellStyle name="Normal 11 2 2 4 4" xfId="5831"/>
    <cellStyle name="Normal 11 2 2 4 4 2" xfId="14056"/>
    <cellStyle name="Normal 11 2 2 4 4 2 2" xfId="30506"/>
    <cellStyle name="Normal 11 2 2 4 4 3" xfId="22281"/>
    <cellStyle name="Normal 11 2 2 4 4 4" xfId="38735"/>
    <cellStyle name="Normal 11 2 2 4 5" xfId="7476"/>
    <cellStyle name="Normal 11 2 2 4 5 2" xfId="15701"/>
    <cellStyle name="Normal 11 2 2 4 5 2 2" xfId="32151"/>
    <cellStyle name="Normal 11 2 2 4 5 3" xfId="23926"/>
    <cellStyle name="Normal 11 2 2 4 5 4" xfId="40380"/>
    <cellStyle name="Normal 11 2 2 4 6" xfId="9121"/>
    <cellStyle name="Normal 11 2 2 4 6 2" xfId="25571"/>
    <cellStyle name="Normal 11 2 2 4 7" xfId="17345"/>
    <cellStyle name="Normal 11 2 2 4 8" xfId="33799"/>
    <cellStyle name="Normal 11 2 2 4 9" xfId="42026"/>
    <cellStyle name="Normal 11 2 2 5" xfId="1081"/>
    <cellStyle name="Normal 11 2 2 5 2" xfId="2776"/>
    <cellStyle name="Normal 11 2 2 5 2 2" xfId="11001"/>
    <cellStyle name="Normal 11 2 2 5 2 2 2" xfId="27451"/>
    <cellStyle name="Normal 11 2 2 5 2 3" xfId="19226"/>
    <cellStyle name="Normal 11 2 2 5 2 4" xfId="35680"/>
    <cellStyle name="Normal 11 2 2 5 3" xfId="4421"/>
    <cellStyle name="Normal 11 2 2 5 3 2" xfId="12646"/>
    <cellStyle name="Normal 11 2 2 5 3 2 2" xfId="29096"/>
    <cellStyle name="Normal 11 2 2 5 3 3" xfId="20871"/>
    <cellStyle name="Normal 11 2 2 5 3 4" xfId="37325"/>
    <cellStyle name="Normal 11 2 2 5 4" xfId="6066"/>
    <cellStyle name="Normal 11 2 2 5 4 2" xfId="14291"/>
    <cellStyle name="Normal 11 2 2 5 4 2 2" xfId="30741"/>
    <cellStyle name="Normal 11 2 2 5 4 3" xfId="22516"/>
    <cellStyle name="Normal 11 2 2 5 4 4" xfId="38970"/>
    <cellStyle name="Normal 11 2 2 5 5" xfId="7711"/>
    <cellStyle name="Normal 11 2 2 5 5 2" xfId="15936"/>
    <cellStyle name="Normal 11 2 2 5 5 2 2" xfId="32386"/>
    <cellStyle name="Normal 11 2 2 5 5 3" xfId="24161"/>
    <cellStyle name="Normal 11 2 2 5 5 4" xfId="40615"/>
    <cellStyle name="Normal 11 2 2 5 6" xfId="9356"/>
    <cellStyle name="Normal 11 2 2 5 6 2" xfId="25806"/>
    <cellStyle name="Normal 11 2 2 5 7" xfId="17580"/>
    <cellStyle name="Normal 11 2 2 5 8" xfId="34034"/>
    <cellStyle name="Normal 11 2 2 5 9" xfId="42261"/>
    <cellStyle name="Normal 11 2 2 6" xfId="1361"/>
    <cellStyle name="Normal 11 2 2 6 2" xfId="3011"/>
    <cellStyle name="Normal 11 2 2 6 2 2" xfId="11236"/>
    <cellStyle name="Normal 11 2 2 6 2 2 2" xfId="27686"/>
    <cellStyle name="Normal 11 2 2 6 2 3" xfId="19461"/>
    <cellStyle name="Normal 11 2 2 6 2 4" xfId="35915"/>
    <cellStyle name="Normal 11 2 2 6 3" xfId="4656"/>
    <cellStyle name="Normal 11 2 2 6 3 2" xfId="12881"/>
    <cellStyle name="Normal 11 2 2 6 3 2 2" xfId="29331"/>
    <cellStyle name="Normal 11 2 2 6 3 3" xfId="21106"/>
    <cellStyle name="Normal 11 2 2 6 3 4" xfId="37560"/>
    <cellStyle name="Normal 11 2 2 6 4" xfId="6301"/>
    <cellStyle name="Normal 11 2 2 6 4 2" xfId="14526"/>
    <cellStyle name="Normal 11 2 2 6 4 2 2" xfId="30976"/>
    <cellStyle name="Normal 11 2 2 6 4 3" xfId="22751"/>
    <cellStyle name="Normal 11 2 2 6 4 4" xfId="39205"/>
    <cellStyle name="Normal 11 2 2 6 5" xfId="7946"/>
    <cellStyle name="Normal 11 2 2 6 5 2" xfId="16171"/>
    <cellStyle name="Normal 11 2 2 6 5 2 2" xfId="32621"/>
    <cellStyle name="Normal 11 2 2 6 5 3" xfId="24396"/>
    <cellStyle name="Normal 11 2 2 6 5 4" xfId="40850"/>
    <cellStyle name="Normal 11 2 2 6 6" xfId="9591"/>
    <cellStyle name="Normal 11 2 2 6 6 2" xfId="26041"/>
    <cellStyle name="Normal 11 2 2 6 7" xfId="17815"/>
    <cellStyle name="Normal 11 2 2 6 8" xfId="34269"/>
    <cellStyle name="Normal 11 2 2 7" xfId="1596"/>
    <cellStyle name="Normal 11 2 2 7 2" xfId="3246"/>
    <cellStyle name="Normal 11 2 2 7 2 2" xfId="11471"/>
    <cellStyle name="Normal 11 2 2 7 2 2 2" xfId="27921"/>
    <cellStyle name="Normal 11 2 2 7 2 3" xfId="19696"/>
    <cellStyle name="Normal 11 2 2 7 2 4" xfId="36150"/>
    <cellStyle name="Normal 11 2 2 7 3" xfId="4891"/>
    <cellStyle name="Normal 11 2 2 7 3 2" xfId="13116"/>
    <cellStyle name="Normal 11 2 2 7 3 2 2" xfId="29566"/>
    <cellStyle name="Normal 11 2 2 7 3 3" xfId="21341"/>
    <cellStyle name="Normal 11 2 2 7 3 4" xfId="37795"/>
    <cellStyle name="Normal 11 2 2 7 4" xfId="6536"/>
    <cellStyle name="Normal 11 2 2 7 4 2" xfId="14761"/>
    <cellStyle name="Normal 11 2 2 7 4 2 2" xfId="31211"/>
    <cellStyle name="Normal 11 2 2 7 4 3" xfId="22986"/>
    <cellStyle name="Normal 11 2 2 7 4 4" xfId="39440"/>
    <cellStyle name="Normal 11 2 2 7 5" xfId="8181"/>
    <cellStyle name="Normal 11 2 2 7 5 2" xfId="16406"/>
    <cellStyle name="Normal 11 2 2 7 5 2 2" xfId="32856"/>
    <cellStyle name="Normal 11 2 2 7 5 3" xfId="24631"/>
    <cellStyle name="Normal 11 2 2 7 5 4" xfId="41085"/>
    <cellStyle name="Normal 11 2 2 7 6" xfId="9826"/>
    <cellStyle name="Normal 11 2 2 7 6 2" xfId="26276"/>
    <cellStyle name="Normal 11 2 2 7 7" xfId="18050"/>
    <cellStyle name="Normal 11 2 2 7 8" xfId="34504"/>
    <cellStyle name="Normal 11 2 2 8" xfId="1831"/>
    <cellStyle name="Normal 11 2 2 8 2" xfId="10061"/>
    <cellStyle name="Normal 11 2 2 8 2 2" xfId="26511"/>
    <cellStyle name="Normal 11 2 2 8 3" xfId="18285"/>
    <cellStyle name="Normal 11 2 2 8 4" xfId="34739"/>
    <cellStyle name="Normal 11 2 2 9" xfId="3481"/>
    <cellStyle name="Normal 11 2 2 9 2" xfId="11706"/>
    <cellStyle name="Normal 11 2 2 9 2 2" xfId="28156"/>
    <cellStyle name="Normal 11 2 2 9 3" xfId="19931"/>
    <cellStyle name="Normal 11 2 2 9 4" xfId="36385"/>
    <cellStyle name="Normal 11 2 3" xfId="320"/>
    <cellStyle name="Normal 11 2 3 2" xfId="2019"/>
    <cellStyle name="Normal 11 2 3 2 2" xfId="10246"/>
    <cellStyle name="Normal 11 2 3 2 2 2" xfId="26696"/>
    <cellStyle name="Normal 11 2 3 2 3" xfId="18471"/>
    <cellStyle name="Normal 11 2 3 2 4" xfId="34925"/>
    <cellStyle name="Normal 11 2 3 3" xfId="3666"/>
    <cellStyle name="Normal 11 2 3 3 2" xfId="11891"/>
    <cellStyle name="Normal 11 2 3 3 2 2" xfId="28341"/>
    <cellStyle name="Normal 11 2 3 3 3" xfId="20116"/>
    <cellStyle name="Normal 11 2 3 3 4" xfId="36570"/>
    <cellStyle name="Normal 11 2 3 4" xfId="5311"/>
    <cellStyle name="Normal 11 2 3 4 2" xfId="13536"/>
    <cellStyle name="Normal 11 2 3 4 2 2" xfId="29986"/>
    <cellStyle name="Normal 11 2 3 4 3" xfId="21761"/>
    <cellStyle name="Normal 11 2 3 4 4" xfId="38215"/>
    <cellStyle name="Normal 11 2 3 5" xfId="6956"/>
    <cellStyle name="Normal 11 2 3 5 2" xfId="15181"/>
    <cellStyle name="Normal 11 2 3 5 2 2" xfId="31631"/>
    <cellStyle name="Normal 11 2 3 5 3" xfId="23406"/>
    <cellStyle name="Normal 11 2 3 5 4" xfId="39860"/>
    <cellStyle name="Normal 11 2 3 6" xfId="8601"/>
    <cellStyle name="Normal 11 2 3 6 2" xfId="25051"/>
    <cellStyle name="Normal 11 2 3 7" xfId="16825"/>
    <cellStyle name="Normal 11 2 3 8" xfId="33279"/>
    <cellStyle name="Normal 11 2 3 9" xfId="41506"/>
    <cellStyle name="Normal 11 2 4" xfId="561"/>
    <cellStyle name="Normal 11 2 4 2" xfId="2256"/>
    <cellStyle name="Normal 11 2 4 2 2" xfId="10481"/>
    <cellStyle name="Normal 11 2 4 2 2 2" xfId="26931"/>
    <cellStyle name="Normal 11 2 4 2 3" xfId="18706"/>
    <cellStyle name="Normal 11 2 4 2 4" xfId="35160"/>
    <cellStyle name="Normal 11 2 4 3" xfId="3901"/>
    <cellStyle name="Normal 11 2 4 3 2" xfId="12126"/>
    <cellStyle name="Normal 11 2 4 3 2 2" xfId="28576"/>
    <cellStyle name="Normal 11 2 4 3 3" xfId="20351"/>
    <cellStyle name="Normal 11 2 4 3 4" xfId="36805"/>
    <cellStyle name="Normal 11 2 4 4" xfId="5546"/>
    <cellStyle name="Normal 11 2 4 4 2" xfId="13771"/>
    <cellStyle name="Normal 11 2 4 4 2 2" xfId="30221"/>
    <cellStyle name="Normal 11 2 4 4 3" xfId="21996"/>
    <cellStyle name="Normal 11 2 4 4 4" xfId="38450"/>
    <cellStyle name="Normal 11 2 4 5" xfId="7191"/>
    <cellStyle name="Normal 11 2 4 5 2" xfId="15416"/>
    <cellStyle name="Normal 11 2 4 5 2 2" xfId="31866"/>
    <cellStyle name="Normal 11 2 4 5 3" xfId="23641"/>
    <cellStyle name="Normal 11 2 4 5 4" xfId="40095"/>
    <cellStyle name="Normal 11 2 4 6" xfId="8836"/>
    <cellStyle name="Normal 11 2 4 6 2" xfId="25286"/>
    <cellStyle name="Normal 11 2 4 7" xfId="17060"/>
    <cellStyle name="Normal 11 2 4 8" xfId="33514"/>
    <cellStyle name="Normal 11 2 4 9" xfId="41741"/>
    <cellStyle name="Normal 11 2 5" xfId="796"/>
    <cellStyle name="Normal 11 2 5 2" xfId="2491"/>
    <cellStyle name="Normal 11 2 5 2 2" xfId="10716"/>
    <cellStyle name="Normal 11 2 5 2 2 2" xfId="27166"/>
    <cellStyle name="Normal 11 2 5 2 3" xfId="18941"/>
    <cellStyle name="Normal 11 2 5 2 4" xfId="35395"/>
    <cellStyle name="Normal 11 2 5 3" xfId="4136"/>
    <cellStyle name="Normal 11 2 5 3 2" xfId="12361"/>
    <cellStyle name="Normal 11 2 5 3 2 2" xfId="28811"/>
    <cellStyle name="Normal 11 2 5 3 3" xfId="20586"/>
    <cellStyle name="Normal 11 2 5 3 4" xfId="37040"/>
    <cellStyle name="Normal 11 2 5 4" xfId="5781"/>
    <cellStyle name="Normal 11 2 5 4 2" xfId="14006"/>
    <cellStyle name="Normal 11 2 5 4 2 2" xfId="30456"/>
    <cellStyle name="Normal 11 2 5 4 3" xfId="22231"/>
    <cellStyle name="Normal 11 2 5 4 4" xfId="38685"/>
    <cellStyle name="Normal 11 2 5 5" xfId="7426"/>
    <cellStyle name="Normal 11 2 5 5 2" xfId="15651"/>
    <cellStyle name="Normal 11 2 5 5 2 2" xfId="32101"/>
    <cellStyle name="Normal 11 2 5 5 3" xfId="23876"/>
    <cellStyle name="Normal 11 2 5 5 4" xfId="40330"/>
    <cellStyle name="Normal 11 2 5 6" xfId="9071"/>
    <cellStyle name="Normal 11 2 5 6 2" xfId="25521"/>
    <cellStyle name="Normal 11 2 5 7" xfId="17295"/>
    <cellStyle name="Normal 11 2 5 8" xfId="33749"/>
    <cellStyle name="Normal 11 2 5 9" xfId="41976"/>
    <cellStyle name="Normal 11 2 6" xfId="1031"/>
    <cellStyle name="Normal 11 2 6 2" xfId="2726"/>
    <cellStyle name="Normal 11 2 6 2 2" xfId="10951"/>
    <cellStyle name="Normal 11 2 6 2 2 2" xfId="27401"/>
    <cellStyle name="Normal 11 2 6 2 3" xfId="19176"/>
    <cellStyle name="Normal 11 2 6 2 4" xfId="35630"/>
    <cellStyle name="Normal 11 2 6 3" xfId="4371"/>
    <cellStyle name="Normal 11 2 6 3 2" xfId="12596"/>
    <cellStyle name="Normal 11 2 6 3 2 2" xfId="29046"/>
    <cellStyle name="Normal 11 2 6 3 3" xfId="20821"/>
    <cellStyle name="Normal 11 2 6 3 4" xfId="37275"/>
    <cellStyle name="Normal 11 2 6 4" xfId="6016"/>
    <cellStyle name="Normal 11 2 6 4 2" xfId="14241"/>
    <cellStyle name="Normal 11 2 6 4 2 2" xfId="30691"/>
    <cellStyle name="Normal 11 2 6 4 3" xfId="22466"/>
    <cellStyle name="Normal 11 2 6 4 4" xfId="38920"/>
    <cellStyle name="Normal 11 2 6 5" xfId="7661"/>
    <cellStyle name="Normal 11 2 6 5 2" xfId="15886"/>
    <cellStyle name="Normal 11 2 6 5 2 2" xfId="32336"/>
    <cellStyle name="Normal 11 2 6 5 3" xfId="24111"/>
    <cellStyle name="Normal 11 2 6 5 4" xfId="40565"/>
    <cellStyle name="Normal 11 2 6 6" xfId="9306"/>
    <cellStyle name="Normal 11 2 6 6 2" xfId="25756"/>
    <cellStyle name="Normal 11 2 6 7" xfId="17530"/>
    <cellStyle name="Normal 11 2 6 8" xfId="33984"/>
    <cellStyle name="Normal 11 2 6 9" xfId="42211"/>
    <cellStyle name="Normal 11 2 7" xfId="1311"/>
    <cellStyle name="Normal 11 2 7 2" xfId="2961"/>
    <cellStyle name="Normal 11 2 7 2 2" xfId="11186"/>
    <cellStyle name="Normal 11 2 7 2 2 2" xfId="27636"/>
    <cellStyle name="Normal 11 2 7 2 3" xfId="19411"/>
    <cellStyle name="Normal 11 2 7 2 4" xfId="35865"/>
    <cellStyle name="Normal 11 2 7 3" xfId="4606"/>
    <cellStyle name="Normal 11 2 7 3 2" xfId="12831"/>
    <cellStyle name="Normal 11 2 7 3 2 2" xfId="29281"/>
    <cellStyle name="Normal 11 2 7 3 3" xfId="21056"/>
    <cellStyle name="Normal 11 2 7 3 4" xfId="37510"/>
    <cellStyle name="Normal 11 2 7 4" xfId="6251"/>
    <cellStyle name="Normal 11 2 7 4 2" xfId="14476"/>
    <cellStyle name="Normal 11 2 7 4 2 2" xfId="30926"/>
    <cellStyle name="Normal 11 2 7 4 3" xfId="22701"/>
    <cellStyle name="Normal 11 2 7 4 4" xfId="39155"/>
    <cellStyle name="Normal 11 2 7 5" xfId="7896"/>
    <cellStyle name="Normal 11 2 7 5 2" xfId="16121"/>
    <cellStyle name="Normal 11 2 7 5 2 2" xfId="32571"/>
    <cellStyle name="Normal 11 2 7 5 3" xfId="24346"/>
    <cellStyle name="Normal 11 2 7 5 4" xfId="40800"/>
    <cellStyle name="Normal 11 2 7 6" xfId="9541"/>
    <cellStyle name="Normal 11 2 7 6 2" xfId="25991"/>
    <cellStyle name="Normal 11 2 7 7" xfId="17765"/>
    <cellStyle name="Normal 11 2 7 8" xfId="34219"/>
    <cellStyle name="Normal 11 2 8" xfId="1546"/>
    <cellStyle name="Normal 11 2 8 2" xfId="3196"/>
    <cellStyle name="Normal 11 2 8 2 2" xfId="11421"/>
    <cellStyle name="Normal 11 2 8 2 2 2" xfId="27871"/>
    <cellStyle name="Normal 11 2 8 2 3" xfId="19646"/>
    <cellStyle name="Normal 11 2 8 2 4" xfId="36100"/>
    <cellStyle name="Normal 11 2 8 3" xfId="4841"/>
    <cellStyle name="Normal 11 2 8 3 2" xfId="13066"/>
    <cellStyle name="Normal 11 2 8 3 2 2" xfId="29516"/>
    <cellStyle name="Normal 11 2 8 3 3" xfId="21291"/>
    <cellStyle name="Normal 11 2 8 3 4" xfId="37745"/>
    <cellStyle name="Normal 11 2 8 4" xfId="6486"/>
    <cellStyle name="Normal 11 2 8 4 2" xfId="14711"/>
    <cellStyle name="Normal 11 2 8 4 2 2" xfId="31161"/>
    <cellStyle name="Normal 11 2 8 4 3" xfId="22936"/>
    <cellStyle name="Normal 11 2 8 4 4" xfId="39390"/>
    <cellStyle name="Normal 11 2 8 5" xfId="8131"/>
    <cellStyle name="Normal 11 2 8 5 2" xfId="16356"/>
    <cellStyle name="Normal 11 2 8 5 2 2" xfId="32806"/>
    <cellStyle name="Normal 11 2 8 5 3" xfId="24581"/>
    <cellStyle name="Normal 11 2 8 5 4" xfId="41035"/>
    <cellStyle name="Normal 11 2 8 6" xfId="9776"/>
    <cellStyle name="Normal 11 2 8 6 2" xfId="26226"/>
    <cellStyle name="Normal 11 2 8 7" xfId="18000"/>
    <cellStyle name="Normal 11 2 8 8" xfId="34454"/>
    <cellStyle name="Normal 11 2 9" xfId="1781"/>
    <cellStyle name="Normal 11 2 9 2" xfId="10011"/>
    <cellStyle name="Normal 11 2 9 2 2" xfId="26461"/>
    <cellStyle name="Normal 11 2 9 3" xfId="18235"/>
    <cellStyle name="Normal 11 2 9 4" xfId="34689"/>
    <cellStyle name="Normal 11 20" xfId="16565"/>
    <cellStyle name="Normal 11 21" xfId="33018"/>
    <cellStyle name="Normal 11 22" xfId="41246"/>
    <cellStyle name="Normal 11 3" xfId="102"/>
    <cellStyle name="Normal 11 3 10" xfId="5101"/>
    <cellStyle name="Normal 11 3 10 2" xfId="13326"/>
    <cellStyle name="Normal 11 3 10 2 2" xfId="29776"/>
    <cellStyle name="Normal 11 3 10 3" xfId="21551"/>
    <cellStyle name="Normal 11 3 10 4" xfId="38005"/>
    <cellStyle name="Normal 11 3 11" xfId="6746"/>
    <cellStyle name="Normal 11 3 11 2" xfId="14971"/>
    <cellStyle name="Normal 11 3 11 2 2" xfId="31421"/>
    <cellStyle name="Normal 11 3 11 3" xfId="23196"/>
    <cellStyle name="Normal 11 3 11 4" xfId="39650"/>
    <cellStyle name="Normal 11 3 12" xfId="8391"/>
    <cellStyle name="Normal 11 3 12 2" xfId="24841"/>
    <cellStyle name="Normal 11 3 13" xfId="16615"/>
    <cellStyle name="Normal 11 3 14" xfId="33068"/>
    <cellStyle name="Normal 11 3 15" xfId="41296"/>
    <cellStyle name="Normal 11 3 2" xfId="345"/>
    <cellStyle name="Normal 11 3 2 2" xfId="2044"/>
    <cellStyle name="Normal 11 3 2 2 2" xfId="10271"/>
    <cellStyle name="Normal 11 3 2 2 2 2" xfId="26721"/>
    <cellStyle name="Normal 11 3 2 2 3" xfId="18496"/>
    <cellStyle name="Normal 11 3 2 2 4" xfId="34950"/>
    <cellStyle name="Normal 11 3 2 3" xfId="3691"/>
    <cellStyle name="Normal 11 3 2 3 2" xfId="11916"/>
    <cellStyle name="Normal 11 3 2 3 2 2" xfId="28366"/>
    <cellStyle name="Normal 11 3 2 3 3" xfId="20141"/>
    <cellStyle name="Normal 11 3 2 3 4" xfId="36595"/>
    <cellStyle name="Normal 11 3 2 4" xfId="5336"/>
    <cellStyle name="Normal 11 3 2 4 2" xfId="13561"/>
    <cellStyle name="Normal 11 3 2 4 2 2" xfId="30011"/>
    <cellStyle name="Normal 11 3 2 4 3" xfId="21786"/>
    <cellStyle name="Normal 11 3 2 4 4" xfId="38240"/>
    <cellStyle name="Normal 11 3 2 5" xfId="6981"/>
    <cellStyle name="Normal 11 3 2 5 2" xfId="15206"/>
    <cellStyle name="Normal 11 3 2 5 2 2" xfId="31656"/>
    <cellStyle name="Normal 11 3 2 5 3" xfId="23431"/>
    <cellStyle name="Normal 11 3 2 5 4" xfId="39885"/>
    <cellStyle name="Normal 11 3 2 6" xfId="8626"/>
    <cellStyle name="Normal 11 3 2 6 2" xfId="25076"/>
    <cellStyle name="Normal 11 3 2 7" xfId="16850"/>
    <cellStyle name="Normal 11 3 2 8" xfId="33304"/>
    <cellStyle name="Normal 11 3 2 9" xfId="41531"/>
    <cellStyle name="Normal 11 3 3" xfId="586"/>
    <cellStyle name="Normal 11 3 3 2" xfId="2281"/>
    <cellStyle name="Normal 11 3 3 2 2" xfId="10506"/>
    <cellStyle name="Normal 11 3 3 2 2 2" xfId="26956"/>
    <cellStyle name="Normal 11 3 3 2 3" xfId="18731"/>
    <cellStyle name="Normal 11 3 3 2 4" xfId="35185"/>
    <cellStyle name="Normal 11 3 3 3" xfId="3926"/>
    <cellStyle name="Normal 11 3 3 3 2" xfId="12151"/>
    <cellStyle name="Normal 11 3 3 3 2 2" xfId="28601"/>
    <cellStyle name="Normal 11 3 3 3 3" xfId="20376"/>
    <cellStyle name="Normal 11 3 3 3 4" xfId="36830"/>
    <cellStyle name="Normal 11 3 3 4" xfId="5571"/>
    <cellStyle name="Normal 11 3 3 4 2" xfId="13796"/>
    <cellStyle name="Normal 11 3 3 4 2 2" xfId="30246"/>
    <cellStyle name="Normal 11 3 3 4 3" xfId="22021"/>
    <cellStyle name="Normal 11 3 3 4 4" xfId="38475"/>
    <cellStyle name="Normal 11 3 3 5" xfId="7216"/>
    <cellStyle name="Normal 11 3 3 5 2" xfId="15441"/>
    <cellStyle name="Normal 11 3 3 5 2 2" xfId="31891"/>
    <cellStyle name="Normal 11 3 3 5 3" xfId="23666"/>
    <cellStyle name="Normal 11 3 3 5 4" xfId="40120"/>
    <cellStyle name="Normal 11 3 3 6" xfId="8861"/>
    <cellStyle name="Normal 11 3 3 6 2" xfId="25311"/>
    <cellStyle name="Normal 11 3 3 7" xfId="17085"/>
    <cellStyle name="Normal 11 3 3 8" xfId="33539"/>
    <cellStyle name="Normal 11 3 3 9" xfId="41766"/>
    <cellStyle name="Normal 11 3 4" xfId="821"/>
    <cellStyle name="Normal 11 3 4 2" xfId="2516"/>
    <cellStyle name="Normal 11 3 4 2 2" xfId="10741"/>
    <cellStyle name="Normal 11 3 4 2 2 2" xfId="27191"/>
    <cellStyle name="Normal 11 3 4 2 3" xfId="18966"/>
    <cellStyle name="Normal 11 3 4 2 4" xfId="35420"/>
    <cellStyle name="Normal 11 3 4 3" xfId="4161"/>
    <cellStyle name="Normal 11 3 4 3 2" xfId="12386"/>
    <cellStyle name="Normal 11 3 4 3 2 2" xfId="28836"/>
    <cellStyle name="Normal 11 3 4 3 3" xfId="20611"/>
    <cellStyle name="Normal 11 3 4 3 4" xfId="37065"/>
    <cellStyle name="Normal 11 3 4 4" xfId="5806"/>
    <cellStyle name="Normal 11 3 4 4 2" xfId="14031"/>
    <cellStyle name="Normal 11 3 4 4 2 2" xfId="30481"/>
    <cellStyle name="Normal 11 3 4 4 3" xfId="22256"/>
    <cellStyle name="Normal 11 3 4 4 4" xfId="38710"/>
    <cellStyle name="Normal 11 3 4 5" xfId="7451"/>
    <cellStyle name="Normal 11 3 4 5 2" xfId="15676"/>
    <cellStyle name="Normal 11 3 4 5 2 2" xfId="32126"/>
    <cellStyle name="Normal 11 3 4 5 3" xfId="23901"/>
    <cellStyle name="Normal 11 3 4 5 4" xfId="40355"/>
    <cellStyle name="Normal 11 3 4 6" xfId="9096"/>
    <cellStyle name="Normal 11 3 4 6 2" xfId="25546"/>
    <cellStyle name="Normal 11 3 4 7" xfId="17320"/>
    <cellStyle name="Normal 11 3 4 8" xfId="33774"/>
    <cellStyle name="Normal 11 3 4 9" xfId="42001"/>
    <cellStyle name="Normal 11 3 5" xfId="1056"/>
    <cellStyle name="Normal 11 3 5 2" xfId="2751"/>
    <cellStyle name="Normal 11 3 5 2 2" xfId="10976"/>
    <cellStyle name="Normal 11 3 5 2 2 2" xfId="27426"/>
    <cellStyle name="Normal 11 3 5 2 3" xfId="19201"/>
    <cellStyle name="Normal 11 3 5 2 4" xfId="35655"/>
    <cellStyle name="Normal 11 3 5 3" xfId="4396"/>
    <cellStyle name="Normal 11 3 5 3 2" xfId="12621"/>
    <cellStyle name="Normal 11 3 5 3 2 2" xfId="29071"/>
    <cellStyle name="Normal 11 3 5 3 3" xfId="20846"/>
    <cellStyle name="Normal 11 3 5 3 4" xfId="37300"/>
    <cellStyle name="Normal 11 3 5 4" xfId="6041"/>
    <cellStyle name="Normal 11 3 5 4 2" xfId="14266"/>
    <cellStyle name="Normal 11 3 5 4 2 2" xfId="30716"/>
    <cellStyle name="Normal 11 3 5 4 3" xfId="22491"/>
    <cellStyle name="Normal 11 3 5 4 4" xfId="38945"/>
    <cellStyle name="Normal 11 3 5 5" xfId="7686"/>
    <cellStyle name="Normal 11 3 5 5 2" xfId="15911"/>
    <cellStyle name="Normal 11 3 5 5 2 2" xfId="32361"/>
    <cellStyle name="Normal 11 3 5 5 3" xfId="24136"/>
    <cellStyle name="Normal 11 3 5 5 4" xfId="40590"/>
    <cellStyle name="Normal 11 3 5 6" xfId="9331"/>
    <cellStyle name="Normal 11 3 5 6 2" xfId="25781"/>
    <cellStyle name="Normal 11 3 5 7" xfId="17555"/>
    <cellStyle name="Normal 11 3 5 8" xfId="34009"/>
    <cellStyle name="Normal 11 3 5 9" xfId="42236"/>
    <cellStyle name="Normal 11 3 6" xfId="1336"/>
    <cellStyle name="Normal 11 3 6 2" xfId="2986"/>
    <cellStyle name="Normal 11 3 6 2 2" xfId="11211"/>
    <cellStyle name="Normal 11 3 6 2 2 2" xfId="27661"/>
    <cellStyle name="Normal 11 3 6 2 3" xfId="19436"/>
    <cellStyle name="Normal 11 3 6 2 4" xfId="35890"/>
    <cellStyle name="Normal 11 3 6 3" xfId="4631"/>
    <cellStyle name="Normal 11 3 6 3 2" xfId="12856"/>
    <cellStyle name="Normal 11 3 6 3 2 2" xfId="29306"/>
    <cellStyle name="Normal 11 3 6 3 3" xfId="21081"/>
    <cellStyle name="Normal 11 3 6 3 4" xfId="37535"/>
    <cellStyle name="Normal 11 3 6 4" xfId="6276"/>
    <cellStyle name="Normal 11 3 6 4 2" xfId="14501"/>
    <cellStyle name="Normal 11 3 6 4 2 2" xfId="30951"/>
    <cellStyle name="Normal 11 3 6 4 3" xfId="22726"/>
    <cellStyle name="Normal 11 3 6 4 4" xfId="39180"/>
    <cellStyle name="Normal 11 3 6 5" xfId="7921"/>
    <cellStyle name="Normal 11 3 6 5 2" xfId="16146"/>
    <cellStyle name="Normal 11 3 6 5 2 2" xfId="32596"/>
    <cellStyle name="Normal 11 3 6 5 3" xfId="24371"/>
    <cellStyle name="Normal 11 3 6 5 4" xfId="40825"/>
    <cellStyle name="Normal 11 3 6 6" xfId="9566"/>
    <cellStyle name="Normal 11 3 6 6 2" xfId="26016"/>
    <cellStyle name="Normal 11 3 6 7" xfId="17790"/>
    <cellStyle name="Normal 11 3 6 8" xfId="34244"/>
    <cellStyle name="Normal 11 3 7" xfId="1571"/>
    <cellStyle name="Normal 11 3 7 2" xfId="3221"/>
    <cellStyle name="Normal 11 3 7 2 2" xfId="11446"/>
    <cellStyle name="Normal 11 3 7 2 2 2" xfId="27896"/>
    <cellStyle name="Normal 11 3 7 2 3" xfId="19671"/>
    <cellStyle name="Normal 11 3 7 2 4" xfId="36125"/>
    <cellStyle name="Normal 11 3 7 3" xfId="4866"/>
    <cellStyle name="Normal 11 3 7 3 2" xfId="13091"/>
    <cellStyle name="Normal 11 3 7 3 2 2" xfId="29541"/>
    <cellStyle name="Normal 11 3 7 3 3" xfId="21316"/>
    <cellStyle name="Normal 11 3 7 3 4" xfId="37770"/>
    <cellStyle name="Normal 11 3 7 4" xfId="6511"/>
    <cellStyle name="Normal 11 3 7 4 2" xfId="14736"/>
    <cellStyle name="Normal 11 3 7 4 2 2" xfId="31186"/>
    <cellStyle name="Normal 11 3 7 4 3" xfId="22961"/>
    <cellStyle name="Normal 11 3 7 4 4" xfId="39415"/>
    <cellStyle name="Normal 11 3 7 5" xfId="8156"/>
    <cellStyle name="Normal 11 3 7 5 2" xfId="16381"/>
    <cellStyle name="Normal 11 3 7 5 2 2" xfId="32831"/>
    <cellStyle name="Normal 11 3 7 5 3" xfId="24606"/>
    <cellStyle name="Normal 11 3 7 5 4" xfId="41060"/>
    <cellStyle name="Normal 11 3 7 6" xfId="9801"/>
    <cellStyle name="Normal 11 3 7 6 2" xfId="26251"/>
    <cellStyle name="Normal 11 3 7 7" xfId="18025"/>
    <cellStyle name="Normal 11 3 7 8" xfId="34479"/>
    <cellStyle name="Normal 11 3 8" xfId="1806"/>
    <cellStyle name="Normal 11 3 8 2" xfId="10036"/>
    <cellStyle name="Normal 11 3 8 2 2" xfId="26486"/>
    <cellStyle name="Normal 11 3 8 3" xfId="18260"/>
    <cellStyle name="Normal 11 3 8 4" xfId="34714"/>
    <cellStyle name="Normal 11 3 9" xfId="3456"/>
    <cellStyle name="Normal 11 3 9 2" xfId="11681"/>
    <cellStyle name="Normal 11 3 9 2 2" xfId="28131"/>
    <cellStyle name="Normal 11 3 9 3" xfId="19906"/>
    <cellStyle name="Normal 11 3 9 4" xfId="36360"/>
    <cellStyle name="Normal 11 4" xfId="152"/>
    <cellStyle name="Normal 11 4 10" xfId="5151"/>
    <cellStyle name="Normal 11 4 10 2" xfId="13376"/>
    <cellStyle name="Normal 11 4 10 2 2" xfId="29826"/>
    <cellStyle name="Normal 11 4 10 3" xfId="21601"/>
    <cellStyle name="Normal 11 4 10 4" xfId="38055"/>
    <cellStyle name="Normal 11 4 11" xfId="6796"/>
    <cellStyle name="Normal 11 4 11 2" xfId="15021"/>
    <cellStyle name="Normal 11 4 11 2 2" xfId="31471"/>
    <cellStyle name="Normal 11 4 11 3" xfId="23246"/>
    <cellStyle name="Normal 11 4 11 4" xfId="39700"/>
    <cellStyle name="Normal 11 4 12" xfId="8441"/>
    <cellStyle name="Normal 11 4 12 2" xfId="24891"/>
    <cellStyle name="Normal 11 4 13" xfId="16665"/>
    <cellStyle name="Normal 11 4 14" xfId="33118"/>
    <cellStyle name="Normal 11 4 15" xfId="41346"/>
    <cellStyle name="Normal 11 4 2" xfId="395"/>
    <cellStyle name="Normal 11 4 2 2" xfId="2094"/>
    <cellStyle name="Normal 11 4 2 2 2" xfId="10321"/>
    <cellStyle name="Normal 11 4 2 2 2 2" xfId="26771"/>
    <cellStyle name="Normal 11 4 2 2 3" xfId="18546"/>
    <cellStyle name="Normal 11 4 2 2 4" xfId="35000"/>
    <cellStyle name="Normal 11 4 2 3" xfId="3741"/>
    <cellStyle name="Normal 11 4 2 3 2" xfId="11966"/>
    <cellStyle name="Normal 11 4 2 3 2 2" xfId="28416"/>
    <cellStyle name="Normal 11 4 2 3 3" xfId="20191"/>
    <cellStyle name="Normal 11 4 2 3 4" xfId="36645"/>
    <cellStyle name="Normal 11 4 2 4" xfId="5386"/>
    <cellStyle name="Normal 11 4 2 4 2" xfId="13611"/>
    <cellStyle name="Normal 11 4 2 4 2 2" xfId="30061"/>
    <cellStyle name="Normal 11 4 2 4 3" xfId="21836"/>
    <cellStyle name="Normal 11 4 2 4 4" xfId="38290"/>
    <cellStyle name="Normal 11 4 2 5" xfId="7031"/>
    <cellStyle name="Normal 11 4 2 5 2" xfId="15256"/>
    <cellStyle name="Normal 11 4 2 5 2 2" xfId="31706"/>
    <cellStyle name="Normal 11 4 2 5 3" xfId="23481"/>
    <cellStyle name="Normal 11 4 2 5 4" xfId="39935"/>
    <cellStyle name="Normal 11 4 2 6" xfId="8676"/>
    <cellStyle name="Normal 11 4 2 6 2" xfId="25126"/>
    <cellStyle name="Normal 11 4 2 7" xfId="16900"/>
    <cellStyle name="Normal 11 4 2 8" xfId="33354"/>
    <cellStyle name="Normal 11 4 2 9" xfId="41581"/>
    <cellStyle name="Normal 11 4 3" xfId="636"/>
    <cellStyle name="Normal 11 4 3 2" xfId="2331"/>
    <cellStyle name="Normal 11 4 3 2 2" xfId="10556"/>
    <cellStyle name="Normal 11 4 3 2 2 2" xfId="27006"/>
    <cellStyle name="Normal 11 4 3 2 3" xfId="18781"/>
    <cellStyle name="Normal 11 4 3 2 4" xfId="35235"/>
    <cellStyle name="Normal 11 4 3 3" xfId="3976"/>
    <cellStyle name="Normal 11 4 3 3 2" xfId="12201"/>
    <cellStyle name="Normal 11 4 3 3 2 2" xfId="28651"/>
    <cellStyle name="Normal 11 4 3 3 3" xfId="20426"/>
    <cellStyle name="Normal 11 4 3 3 4" xfId="36880"/>
    <cellStyle name="Normal 11 4 3 4" xfId="5621"/>
    <cellStyle name="Normal 11 4 3 4 2" xfId="13846"/>
    <cellStyle name="Normal 11 4 3 4 2 2" xfId="30296"/>
    <cellStyle name="Normal 11 4 3 4 3" xfId="22071"/>
    <cellStyle name="Normal 11 4 3 4 4" xfId="38525"/>
    <cellStyle name="Normal 11 4 3 5" xfId="7266"/>
    <cellStyle name="Normal 11 4 3 5 2" xfId="15491"/>
    <cellStyle name="Normal 11 4 3 5 2 2" xfId="31941"/>
    <cellStyle name="Normal 11 4 3 5 3" xfId="23716"/>
    <cellStyle name="Normal 11 4 3 5 4" xfId="40170"/>
    <cellStyle name="Normal 11 4 3 6" xfId="8911"/>
    <cellStyle name="Normal 11 4 3 6 2" xfId="25361"/>
    <cellStyle name="Normal 11 4 3 7" xfId="17135"/>
    <cellStyle name="Normal 11 4 3 8" xfId="33589"/>
    <cellStyle name="Normal 11 4 3 9" xfId="41816"/>
    <cellStyle name="Normal 11 4 4" xfId="871"/>
    <cellStyle name="Normal 11 4 4 2" xfId="2566"/>
    <cellStyle name="Normal 11 4 4 2 2" xfId="10791"/>
    <cellStyle name="Normal 11 4 4 2 2 2" xfId="27241"/>
    <cellStyle name="Normal 11 4 4 2 3" xfId="19016"/>
    <cellStyle name="Normal 11 4 4 2 4" xfId="35470"/>
    <cellStyle name="Normal 11 4 4 3" xfId="4211"/>
    <cellStyle name="Normal 11 4 4 3 2" xfId="12436"/>
    <cellStyle name="Normal 11 4 4 3 2 2" xfId="28886"/>
    <cellStyle name="Normal 11 4 4 3 3" xfId="20661"/>
    <cellStyle name="Normal 11 4 4 3 4" xfId="37115"/>
    <cellStyle name="Normal 11 4 4 4" xfId="5856"/>
    <cellStyle name="Normal 11 4 4 4 2" xfId="14081"/>
    <cellStyle name="Normal 11 4 4 4 2 2" xfId="30531"/>
    <cellStyle name="Normal 11 4 4 4 3" xfId="22306"/>
    <cellStyle name="Normal 11 4 4 4 4" xfId="38760"/>
    <cellStyle name="Normal 11 4 4 5" xfId="7501"/>
    <cellStyle name="Normal 11 4 4 5 2" xfId="15726"/>
    <cellStyle name="Normal 11 4 4 5 2 2" xfId="32176"/>
    <cellStyle name="Normal 11 4 4 5 3" xfId="23951"/>
    <cellStyle name="Normal 11 4 4 5 4" xfId="40405"/>
    <cellStyle name="Normal 11 4 4 6" xfId="9146"/>
    <cellStyle name="Normal 11 4 4 6 2" xfId="25596"/>
    <cellStyle name="Normal 11 4 4 7" xfId="17370"/>
    <cellStyle name="Normal 11 4 4 8" xfId="33824"/>
    <cellStyle name="Normal 11 4 4 9" xfId="42051"/>
    <cellStyle name="Normal 11 4 5" xfId="1106"/>
    <cellStyle name="Normal 11 4 5 2" xfId="2801"/>
    <cellStyle name="Normal 11 4 5 2 2" xfId="11026"/>
    <cellStyle name="Normal 11 4 5 2 2 2" xfId="27476"/>
    <cellStyle name="Normal 11 4 5 2 3" xfId="19251"/>
    <cellStyle name="Normal 11 4 5 2 4" xfId="35705"/>
    <cellStyle name="Normal 11 4 5 3" xfId="4446"/>
    <cellStyle name="Normal 11 4 5 3 2" xfId="12671"/>
    <cellStyle name="Normal 11 4 5 3 2 2" xfId="29121"/>
    <cellStyle name="Normal 11 4 5 3 3" xfId="20896"/>
    <cellStyle name="Normal 11 4 5 3 4" xfId="37350"/>
    <cellStyle name="Normal 11 4 5 4" xfId="6091"/>
    <cellStyle name="Normal 11 4 5 4 2" xfId="14316"/>
    <cellStyle name="Normal 11 4 5 4 2 2" xfId="30766"/>
    <cellStyle name="Normal 11 4 5 4 3" xfId="22541"/>
    <cellStyle name="Normal 11 4 5 4 4" xfId="38995"/>
    <cellStyle name="Normal 11 4 5 5" xfId="7736"/>
    <cellStyle name="Normal 11 4 5 5 2" xfId="15961"/>
    <cellStyle name="Normal 11 4 5 5 2 2" xfId="32411"/>
    <cellStyle name="Normal 11 4 5 5 3" xfId="24186"/>
    <cellStyle name="Normal 11 4 5 5 4" xfId="40640"/>
    <cellStyle name="Normal 11 4 5 6" xfId="9381"/>
    <cellStyle name="Normal 11 4 5 6 2" xfId="25831"/>
    <cellStyle name="Normal 11 4 5 7" xfId="17605"/>
    <cellStyle name="Normal 11 4 5 8" xfId="34059"/>
    <cellStyle name="Normal 11 4 5 9" xfId="42286"/>
    <cellStyle name="Normal 11 4 6" xfId="1386"/>
    <cellStyle name="Normal 11 4 6 2" xfId="3036"/>
    <cellStyle name="Normal 11 4 6 2 2" xfId="11261"/>
    <cellStyle name="Normal 11 4 6 2 2 2" xfId="27711"/>
    <cellStyle name="Normal 11 4 6 2 3" xfId="19486"/>
    <cellStyle name="Normal 11 4 6 2 4" xfId="35940"/>
    <cellStyle name="Normal 11 4 6 3" xfId="4681"/>
    <cellStyle name="Normal 11 4 6 3 2" xfId="12906"/>
    <cellStyle name="Normal 11 4 6 3 2 2" xfId="29356"/>
    <cellStyle name="Normal 11 4 6 3 3" xfId="21131"/>
    <cellStyle name="Normal 11 4 6 3 4" xfId="37585"/>
    <cellStyle name="Normal 11 4 6 4" xfId="6326"/>
    <cellStyle name="Normal 11 4 6 4 2" xfId="14551"/>
    <cellStyle name="Normal 11 4 6 4 2 2" xfId="31001"/>
    <cellStyle name="Normal 11 4 6 4 3" xfId="22776"/>
    <cellStyle name="Normal 11 4 6 4 4" xfId="39230"/>
    <cellStyle name="Normal 11 4 6 5" xfId="7971"/>
    <cellStyle name="Normal 11 4 6 5 2" xfId="16196"/>
    <cellStyle name="Normal 11 4 6 5 2 2" xfId="32646"/>
    <cellStyle name="Normal 11 4 6 5 3" xfId="24421"/>
    <cellStyle name="Normal 11 4 6 5 4" xfId="40875"/>
    <cellStyle name="Normal 11 4 6 6" xfId="9616"/>
    <cellStyle name="Normal 11 4 6 6 2" xfId="26066"/>
    <cellStyle name="Normal 11 4 6 7" xfId="17840"/>
    <cellStyle name="Normal 11 4 6 8" xfId="34294"/>
    <cellStyle name="Normal 11 4 7" xfId="1621"/>
    <cellStyle name="Normal 11 4 7 2" xfId="3271"/>
    <cellStyle name="Normal 11 4 7 2 2" xfId="11496"/>
    <cellStyle name="Normal 11 4 7 2 2 2" xfId="27946"/>
    <cellStyle name="Normal 11 4 7 2 3" xfId="19721"/>
    <cellStyle name="Normal 11 4 7 2 4" xfId="36175"/>
    <cellStyle name="Normal 11 4 7 3" xfId="4916"/>
    <cellStyle name="Normal 11 4 7 3 2" xfId="13141"/>
    <cellStyle name="Normal 11 4 7 3 2 2" xfId="29591"/>
    <cellStyle name="Normal 11 4 7 3 3" xfId="21366"/>
    <cellStyle name="Normal 11 4 7 3 4" xfId="37820"/>
    <cellStyle name="Normal 11 4 7 4" xfId="6561"/>
    <cellStyle name="Normal 11 4 7 4 2" xfId="14786"/>
    <cellStyle name="Normal 11 4 7 4 2 2" xfId="31236"/>
    <cellStyle name="Normal 11 4 7 4 3" xfId="23011"/>
    <cellStyle name="Normal 11 4 7 4 4" xfId="39465"/>
    <cellStyle name="Normal 11 4 7 5" xfId="8206"/>
    <cellStyle name="Normal 11 4 7 5 2" xfId="16431"/>
    <cellStyle name="Normal 11 4 7 5 2 2" xfId="32881"/>
    <cellStyle name="Normal 11 4 7 5 3" xfId="24656"/>
    <cellStyle name="Normal 11 4 7 5 4" xfId="41110"/>
    <cellStyle name="Normal 11 4 7 6" xfId="9851"/>
    <cellStyle name="Normal 11 4 7 6 2" xfId="26301"/>
    <cellStyle name="Normal 11 4 7 7" xfId="18075"/>
    <cellStyle name="Normal 11 4 7 8" xfId="34529"/>
    <cellStyle name="Normal 11 4 8" xfId="1856"/>
    <cellStyle name="Normal 11 4 8 2" xfId="10086"/>
    <cellStyle name="Normal 11 4 8 2 2" xfId="26536"/>
    <cellStyle name="Normal 11 4 8 3" xfId="18310"/>
    <cellStyle name="Normal 11 4 8 4" xfId="34764"/>
    <cellStyle name="Normal 11 4 9" xfId="3506"/>
    <cellStyle name="Normal 11 4 9 2" xfId="11731"/>
    <cellStyle name="Normal 11 4 9 2 2" xfId="28181"/>
    <cellStyle name="Normal 11 4 9 3" xfId="19956"/>
    <cellStyle name="Normal 11 4 9 4" xfId="36410"/>
    <cellStyle name="Normal 11 5" xfId="179"/>
    <cellStyle name="Normal 11 5 10" xfId="5178"/>
    <cellStyle name="Normal 11 5 10 2" xfId="13403"/>
    <cellStyle name="Normal 11 5 10 2 2" xfId="29853"/>
    <cellStyle name="Normal 11 5 10 3" xfId="21628"/>
    <cellStyle name="Normal 11 5 10 4" xfId="38082"/>
    <cellStyle name="Normal 11 5 11" xfId="6823"/>
    <cellStyle name="Normal 11 5 11 2" xfId="15048"/>
    <cellStyle name="Normal 11 5 11 2 2" xfId="31498"/>
    <cellStyle name="Normal 11 5 11 3" xfId="23273"/>
    <cellStyle name="Normal 11 5 11 4" xfId="39727"/>
    <cellStyle name="Normal 11 5 12" xfId="8468"/>
    <cellStyle name="Normal 11 5 12 2" xfId="24918"/>
    <cellStyle name="Normal 11 5 13" xfId="16692"/>
    <cellStyle name="Normal 11 5 14" xfId="33145"/>
    <cellStyle name="Normal 11 5 15" xfId="41373"/>
    <cellStyle name="Normal 11 5 2" xfId="422"/>
    <cellStyle name="Normal 11 5 2 2" xfId="2121"/>
    <cellStyle name="Normal 11 5 2 2 2" xfId="10348"/>
    <cellStyle name="Normal 11 5 2 2 2 2" xfId="26798"/>
    <cellStyle name="Normal 11 5 2 2 3" xfId="18573"/>
    <cellStyle name="Normal 11 5 2 2 4" xfId="35027"/>
    <cellStyle name="Normal 11 5 2 3" xfId="3768"/>
    <cellStyle name="Normal 11 5 2 3 2" xfId="11993"/>
    <cellStyle name="Normal 11 5 2 3 2 2" xfId="28443"/>
    <cellStyle name="Normal 11 5 2 3 3" xfId="20218"/>
    <cellStyle name="Normal 11 5 2 3 4" xfId="36672"/>
    <cellStyle name="Normal 11 5 2 4" xfId="5413"/>
    <cellStyle name="Normal 11 5 2 4 2" xfId="13638"/>
    <cellStyle name="Normal 11 5 2 4 2 2" xfId="30088"/>
    <cellStyle name="Normal 11 5 2 4 3" xfId="21863"/>
    <cellStyle name="Normal 11 5 2 4 4" xfId="38317"/>
    <cellStyle name="Normal 11 5 2 5" xfId="7058"/>
    <cellStyle name="Normal 11 5 2 5 2" xfId="15283"/>
    <cellStyle name="Normal 11 5 2 5 2 2" xfId="31733"/>
    <cellStyle name="Normal 11 5 2 5 3" xfId="23508"/>
    <cellStyle name="Normal 11 5 2 5 4" xfId="39962"/>
    <cellStyle name="Normal 11 5 2 6" xfId="8703"/>
    <cellStyle name="Normal 11 5 2 6 2" xfId="25153"/>
    <cellStyle name="Normal 11 5 2 7" xfId="16927"/>
    <cellStyle name="Normal 11 5 2 8" xfId="33381"/>
    <cellStyle name="Normal 11 5 2 9" xfId="41608"/>
    <cellStyle name="Normal 11 5 3" xfId="663"/>
    <cellStyle name="Normal 11 5 3 2" xfId="2358"/>
    <cellStyle name="Normal 11 5 3 2 2" xfId="10583"/>
    <cellStyle name="Normal 11 5 3 2 2 2" xfId="27033"/>
    <cellStyle name="Normal 11 5 3 2 3" xfId="18808"/>
    <cellStyle name="Normal 11 5 3 2 4" xfId="35262"/>
    <cellStyle name="Normal 11 5 3 3" xfId="4003"/>
    <cellStyle name="Normal 11 5 3 3 2" xfId="12228"/>
    <cellStyle name="Normal 11 5 3 3 2 2" xfId="28678"/>
    <cellStyle name="Normal 11 5 3 3 3" xfId="20453"/>
    <cellStyle name="Normal 11 5 3 3 4" xfId="36907"/>
    <cellStyle name="Normal 11 5 3 4" xfId="5648"/>
    <cellStyle name="Normal 11 5 3 4 2" xfId="13873"/>
    <cellStyle name="Normal 11 5 3 4 2 2" xfId="30323"/>
    <cellStyle name="Normal 11 5 3 4 3" xfId="22098"/>
    <cellStyle name="Normal 11 5 3 4 4" xfId="38552"/>
    <cellStyle name="Normal 11 5 3 5" xfId="7293"/>
    <cellStyle name="Normal 11 5 3 5 2" xfId="15518"/>
    <cellStyle name="Normal 11 5 3 5 2 2" xfId="31968"/>
    <cellStyle name="Normal 11 5 3 5 3" xfId="23743"/>
    <cellStyle name="Normal 11 5 3 5 4" xfId="40197"/>
    <cellStyle name="Normal 11 5 3 6" xfId="8938"/>
    <cellStyle name="Normal 11 5 3 6 2" xfId="25388"/>
    <cellStyle name="Normal 11 5 3 7" xfId="17162"/>
    <cellStyle name="Normal 11 5 3 8" xfId="33616"/>
    <cellStyle name="Normal 11 5 3 9" xfId="41843"/>
    <cellStyle name="Normal 11 5 4" xfId="898"/>
    <cellStyle name="Normal 11 5 4 2" xfId="2593"/>
    <cellStyle name="Normal 11 5 4 2 2" xfId="10818"/>
    <cellStyle name="Normal 11 5 4 2 2 2" xfId="27268"/>
    <cellStyle name="Normal 11 5 4 2 3" xfId="19043"/>
    <cellStyle name="Normal 11 5 4 2 4" xfId="35497"/>
    <cellStyle name="Normal 11 5 4 3" xfId="4238"/>
    <cellStyle name="Normal 11 5 4 3 2" xfId="12463"/>
    <cellStyle name="Normal 11 5 4 3 2 2" xfId="28913"/>
    <cellStyle name="Normal 11 5 4 3 3" xfId="20688"/>
    <cellStyle name="Normal 11 5 4 3 4" xfId="37142"/>
    <cellStyle name="Normal 11 5 4 4" xfId="5883"/>
    <cellStyle name="Normal 11 5 4 4 2" xfId="14108"/>
    <cellStyle name="Normal 11 5 4 4 2 2" xfId="30558"/>
    <cellStyle name="Normal 11 5 4 4 3" xfId="22333"/>
    <cellStyle name="Normal 11 5 4 4 4" xfId="38787"/>
    <cellStyle name="Normal 11 5 4 5" xfId="7528"/>
    <cellStyle name="Normal 11 5 4 5 2" xfId="15753"/>
    <cellStyle name="Normal 11 5 4 5 2 2" xfId="32203"/>
    <cellStyle name="Normal 11 5 4 5 3" xfId="23978"/>
    <cellStyle name="Normal 11 5 4 5 4" xfId="40432"/>
    <cellStyle name="Normal 11 5 4 6" xfId="9173"/>
    <cellStyle name="Normal 11 5 4 6 2" xfId="25623"/>
    <cellStyle name="Normal 11 5 4 7" xfId="17397"/>
    <cellStyle name="Normal 11 5 4 8" xfId="33851"/>
    <cellStyle name="Normal 11 5 4 9" xfId="42078"/>
    <cellStyle name="Normal 11 5 5" xfId="1133"/>
    <cellStyle name="Normal 11 5 5 2" xfId="2828"/>
    <cellStyle name="Normal 11 5 5 2 2" xfId="11053"/>
    <cellStyle name="Normal 11 5 5 2 2 2" xfId="27503"/>
    <cellStyle name="Normal 11 5 5 2 3" xfId="19278"/>
    <cellStyle name="Normal 11 5 5 2 4" xfId="35732"/>
    <cellStyle name="Normal 11 5 5 3" xfId="4473"/>
    <cellStyle name="Normal 11 5 5 3 2" xfId="12698"/>
    <cellStyle name="Normal 11 5 5 3 2 2" xfId="29148"/>
    <cellStyle name="Normal 11 5 5 3 3" xfId="20923"/>
    <cellStyle name="Normal 11 5 5 3 4" xfId="37377"/>
    <cellStyle name="Normal 11 5 5 4" xfId="6118"/>
    <cellStyle name="Normal 11 5 5 4 2" xfId="14343"/>
    <cellStyle name="Normal 11 5 5 4 2 2" xfId="30793"/>
    <cellStyle name="Normal 11 5 5 4 3" xfId="22568"/>
    <cellStyle name="Normal 11 5 5 4 4" xfId="39022"/>
    <cellStyle name="Normal 11 5 5 5" xfId="7763"/>
    <cellStyle name="Normal 11 5 5 5 2" xfId="15988"/>
    <cellStyle name="Normal 11 5 5 5 2 2" xfId="32438"/>
    <cellStyle name="Normal 11 5 5 5 3" xfId="24213"/>
    <cellStyle name="Normal 11 5 5 5 4" xfId="40667"/>
    <cellStyle name="Normal 11 5 5 6" xfId="9408"/>
    <cellStyle name="Normal 11 5 5 6 2" xfId="25858"/>
    <cellStyle name="Normal 11 5 5 7" xfId="17632"/>
    <cellStyle name="Normal 11 5 5 8" xfId="34086"/>
    <cellStyle name="Normal 11 5 5 9" xfId="42313"/>
    <cellStyle name="Normal 11 5 6" xfId="1413"/>
    <cellStyle name="Normal 11 5 6 2" xfId="3063"/>
    <cellStyle name="Normal 11 5 6 2 2" xfId="11288"/>
    <cellStyle name="Normal 11 5 6 2 2 2" xfId="27738"/>
    <cellStyle name="Normal 11 5 6 2 3" xfId="19513"/>
    <cellStyle name="Normal 11 5 6 2 4" xfId="35967"/>
    <cellStyle name="Normal 11 5 6 3" xfId="4708"/>
    <cellStyle name="Normal 11 5 6 3 2" xfId="12933"/>
    <cellStyle name="Normal 11 5 6 3 2 2" xfId="29383"/>
    <cellStyle name="Normal 11 5 6 3 3" xfId="21158"/>
    <cellStyle name="Normal 11 5 6 3 4" xfId="37612"/>
    <cellStyle name="Normal 11 5 6 4" xfId="6353"/>
    <cellStyle name="Normal 11 5 6 4 2" xfId="14578"/>
    <cellStyle name="Normal 11 5 6 4 2 2" xfId="31028"/>
    <cellStyle name="Normal 11 5 6 4 3" xfId="22803"/>
    <cellStyle name="Normal 11 5 6 4 4" xfId="39257"/>
    <cellStyle name="Normal 11 5 6 5" xfId="7998"/>
    <cellStyle name="Normal 11 5 6 5 2" xfId="16223"/>
    <cellStyle name="Normal 11 5 6 5 2 2" xfId="32673"/>
    <cellStyle name="Normal 11 5 6 5 3" xfId="24448"/>
    <cellStyle name="Normal 11 5 6 5 4" xfId="40902"/>
    <cellStyle name="Normal 11 5 6 6" xfId="9643"/>
    <cellStyle name="Normal 11 5 6 6 2" xfId="26093"/>
    <cellStyle name="Normal 11 5 6 7" xfId="17867"/>
    <cellStyle name="Normal 11 5 6 8" xfId="34321"/>
    <cellStyle name="Normal 11 5 7" xfId="1648"/>
    <cellStyle name="Normal 11 5 7 2" xfId="3298"/>
    <cellStyle name="Normal 11 5 7 2 2" xfId="11523"/>
    <cellStyle name="Normal 11 5 7 2 2 2" xfId="27973"/>
    <cellStyle name="Normal 11 5 7 2 3" xfId="19748"/>
    <cellStyle name="Normal 11 5 7 2 4" xfId="36202"/>
    <cellStyle name="Normal 11 5 7 3" xfId="4943"/>
    <cellStyle name="Normal 11 5 7 3 2" xfId="13168"/>
    <cellStyle name="Normal 11 5 7 3 2 2" xfId="29618"/>
    <cellStyle name="Normal 11 5 7 3 3" xfId="21393"/>
    <cellStyle name="Normal 11 5 7 3 4" xfId="37847"/>
    <cellStyle name="Normal 11 5 7 4" xfId="6588"/>
    <cellStyle name="Normal 11 5 7 4 2" xfId="14813"/>
    <cellStyle name="Normal 11 5 7 4 2 2" xfId="31263"/>
    <cellStyle name="Normal 11 5 7 4 3" xfId="23038"/>
    <cellStyle name="Normal 11 5 7 4 4" xfId="39492"/>
    <cellStyle name="Normal 11 5 7 5" xfId="8233"/>
    <cellStyle name="Normal 11 5 7 5 2" xfId="16458"/>
    <cellStyle name="Normal 11 5 7 5 2 2" xfId="32908"/>
    <cellStyle name="Normal 11 5 7 5 3" xfId="24683"/>
    <cellStyle name="Normal 11 5 7 5 4" xfId="41137"/>
    <cellStyle name="Normal 11 5 7 6" xfId="9878"/>
    <cellStyle name="Normal 11 5 7 6 2" xfId="26328"/>
    <cellStyle name="Normal 11 5 7 7" xfId="18102"/>
    <cellStyle name="Normal 11 5 7 8" xfId="34556"/>
    <cellStyle name="Normal 11 5 8" xfId="1883"/>
    <cellStyle name="Normal 11 5 8 2" xfId="10113"/>
    <cellStyle name="Normal 11 5 8 2 2" xfId="26563"/>
    <cellStyle name="Normal 11 5 8 3" xfId="18337"/>
    <cellStyle name="Normal 11 5 8 4" xfId="34791"/>
    <cellStyle name="Normal 11 5 9" xfId="3533"/>
    <cellStyle name="Normal 11 5 9 2" xfId="11758"/>
    <cellStyle name="Normal 11 5 9 2 2" xfId="28208"/>
    <cellStyle name="Normal 11 5 9 3" xfId="19983"/>
    <cellStyle name="Normal 11 5 9 4" xfId="36437"/>
    <cellStyle name="Normal 11 6" xfId="208"/>
    <cellStyle name="Normal 11 6 10" xfId="5205"/>
    <cellStyle name="Normal 11 6 10 2" xfId="13430"/>
    <cellStyle name="Normal 11 6 10 2 2" xfId="29880"/>
    <cellStyle name="Normal 11 6 10 3" xfId="21655"/>
    <cellStyle name="Normal 11 6 10 4" xfId="38109"/>
    <cellStyle name="Normal 11 6 11" xfId="6850"/>
    <cellStyle name="Normal 11 6 11 2" xfId="15075"/>
    <cellStyle name="Normal 11 6 11 2 2" xfId="31525"/>
    <cellStyle name="Normal 11 6 11 3" xfId="23300"/>
    <cellStyle name="Normal 11 6 11 4" xfId="39754"/>
    <cellStyle name="Normal 11 6 12" xfId="8495"/>
    <cellStyle name="Normal 11 6 12 2" xfId="24945"/>
    <cellStyle name="Normal 11 6 13" xfId="16719"/>
    <cellStyle name="Normal 11 6 14" xfId="33172"/>
    <cellStyle name="Normal 11 6 15" xfId="41400"/>
    <cellStyle name="Normal 11 6 2" xfId="451"/>
    <cellStyle name="Normal 11 6 2 2" xfId="2148"/>
    <cellStyle name="Normal 11 6 2 2 2" xfId="10375"/>
    <cellStyle name="Normal 11 6 2 2 2 2" xfId="26825"/>
    <cellStyle name="Normal 11 6 2 2 3" xfId="18600"/>
    <cellStyle name="Normal 11 6 2 2 4" xfId="35054"/>
    <cellStyle name="Normal 11 6 2 3" xfId="3795"/>
    <cellStyle name="Normal 11 6 2 3 2" xfId="12020"/>
    <cellStyle name="Normal 11 6 2 3 2 2" xfId="28470"/>
    <cellStyle name="Normal 11 6 2 3 3" xfId="20245"/>
    <cellStyle name="Normal 11 6 2 3 4" xfId="36699"/>
    <cellStyle name="Normal 11 6 2 4" xfId="5440"/>
    <cellStyle name="Normal 11 6 2 4 2" xfId="13665"/>
    <cellStyle name="Normal 11 6 2 4 2 2" xfId="30115"/>
    <cellStyle name="Normal 11 6 2 4 3" xfId="21890"/>
    <cellStyle name="Normal 11 6 2 4 4" xfId="38344"/>
    <cellStyle name="Normal 11 6 2 5" xfId="7085"/>
    <cellStyle name="Normal 11 6 2 5 2" xfId="15310"/>
    <cellStyle name="Normal 11 6 2 5 2 2" xfId="31760"/>
    <cellStyle name="Normal 11 6 2 5 3" xfId="23535"/>
    <cellStyle name="Normal 11 6 2 5 4" xfId="39989"/>
    <cellStyle name="Normal 11 6 2 6" xfId="8730"/>
    <cellStyle name="Normal 11 6 2 6 2" xfId="25180"/>
    <cellStyle name="Normal 11 6 2 7" xfId="16954"/>
    <cellStyle name="Normal 11 6 2 8" xfId="33408"/>
    <cellStyle name="Normal 11 6 2 9" xfId="41635"/>
    <cellStyle name="Normal 11 6 3" xfId="690"/>
    <cellStyle name="Normal 11 6 3 2" xfId="2385"/>
    <cellStyle name="Normal 11 6 3 2 2" xfId="10610"/>
    <cellStyle name="Normal 11 6 3 2 2 2" xfId="27060"/>
    <cellStyle name="Normal 11 6 3 2 3" xfId="18835"/>
    <cellStyle name="Normal 11 6 3 2 4" xfId="35289"/>
    <cellStyle name="Normal 11 6 3 3" xfId="4030"/>
    <cellStyle name="Normal 11 6 3 3 2" xfId="12255"/>
    <cellStyle name="Normal 11 6 3 3 2 2" xfId="28705"/>
    <cellStyle name="Normal 11 6 3 3 3" xfId="20480"/>
    <cellStyle name="Normal 11 6 3 3 4" xfId="36934"/>
    <cellStyle name="Normal 11 6 3 4" xfId="5675"/>
    <cellStyle name="Normal 11 6 3 4 2" xfId="13900"/>
    <cellStyle name="Normal 11 6 3 4 2 2" xfId="30350"/>
    <cellStyle name="Normal 11 6 3 4 3" xfId="22125"/>
    <cellStyle name="Normal 11 6 3 4 4" xfId="38579"/>
    <cellStyle name="Normal 11 6 3 5" xfId="7320"/>
    <cellStyle name="Normal 11 6 3 5 2" xfId="15545"/>
    <cellStyle name="Normal 11 6 3 5 2 2" xfId="31995"/>
    <cellStyle name="Normal 11 6 3 5 3" xfId="23770"/>
    <cellStyle name="Normal 11 6 3 5 4" xfId="40224"/>
    <cellStyle name="Normal 11 6 3 6" xfId="8965"/>
    <cellStyle name="Normal 11 6 3 6 2" xfId="25415"/>
    <cellStyle name="Normal 11 6 3 7" xfId="17189"/>
    <cellStyle name="Normal 11 6 3 8" xfId="33643"/>
    <cellStyle name="Normal 11 6 3 9" xfId="41870"/>
    <cellStyle name="Normal 11 6 4" xfId="925"/>
    <cellStyle name="Normal 11 6 4 2" xfId="2620"/>
    <cellStyle name="Normal 11 6 4 2 2" xfId="10845"/>
    <cellStyle name="Normal 11 6 4 2 2 2" xfId="27295"/>
    <cellStyle name="Normal 11 6 4 2 3" xfId="19070"/>
    <cellStyle name="Normal 11 6 4 2 4" xfId="35524"/>
    <cellStyle name="Normal 11 6 4 3" xfId="4265"/>
    <cellStyle name="Normal 11 6 4 3 2" xfId="12490"/>
    <cellStyle name="Normal 11 6 4 3 2 2" xfId="28940"/>
    <cellStyle name="Normal 11 6 4 3 3" xfId="20715"/>
    <cellStyle name="Normal 11 6 4 3 4" xfId="37169"/>
    <cellStyle name="Normal 11 6 4 4" xfId="5910"/>
    <cellStyle name="Normal 11 6 4 4 2" xfId="14135"/>
    <cellStyle name="Normal 11 6 4 4 2 2" xfId="30585"/>
    <cellStyle name="Normal 11 6 4 4 3" xfId="22360"/>
    <cellStyle name="Normal 11 6 4 4 4" xfId="38814"/>
    <cellStyle name="Normal 11 6 4 5" xfId="7555"/>
    <cellStyle name="Normal 11 6 4 5 2" xfId="15780"/>
    <cellStyle name="Normal 11 6 4 5 2 2" xfId="32230"/>
    <cellStyle name="Normal 11 6 4 5 3" xfId="24005"/>
    <cellStyle name="Normal 11 6 4 5 4" xfId="40459"/>
    <cellStyle name="Normal 11 6 4 6" xfId="9200"/>
    <cellStyle name="Normal 11 6 4 6 2" xfId="25650"/>
    <cellStyle name="Normal 11 6 4 7" xfId="17424"/>
    <cellStyle name="Normal 11 6 4 8" xfId="33878"/>
    <cellStyle name="Normal 11 6 4 9" xfId="42105"/>
    <cellStyle name="Normal 11 6 5" xfId="1160"/>
    <cellStyle name="Normal 11 6 5 2" xfId="2855"/>
    <cellStyle name="Normal 11 6 5 2 2" xfId="11080"/>
    <cellStyle name="Normal 11 6 5 2 2 2" xfId="27530"/>
    <cellStyle name="Normal 11 6 5 2 3" xfId="19305"/>
    <cellStyle name="Normal 11 6 5 2 4" xfId="35759"/>
    <cellStyle name="Normal 11 6 5 3" xfId="4500"/>
    <cellStyle name="Normal 11 6 5 3 2" xfId="12725"/>
    <cellStyle name="Normal 11 6 5 3 2 2" xfId="29175"/>
    <cellStyle name="Normal 11 6 5 3 3" xfId="20950"/>
    <cellStyle name="Normal 11 6 5 3 4" xfId="37404"/>
    <cellStyle name="Normal 11 6 5 4" xfId="6145"/>
    <cellStyle name="Normal 11 6 5 4 2" xfId="14370"/>
    <cellStyle name="Normal 11 6 5 4 2 2" xfId="30820"/>
    <cellStyle name="Normal 11 6 5 4 3" xfId="22595"/>
    <cellStyle name="Normal 11 6 5 4 4" xfId="39049"/>
    <cellStyle name="Normal 11 6 5 5" xfId="7790"/>
    <cellStyle name="Normal 11 6 5 5 2" xfId="16015"/>
    <cellStyle name="Normal 11 6 5 5 2 2" xfId="32465"/>
    <cellStyle name="Normal 11 6 5 5 3" xfId="24240"/>
    <cellStyle name="Normal 11 6 5 5 4" xfId="40694"/>
    <cellStyle name="Normal 11 6 5 6" xfId="9435"/>
    <cellStyle name="Normal 11 6 5 6 2" xfId="25885"/>
    <cellStyle name="Normal 11 6 5 7" xfId="17659"/>
    <cellStyle name="Normal 11 6 5 8" xfId="34113"/>
    <cellStyle name="Normal 11 6 5 9" xfId="42340"/>
    <cellStyle name="Normal 11 6 6" xfId="1440"/>
    <cellStyle name="Normal 11 6 6 2" xfId="3090"/>
    <cellStyle name="Normal 11 6 6 2 2" xfId="11315"/>
    <cellStyle name="Normal 11 6 6 2 2 2" xfId="27765"/>
    <cellStyle name="Normal 11 6 6 2 3" xfId="19540"/>
    <cellStyle name="Normal 11 6 6 2 4" xfId="35994"/>
    <cellStyle name="Normal 11 6 6 3" xfId="4735"/>
    <cellStyle name="Normal 11 6 6 3 2" xfId="12960"/>
    <cellStyle name="Normal 11 6 6 3 2 2" xfId="29410"/>
    <cellStyle name="Normal 11 6 6 3 3" xfId="21185"/>
    <cellStyle name="Normal 11 6 6 3 4" xfId="37639"/>
    <cellStyle name="Normal 11 6 6 4" xfId="6380"/>
    <cellStyle name="Normal 11 6 6 4 2" xfId="14605"/>
    <cellStyle name="Normal 11 6 6 4 2 2" xfId="31055"/>
    <cellStyle name="Normal 11 6 6 4 3" xfId="22830"/>
    <cellStyle name="Normal 11 6 6 4 4" xfId="39284"/>
    <cellStyle name="Normal 11 6 6 5" xfId="8025"/>
    <cellStyle name="Normal 11 6 6 5 2" xfId="16250"/>
    <cellStyle name="Normal 11 6 6 5 2 2" xfId="32700"/>
    <cellStyle name="Normal 11 6 6 5 3" xfId="24475"/>
    <cellStyle name="Normal 11 6 6 5 4" xfId="40929"/>
    <cellStyle name="Normal 11 6 6 6" xfId="9670"/>
    <cellStyle name="Normal 11 6 6 6 2" xfId="26120"/>
    <cellStyle name="Normal 11 6 6 7" xfId="17894"/>
    <cellStyle name="Normal 11 6 6 8" xfId="34348"/>
    <cellStyle name="Normal 11 6 7" xfId="1675"/>
    <cellStyle name="Normal 11 6 7 2" xfId="3325"/>
    <cellStyle name="Normal 11 6 7 2 2" xfId="11550"/>
    <cellStyle name="Normal 11 6 7 2 2 2" xfId="28000"/>
    <cellStyle name="Normal 11 6 7 2 3" xfId="19775"/>
    <cellStyle name="Normal 11 6 7 2 4" xfId="36229"/>
    <cellStyle name="Normal 11 6 7 3" xfId="4970"/>
    <cellStyle name="Normal 11 6 7 3 2" xfId="13195"/>
    <cellStyle name="Normal 11 6 7 3 2 2" xfId="29645"/>
    <cellStyle name="Normal 11 6 7 3 3" xfId="21420"/>
    <cellStyle name="Normal 11 6 7 3 4" xfId="37874"/>
    <cellStyle name="Normal 11 6 7 4" xfId="6615"/>
    <cellStyle name="Normal 11 6 7 4 2" xfId="14840"/>
    <cellStyle name="Normal 11 6 7 4 2 2" xfId="31290"/>
    <cellStyle name="Normal 11 6 7 4 3" xfId="23065"/>
    <cellStyle name="Normal 11 6 7 4 4" xfId="39519"/>
    <cellStyle name="Normal 11 6 7 5" xfId="8260"/>
    <cellStyle name="Normal 11 6 7 5 2" xfId="16485"/>
    <cellStyle name="Normal 11 6 7 5 2 2" xfId="32935"/>
    <cellStyle name="Normal 11 6 7 5 3" xfId="24710"/>
    <cellStyle name="Normal 11 6 7 5 4" xfId="41164"/>
    <cellStyle name="Normal 11 6 7 6" xfId="9905"/>
    <cellStyle name="Normal 11 6 7 6 2" xfId="26355"/>
    <cellStyle name="Normal 11 6 7 7" xfId="18129"/>
    <cellStyle name="Normal 11 6 7 8" xfId="34583"/>
    <cellStyle name="Normal 11 6 8" xfId="1910"/>
    <cellStyle name="Normal 11 6 8 2" xfId="10140"/>
    <cellStyle name="Normal 11 6 8 2 2" xfId="26590"/>
    <cellStyle name="Normal 11 6 8 3" xfId="18364"/>
    <cellStyle name="Normal 11 6 8 4" xfId="34818"/>
    <cellStyle name="Normal 11 6 9" xfId="3560"/>
    <cellStyle name="Normal 11 6 9 2" xfId="11785"/>
    <cellStyle name="Normal 11 6 9 2 2" xfId="28235"/>
    <cellStyle name="Normal 11 6 9 3" xfId="20010"/>
    <cellStyle name="Normal 11 6 9 4" xfId="36464"/>
    <cellStyle name="Normal 11 7" xfId="235"/>
    <cellStyle name="Normal 11 7 10" xfId="5232"/>
    <cellStyle name="Normal 11 7 10 2" xfId="13457"/>
    <cellStyle name="Normal 11 7 10 2 2" xfId="29907"/>
    <cellStyle name="Normal 11 7 10 3" xfId="21682"/>
    <cellStyle name="Normal 11 7 10 4" xfId="38136"/>
    <cellStyle name="Normal 11 7 11" xfId="6877"/>
    <cellStyle name="Normal 11 7 11 2" xfId="15102"/>
    <cellStyle name="Normal 11 7 11 2 2" xfId="31552"/>
    <cellStyle name="Normal 11 7 11 3" xfId="23327"/>
    <cellStyle name="Normal 11 7 11 4" xfId="39781"/>
    <cellStyle name="Normal 11 7 12" xfId="8522"/>
    <cellStyle name="Normal 11 7 12 2" xfId="24972"/>
    <cellStyle name="Normal 11 7 13" xfId="16746"/>
    <cellStyle name="Normal 11 7 14" xfId="33199"/>
    <cellStyle name="Normal 11 7 15" xfId="41427"/>
    <cellStyle name="Normal 11 7 2" xfId="478"/>
    <cellStyle name="Normal 11 7 2 2" xfId="2175"/>
    <cellStyle name="Normal 11 7 2 2 2" xfId="10402"/>
    <cellStyle name="Normal 11 7 2 2 2 2" xfId="26852"/>
    <cellStyle name="Normal 11 7 2 2 3" xfId="18627"/>
    <cellStyle name="Normal 11 7 2 2 4" xfId="35081"/>
    <cellStyle name="Normal 11 7 2 3" xfId="3822"/>
    <cellStyle name="Normal 11 7 2 3 2" xfId="12047"/>
    <cellStyle name="Normal 11 7 2 3 2 2" xfId="28497"/>
    <cellStyle name="Normal 11 7 2 3 3" xfId="20272"/>
    <cellStyle name="Normal 11 7 2 3 4" xfId="36726"/>
    <cellStyle name="Normal 11 7 2 4" xfId="5467"/>
    <cellStyle name="Normal 11 7 2 4 2" xfId="13692"/>
    <cellStyle name="Normal 11 7 2 4 2 2" xfId="30142"/>
    <cellStyle name="Normal 11 7 2 4 3" xfId="21917"/>
    <cellStyle name="Normal 11 7 2 4 4" xfId="38371"/>
    <cellStyle name="Normal 11 7 2 5" xfId="7112"/>
    <cellStyle name="Normal 11 7 2 5 2" xfId="15337"/>
    <cellStyle name="Normal 11 7 2 5 2 2" xfId="31787"/>
    <cellStyle name="Normal 11 7 2 5 3" xfId="23562"/>
    <cellStyle name="Normal 11 7 2 5 4" xfId="40016"/>
    <cellStyle name="Normal 11 7 2 6" xfId="8757"/>
    <cellStyle name="Normal 11 7 2 6 2" xfId="25207"/>
    <cellStyle name="Normal 11 7 2 7" xfId="16981"/>
    <cellStyle name="Normal 11 7 2 8" xfId="33435"/>
    <cellStyle name="Normal 11 7 2 9" xfId="41662"/>
    <cellStyle name="Normal 11 7 3" xfId="717"/>
    <cellStyle name="Normal 11 7 3 2" xfId="2412"/>
    <cellStyle name="Normal 11 7 3 2 2" xfId="10637"/>
    <cellStyle name="Normal 11 7 3 2 2 2" xfId="27087"/>
    <cellStyle name="Normal 11 7 3 2 3" xfId="18862"/>
    <cellStyle name="Normal 11 7 3 2 4" xfId="35316"/>
    <cellStyle name="Normal 11 7 3 3" xfId="4057"/>
    <cellStyle name="Normal 11 7 3 3 2" xfId="12282"/>
    <cellStyle name="Normal 11 7 3 3 2 2" xfId="28732"/>
    <cellStyle name="Normal 11 7 3 3 3" xfId="20507"/>
    <cellStyle name="Normal 11 7 3 3 4" xfId="36961"/>
    <cellStyle name="Normal 11 7 3 4" xfId="5702"/>
    <cellStyle name="Normal 11 7 3 4 2" xfId="13927"/>
    <cellStyle name="Normal 11 7 3 4 2 2" xfId="30377"/>
    <cellStyle name="Normal 11 7 3 4 3" xfId="22152"/>
    <cellStyle name="Normal 11 7 3 4 4" xfId="38606"/>
    <cellStyle name="Normal 11 7 3 5" xfId="7347"/>
    <cellStyle name="Normal 11 7 3 5 2" xfId="15572"/>
    <cellStyle name="Normal 11 7 3 5 2 2" xfId="32022"/>
    <cellStyle name="Normal 11 7 3 5 3" xfId="23797"/>
    <cellStyle name="Normal 11 7 3 5 4" xfId="40251"/>
    <cellStyle name="Normal 11 7 3 6" xfId="8992"/>
    <cellStyle name="Normal 11 7 3 6 2" xfId="25442"/>
    <cellStyle name="Normal 11 7 3 7" xfId="17216"/>
    <cellStyle name="Normal 11 7 3 8" xfId="33670"/>
    <cellStyle name="Normal 11 7 3 9" xfId="41897"/>
    <cellStyle name="Normal 11 7 4" xfId="952"/>
    <cellStyle name="Normal 11 7 4 2" xfId="2647"/>
    <cellStyle name="Normal 11 7 4 2 2" xfId="10872"/>
    <cellStyle name="Normal 11 7 4 2 2 2" xfId="27322"/>
    <cellStyle name="Normal 11 7 4 2 3" xfId="19097"/>
    <cellStyle name="Normal 11 7 4 2 4" xfId="35551"/>
    <cellStyle name="Normal 11 7 4 3" xfId="4292"/>
    <cellStyle name="Normal 11 7 4 3 2" xfId="12517"/>
    <cellStyle name="Normal 11 7 4 3 2 2" xfId="28967"/>
    <cellStyle name="Normal 11 7 4 3 3" xfId="20742"/>
    <cellStyle name="Normal 11 7 4 3 4" xfId="37196"/>
    <cellStyle name="Normal 11 7 4 4" xfId="5937"/>
    <cellStyle name="Normal 11 7 4 4 2" xfId="14162"/>
    <cellStyle name="Normal 11 7 4 4 2 2" xfId="30612"/>
    <cellStyle name="Normal 11 7 4 4 3" xfId="22387"/>
    <cellStyle name="Normal 11 7 4 4 4" xfId="38841"/>
    <cellStyle name="Normal 11 7 4 5" xfId="7582"/>
    <cellStyle name="Normal 11 7 4 5 2" xfId="15807"/>
    <cellStyle name="Normal 11 7 4 5 2 2" xfId="32257"/>
    <cellStyle name="Normal 11 7 4 5 3" xfId="24032"/>
    <cellStyle name="Normal 11 7 4 5 4" xfId="40486"/>
    <cellStyle name="Normal 11 7 4 6" xfId="9227"/>
    <cellStyle name="Normal 11 7 4 6 2" xfId="25677"/>
    <cellStyle name="Normal 11 7 4 7" xfId="17451"/>
    <cellStyle name="Normal 11 7 4 8" xfId="33905"/>
    <cellStyle name="Normal 11 7 4 9" xfId="42132"/>
    <cellStyle name="Normal 11 7 5" xfId="1187"/>
    <cellStyle name="Normal 11 7 5 2" xfId="2882"/>
    <cellStyle name="Normal 11 7 5 2 2" xfId="11107"/>
    <cellStyle name="Normal 11 7 5 2 2 2" xfId="27557"/>
    <cellStyle name="Normal 11 7 5 2 3" xfId="19332"/>
    <cellStyle name="Normal 11 7 5 2 4" xfId="35786"/>
    <cellStyle name="Normal 11 7 5 3" xfId="4527"/>
    <cellStyle name="Normal 11 7 5 3 2" xfId="12752"/>
    <cellStyle name="Normal 11 7 5 3 2 2" xfId="29202"/>
    <cellStyle name="Normal 11 7 5 3 3" xfId="20977"/>
    <cellStyle name="Normal 11 7 5 3 4" xfId="37431"/>
    <cellStyle name="Normal 11 7 5 4" xfId="6172"/>
    <cellStyle name="Normal 11 7 5 4 2" xfId="14397"/>
    <cellStyle name="Normal 11 7 5 4 2 2" xfId="30847"/>
    <cellStyle name="Normal 11 7 5 4 3" xfId="22622"/>
    <cellStyle name="Normal 11 7 5 4 4" xfId="39076"/>
    <cellStyle name="Normal 11 7 5 5" xfId="7817"/>
    <cellStyle name="Normal 11 7 5 5 2" xfId="16042"/>
    <cellStyle name="Normal 11 7 5 5 2 2" xfId="32492"/>
    <cellStyle name="Normal 11 7 5 5 3" xfId="24267"/>
    <cellStyle name="Normal 11 7 5 5 4" xfId="40721"/>
    <cellStyle name="Normal 11 7 5 6" xfId="9462"/>
    <cellStyle name="Normal 11 7 5 6 2" xfId="25912"/>
    <cellStyle name="Normal 11 7 5 7" xfId="17686"/>
    <cellStyle name="Normal 11 7 5 8" xfId="34140"/>
    <cellStyle name="Normal 11 7 5 9" xfId="42367"/>
    <cellStyle name="Normal 11 7 6" xfId="1467"/>
    <cellStyle name="Normal 11 7 6 2" xfId="3117"/>
    <cellStyle name="Normal 11 7 6 2 2" xfId="11342"/>
    <cellStyle name="Normal 11 7 6 2 2 2" xfId="27792"/>
    <cellStyle name="Normal 11 7 6 2 3" xfId="19567"/>
    <cellStyle name="Normal 11 7 6 2 4" xfId="36021"/>
    <cellStyle name="Normal 11 7 6 3" xfId="4762"/>
    <cellStyle name="Normal 11 7 6 3 2" xfId="12987"/>
    <cellStyle name="Normal 11 7 6 3 2 2" xfId="29437"/>
    <cellStyle name="Normal 11 7 6 3 3" xfId="21212"/>
    <cellStyle name="Normal 11 7 6 3 4" xfId="37666"/>
    <cellStyle name="Normal 11 7 6 4" xfId="6407"/>
    <cellStyle name="Normal 11 7 6 4 2" xfId="14632"/>
    <cellStyle name="Normal 11 7 6 4 2 2" xfId="31082"/>
    <cellStyle name="Normal 11 7 6 4 3" xfId="22857"/>
    <cellStyle name="Normal 11 7 6 4 4" xfId="39311"/>
    <cellStyle name="Normal 11 7 6 5" xfId="8052"/>
    <cellStyle name="Normal 11 7 6 5 2" xfId="16277"/>
    <cellStyle name="Normal 11 7 6 5 2 2" xfId="32727"/>
    <cellStyle name="Normal 11 7 6 5 3" xfId="24502"/>
    <cellStyle name="Normal 11 7 6 5 4" xfId="40956"/>
    <cellStyle name="Normal 11 7 6 6" xfId="9697"/>
    <cellStyle name="Normal 11 7 6 6 2" xfId="26147"/>
    <cellStyle name="Normal 11 7 6 7" xfId="17921"/>
    <cellStyle name="Normal 11 7 6 8" xfId="34375"/>
    <cellStyle name="Normal 11 7 7" xfId="1702"/>
    <cellStyle name="Normal 11 7 7 2" xfId="3352"/>
    <cellStyle name="Normal 11 7 7 2 2" xfId="11577"/>
    <cellStyle name="Normal 11 7 7 2 2 2" xfId="28027"/>
    <cellStyle name="Normal 11 7 7 2 3" xfId="19802"/>
    <cellStyle name="Normal 11 7 7 2 4" xfId="36256"/>
    <cellStyle name="Normal 11 7 7 3" xfId="4997"/>
    <cellStyle name="Normal 11 7 7 3 2" xfId="13222"/>
    <cellStyle name="Normal 11 7 7 3 2 2" xfId="29672"/>
    <cellStyle name="Normal 11 7 7 3 3" xfId="21447"/>
    <cellStyle name="Normal 11 7 7 3 4" xfId="37901"/>
    <cellStyle name="Normal 11 7 7 4" xfId="6642"/>
    <cellStyle name="Normal 11 7 7 4 2" xfId="14867"/>
    <cellStyle name="Normal 11 7 7 4 2 2" xfId="31317"/>
    <cellStyle name="Normal 11 7 7 4 3" xfId="23092"/>
    <cellStyle name="Normal 11 7 7 4 4" xfId="39546"/>
    <cellStyle name="Normal 11 7 7 5" xfId="8287"/>
    <cellStyle name="Normal 11 7 7 5 2" xfId="16512"/>
    <cellStyle name="Normal 11 7 7 5 2 2" xfId="32962"/>
    <cellStyle name="Normal 11 7 7 5 3" xfId="24737"/>
    <cellStyle name="Normal 11 7 7 5 4" xfId="41191"/>
    <cellStyle name="Normal 11 7 7 6" xfId="9932"/>
    <cellStyle name="Normal 11 7 7 6 2" xfId="26382"/>
    <cellStyle name="Normal 11 7 7 7" xfId="18156"/>
    <cellStyle name="Normal 11 7 7 8" xfId="34610"/>
    <cellStyle name="Normal 11 7 8" xfId="1937"/>
    <cellStyle name="Normal 11 7 8 2" xfId="10167"/>
    <cellStyle name="Normal 11 7 8 2 2" xfId="26617"/>
    <cellStyle name="Normal 11 7 8 3" xfId="18391"/>
    <cellStyle name="Normal 11 7 8 4" xfId="34845"/>
    <cellStyle name="Normal 11 7 9" xfId="3587"/>
    <cellStyle name="Normal 11 7 9 2" xfId="11812"/>
    <cellStyle name="Normal 11 7 9 2 2" xfId="28262"/>
    <cellStyle name="Normal 11 7 9 3" xfId="20037"/>
    <cellStyle name="Normal 11 7 9 4" xfId="36491"/>
    <cellStyle name="Normal 11 8" xfId="264"/>
    <cellStyle name="Normal 11 8 10" xfId="5259"/>
    <cellStyle name="Normal 11 8 10 2" xfId="13484"/>
    <cellStyle name="Normal 11 8 10 2 2" xfId="29934"/>
    <cellStyle name="Normal 11 8 10 3" xfId="21709"/>
    <cellStyle name="Normal 11 8 10 4" xfId="38163"/>
    <cellStyle name="Normal 11 8 11" xfId="6904"/>
    <cellStyle name="Normal 11 8 11 2" xfId="15129"/>
    <cellStyle name="Normal 11 8 11 2 2" xfId="31579"/>
    <cellStyle name="Normal 11 8 11 3" xfId="23354"/>
    <cellStyle name="Normal 11 8 11 4" xfId="39808"/>
    <cellStyle name="Normal 11 8 12" xfId="8549"/>
    <cellStyle name="Normal 11 8 12 2" xfId="24999"/>
    <cellStyle name="Normal 11 8 13" xfId="16773"/>
    <cellStyle name="Normal 11 8 14" xfId="33226"/>
    <cellStyle name="Normal 11 8 15" xfId="41454"/>
    <cellStyle name="Normal 11 8 2" xfId="507"/>
    <cellStyle name="Normal 11 8 2 2" xfId="2202"/>
    <cellStyle name="Normal 11 8 2 2 2" xfId="10429"/>
    <cellStyle name="Normal 11 8 2 2 2 2" xfId="26879"/>
    <cellStyle name="Normal 11 8 2 2 3" xfId="18654"/>
    <cellStyle name="Normal 11 8 2 2 4" xfId="35108"/>
    <cellStyle name="Normal 11 8 2 3" xfId="3849"/>
    <cellStyle name="Normal 11 8 2 3 2" xfId="12074"/>
    <cellStyle name="Normal 11 8 2 3 2 2" xfId="28524"/>
    <cellStyle name="Normal 11 8 2 3 3" xfId="20299"/>
    <cellStyle name="Normal 11 8 2 3 4" xfId="36753"/>
    <cellStyle name="Normal 11 8 2 4" xfId="5494"/>
    <cellStyle name="Normal 11 8 2 4 2" xfId="13719"/>
    <cellStyle name="Normal 11 8 2 4 2 2" xfId="30169"/>
    <cellStyle name="Normal 11 8 2 4 3" xfId="21944"/>
    <cellStyle name="Normal 11 8 2 4 4" xfId="38398"/>
    <cellStyle name="Normal 11 8 2 5" xfId="7139"/>
    <cellStyle name="Normal 11 8 2 5 2" xfId="15364"/>
    <cellStyle name="Normal 11 8 2 5 2 2" xfId="31814"/>
    <cellStyle name="Normal 11 8 2 5 3" xfId="23589"/>
    <cellStyle name="Normal 11 8 2 5 4" xfId="40043"/>
    <cellStyle name="Normal 11 8 2 6" xfId="8784"/>
    <cellStyle name="Normal 11 8 2 6 2" xfId="25234"/>
    <cellStyle name="Normal 11 8 2 7" xfId="17008"/>
    <cellStyle name="Normal 11 8 2 8" xfId="33462"/>
    <cellStyle name="Normal 11 8 2 9" xfId="41689"/>
    <cellStyle name="Normal 11 8 3" xfId="744"/>
    <cellStyle name="Normal 11 8 3 2" xfId="2439"/>
    <cellStyle name="Normal 11 8 3 2 2" xfId="10664"/>
    <cellStyle name="Normal 11 8 3 2 2 2" xfId="27114"/>
    <cellStyle name="Normal 11 8 3 2 3" xfId="18889"/>
    <cellStyle name="Normal 11 8 3 2 4" xfId="35343"/>
    <cellStyle name="Normal 11 8 3 3" xfId="4084"/>
    <cellStyle name="Normal 11 8 3 3 2" xfId="12309"/>
    <cellStyle name="Normal 11 8 3 3 2 2" xfId="28759"/>
    <cellStyle name="Normal 11 8 3 3 3" xfId="20534"/>
    <cellStyle name="Normal 11 8 3 3 4" xfId="36988"/>
    <cellStyle name="Normal 11 8 3 4" xfId="5729"/>
    <cellStyle name="Normal 11 8 3 4 2" xfId="13954"/>
    <cellStyle name="Normal 11 8 3 4 2 2" xfId="30404"/>
    <cellStyle name="Normal 11 8 3 4 3" xfId="22179"/>
    <cellStyle name="Normal 11 8 3 4 4" xfId="38633"/>
    <cellStyle name="Normal 11 8 3 5" xfId="7374"/>
    <cellStyle name="Normal 11 8 3 5 2" xfId="15599"/>
    <cellStyle name="Normal 11 8 3 5 2 2" xfId="32049"/>
    <cellStyle name="Normal 11 8 3 5 3" xfId="23824"/>
    <cellStyle name="Normal 11 8 3 5 4" xfId="40278"/>
    <cellStyle name="Normal 11 8 3 6" xfId="9019"/>
    <cellStyle name="Normal 11 8 3 6 2" xfId="25469"/>
    <cellStyle name="Normal 11 8 3 7" xfId="17243"/>
    <cellStyle name="Normal 11 8 3 8" xfId="33697"/>
    <cellStyle name="Normal 11 8 3 9" xfId="41924"/>
    <cellStyle name="Normal 11 8 4" xfId="979"/>
    <cellStyle name="Normal 11 8 4 2" xfId="2674"/>
    <cellStyle name="Normal 11 8 4 2 2" xfId="10899"/>
    <cellStyle name="Normal 11 8 4 2 2 2" xfId="27349"/>
    <cellStyle name="Normal 11 8 4 2 3" xfId="19124"/>
    <cellStyle name="Normal 11 8 4 2 4" xfId="35578"/>
    <cellStyle name="Normal 11 8 4 3" xfId="4319"/>
    <cellStyle name="Normal 11 8 4 3 2" xfId="12544"/>
    <cellStyle name="Normal 11 8 4 3 2 2" xfId="28994"/>
    <cellStyle name="Normal 11 8 4 3 3" xfId="20769"/>
    <cellStyle name="Normal 11 8 4 3 4" xfId="37223"/>
    <cellStyle name="Normal 11 8 4 4" xfId="5964"/>
    <cellStyle name="Normal 11 8 4 4 2" xfId="14189"/>
    <cellStyle name="Normal 11 8 4 4 2 2" xfId="30639"/>
    <cellStyle name="Normal 11 8 4 4 3" xfId="22414"/>
    <cellStyle name="Normal 11 8 4 4 4" xfId="38868"/>
    <cellStyle name="Normal 11 8 4 5" xfId="7609"/>
    <cellStyle name="Normal 11 8 4 5 2" xfId="15834"/>
    <cellStyle name="Normal 11 8 4 5 2 2" xfId="32284"/>
    <cellStyle name="Normal 11 8 4 5 3" xfId="24059"/>
    <cellStyle name="Normal 11 8 4 5 4" xfId="40513"/>
    <cellStyle name="Normal 11 8 4 6" xfId="9254"/>
    <cellStyle name="Normal 11 8 4 6 2" xfId="25704"/>
    <cellStyle name="Normal 11 8 4 7" xfId="17478"/>
    <cellStyle name="Normal 11 8 4 8" xfId="33932"/>
    <cellStyle name="Normal 11 8 4 9" xfId="42159"/>
    <cellStyle name="Normal 11 8 5" xfId="1214"/>
    <cellStyle name="Normal 11 8 5 2" xfId="2909"/>
    <cellStyle name="Normal 11 8 5 2 2" xfId="11134"/>
    <cellStyle name="Normal 11 8 5 2 2 2" xfId="27584"/>
    <cellStyle name="Normal 11 8 5 2 3" xfId="19359"/>
    <cellStyle name="Normal 11 8 5 2 4" xfId="35813"/>
    <cellStyle name="Normal 11 8 5 3" xfId="4554"/>
    <cellStyle name="Normal 11 8 5 3 2" xfId="12779"/>
    <cellStyle name="Normal 11 8 5 3 2 2" xfId="29229"/>
    <cellStyle name="Normal 11 8 5 3 3" xfId="21004"/>
    <cellStyle name="Normal 11 8 5 3 4" xfId="37458"/>
    <cellStyle name="Normal 11 8 5 4" xfId="6199"/>
    <cellStyle name="Normal 11 8 5 4 2" xfId="14424"/>
    <cellStyle name="Normal 11 8 5 4 2 2" xfId="30874"/>
    <cellStyle name="Normal 11 8 5 4 3" xfId="22649"/>
    <cellStyle name="Normal 11 8 5 4 4" xfId="39103"/>
    <cellStyle name="Normal 11 8 5 5" xfId="7844"/>
    <cellStyle name="Normal 11 8 5 5 2" xfId="16069"/>
    <cellStyle name="Normal 11 8 5 5 2 2" xfId="32519"/>
    <cellStyle name="Normal 11 8 5 5 3" xfId="24294"/>
    <cellStyle name="Normal 11 8 5 5 4" xfId="40748"/>
    <cellStyle name="Normal 11 8 5 6" xfId="9489"/>
    <cellStyle name="Normal 11 8 5 6 2" xfId="25939"/>
    <cellStyle name="Normal 11 8 5 7" xfId="17713"/>
    <cellStyle name="Normal 11 8 5 8" xfId="34167"/>
    <cellStyle name="Normal 11 8 5 9" xfId="42394"/>
    <cellStyle name="Normal 11 8 6" xfId="1494"/>
    <cellStyle name="Normal 11 8 6 2" xfId="3144"/>
    <cellStyle name="Normal 11 8 6 2 2" xfId="11369"/>
    <cellStyle name="Normal 11 8 6 2 2 2" xfId="27819"/>
    <cellStyle name="Normal 11 8 6 2 3" xfId="19594"/>
    <cellStyle name="Normal 11 8 6 2 4" xfId="36048"/>
    <cellStyle name="Normal 11 8 6 3" xfId="4789"/>
    <cellStyle name="Normal 11 8 6 3 2" xfId="13014"/>
    <cellStyle name="Normal 11 8 6 3 2 2" xfId="29464"/>
    <cellStyle name="Normal 11 8 6 3 3" xfId="21239"/>
    <cellStyle name="Normal 11 8 6 3 4" xfId="37693"/>
    <cellStyle name="Normal 11 8 6 4" xfId="6434"/>
    <cellStyle name="Normal 11 8 6 4 2" xfId="14659"/>
    <cellStyle name="Normal 11 8 6 4 2 2" xfId="31109"/>
    <cellStyle name="Normal 11 8 6 4 3" xfId="22884"/>
    <cellStyle name="Normal 11 8 6 4 4" xfId="39338"/>
    <cellStyle name="Normal 11 8 6 5" xfId="8079"/>
    <cellStyle name="Normal 11 8 6 5 2" xfId="16304"/>
    <cellStyle name="Normal 11 8 6 5 2 2" xfId="32754"/>
    <cellStyle name="Normal 11 8 6 5 3" xfId="24529"/>
    <cellStyle name="Normal 11 8 6 5 4" xfId="40983"/>
    <cellStyle name="Normal 11 8 6 6" xfId="9724"/>
    <cellStyle name="Normal 11 8 6 6 2" xfId="26174"/>
    <cellStyle name="Normal 11 8 6 7" xfId="17948"/>
    <cellStyle name="Normal 11 8 6 8" xfId="34402"/>
    <cellStyle name="Normal 11 8 7" xfId="1729"/>
    <cellStyle name="Normal 11 8 7 2" xfId="3379"/>
    <cellStyle name="Normal 11 8 7 2 2" xfId="11604"/>
    <cellStyle name="Normal 11 8 7 2 2 2" xfId="28054"/>
    <cellStyle name="Normal 11 8 7 2 3" xfId="19829"/>
    <cellStyle name="Normal 11 8 7 2 4" xfId="36283"/>
    <cellStyle name="Normal 11 8 7 3" xfId="5024"/>
    <cellStyle name="Normal 11 8 7 3 2" xfId="13249"/>
    <cellStyle name="Normal 11 8 7 3 2 2" xfId="29699"/>
    <cellStyle name="Normal 11 8 7 3 3" xfId="21474"/>
    <cellStyle name="Normal 11 8 7 3 4" xfId="37928"/>
    <cellStyle name="Normal 11 8 7 4" xfId="6669"/>
    <cellStyle name="Normal 11 8 7 4 2" xfId="14894"/>
    <cellStyle name="Normal 11 8 7 4 2 2" xfId="31344"/>
    <cellStyle name="Normal 11 8 7 4 3" xfId="23119"/>
    <cellStyle name="Normal 11 8 7 4 4" xfId="39573"/>
    <cellStyle name="Normal 11 8 7 5" xfId="8314"/>
    <cellStyle name="Normal 11 8 7 5 2" xfId="16539"/>
    <cellStyle name="Normal 11 8 7 5 2 2" xfId="32989"/>
    <cellStyle name="Normal 11 8 7 5 3" xfId="24764"/>
    <cellStyle name="Normal 11 8 7 5 4" xfId="41218"/>
    <cellStyle name="Normal 11 8 7 6" xfId="9959"/>
    <cellStyle name="Normal 11 8 7 6 2" xfId="26409"/>
    <cellStyle name="Normal 11 8 7 7" xfId="18183"/>
    <cellStyle name="Normal 11 8 7 8" xfId="34637"/>
    <cellStyle name="Normal 11 8 8" xfId="1964"/>
    <cellStyle name="Normal 11 8 8 2" xfId="10194"/>
    <cellStyle name="Normal 11 8 8 2 2" xfId="26644"/>
    <cellStyle name="Normal 11 8 8 3" xfId="18418"/>
    <cellStyle name="Normal 11 8 8 4" xfId="34872"/>
    <cellStyle name="Normal 11 8 9" xfId="3614"/>
    <cellStyle name="Normal 11 8 9 2" xfId="11839"/>
    <cellStyle name="Normal 11 8 9 2 2" xfId="28289"/>
    <cellStyle name="Normal 11 8 9 3" xfId="20064"/>
    <cellStyle name="Normal 11 8 9 4" xfId="36518"/>
    <cellStyle name="Normal 11 9" xfId="293"/>
    <cellStyle name="Normal 11 9 2" xfId="1994"/>
    <cellStyle name="Normal 11 9 2 2" xfId="10221"/>
    <cellStyle name="Normal 11 9 2 2 2" xfId="26671"/>
    <cellStyle name="Normal 11 9 2 3" xfId="18446"/>
    <cellStyle name="Normal 11 9 2 4" xfId="34900"/>
    <cellStyle name="Normal 11 9 3" xfId="3641"/>
    <cellStyle name="Normal 11 9 3 2" xfId="11866"/>
    <cellStyle name="Normal 11 9 3 2 2" xfId="28316"/>
    <cellStyle name="Normal 11 9 3 3" xfId="20091"/>
    <cellStyle name="Normal 11 9 3 4" xfId="36545"/>
    <cellStyle name="Normal 11 9 4" xfId="5286"/>
    <cellStyle name="Normal 11 9 4 2" xfId="13511"/>
    <cellStyle name="Normal 11 9 4 2 2" xfId="29961"/>
    <cellStyle name="Normal 11 9 4 3" xfId="21736"/>
    <cellStyle name="Normal 11 9 4 4" xfId="38190"/>
    <cellStyle name="Normal 11 9 5" xfId="6931"/>
    <cellStyle name="Normal 11 9 5 2" xfId="15156"/>
    <cellStyle name="Normal 11 9 5 2 2" xfId="31606"/>
    <cellStyle name="Normal 11 9 5 3" xfId="23381"/>
    <cellStyle name="Normal 11 9 5 4" xfId="39835"/>
    <cellStyle name="Normal 11 9 6" xfId="8576"/>
    <cellStyle name="Normal 11 9 6 2" xfId="25026"/>
    <cellStyle name="Normal 11 9 7" xfId="16800"/>
    <cellStyle name="Normal 11 9 8" xfId="33254"/>
    <cellStyle name="Normal 11 9 9" xfId="41481"/>
    <cellStyle name="Normal 12" xfId="52"/>
    <cellStyle name="Normal 12 10" xfId="538"/>
    <cellStyle name="Normal 12 10 2" xfId="2233"/>
    <cellStyle name="Normal 12 10 2 2" xfId="10458"/>
    <cellStyle name="Normal 12 10 2 2 2" xfId="26908"/>
    <cellStyle name="Normal 12 10 2 3" xfId="18683"/>
    <cellStyle name="Normal 12 10 2 4" xfId="35137"/>
    <cellStyle name="Normal 12 10 3" xfId="3878"/>
    <cellStyle name="Normal 12 10 3 2" xfId="12103"/>
    <cellStyle name="Normal 12 10 3 2 2" xfId="28553"/>
    <cellStyle name="Normal 12 10 3 3" xfId="20328"/>
    <cellStyle name="Normal 12 10 3 4" xfId="36782"/>
    <cellStyle name="Normal 12 10 4" xfId="5523"/>
    <cellStyle name="Normal 12 10 4 2" xfId="13748"/>
    <cellStyle name="Normal 12 10 4 2 2" xfId="30198"/>
    <cellStyle name="Normal 12 10 4 3" xfId="21973"/>
    <cellStyle name="Normal 12 10 4 4" xfId="38427"/>
    <cellStyle name="Normal 12 10 5" xfId="7168"/>
    <cellStyle name="Normal 12 10 5 2" xfId="15393"/>
    <cellStyle name="Normal 12 10 5 2 2" xfId="31843"/>
    <cellStyle name="Normal 12 10 5 3" xfId="23618"/>
    <cellStyle name="Normal 12 10 5 4" xfId="40072"/>
    <cellStyle name="Normal 12 10 6" xfId="8813"/>
    <cellStyle name="Normal 12 10 6 2" xfId="25263"/>
    <cellStyle name="Normal 12 10 7" xfId="17037"/>
    <cellStyle name="Normal 12 10 8" xfId="33491"/>
    <cellStyle name="Normal 12 10 9" xfId="41718"/>
    <cellStyle name="Normal 12 11" xfId="773"/>
    <cellStyle name="Normal 12 11 2" xfId="2468"/>
    <cellStyle name="Normal 12 11 2 2" xfId="10693"/>
    <cellStyle name="Normal 12 11 2 2 2" xfId="27143"/>
    <cellStyle name="Normal 12 11 2 3" xfId="18918"/>
    <cellStyle name="Normal 12 11 2 4" xfId="35372"/>
    <cellStyle name="Normal 12 11 3" xfId="4113"/>
    <cellStyle name="Normal 12 11 3 2" xfId="12338"/>
    <cellStyle name="Normal 12 11 3 2 2" xfId="28788"/>
    <cellStyle name="Normal 12 11 3 3" xfId="20563"/>
    <cellStyle name="Normal 12 11 3 4" xfId="37017"/>
    <cellStyle name="Normal 12 11 4" xfId="5758"/>
    <cellStyle name="Normal 12 11 4 2" xfId="13983"/>
    <cellStyle name="Normal 12 11 4 2 2" xfId="30433"/>
    <cellStyle name="Normal 12 11 4 3" xfId="22208"/>
    <cellStyle name="Normal 12 11 4 4" xfId="38662"/>
    <cellStyle name="Normal 12 11 5" xfId="7403"/>
    <cellStyle name="Normal 12 11 5 2" xfId="15628"/>
    <cellStyle name="Normal 12 11 5 2 2" xfId="32078"/>
    <cellStyle name="Normal 12 11 5 3" xfId="23853"/>
    <cellStyle name="Normal 12 11 5 4" xfId="40307"/>
    <cellStyle name="Normal 12 11 6" xfId="9048"/>
    <cellStyle name="Normal 12 11 6 2" xfId="25498"/>
    <cellStyle name="Normal 12 11 7" xfId="17272"/>
    <cellStyle name="Normal 12 11 8" xfId="33726"/>
    <cellStyle name="Normal 12 11 9" xfId="41953"/>
    <cellStyle name="Normal 12 12" xfId="1008"/>
    <cellStyle name="Normal 12 12 2" xfId="2703"/>
    <cellStyle name="Normal 12 12 2 2" xfId="10928"/>
    <cellStyle name="Normal 12 12 2 2 2" xfId="27378"/>
    <cellStyle name="Normal 12 12 2 3" xfId="19153"/>
    <cellStyle name="Normal 12 12 2 4" xfId="35607"/>
    <cellStyle name="Normal 12 12 3" xfId="4348"/>
    <cellStyle name="Normal 12 12 3 2" xfId="12573"/>
    <cellStyle name="Normal 12 12 3 2 2" xfId="29023"/>
    <cellStyle name="Normal 12 12 3 3" xfId="20798"/>
    <cellStyle name="Normal 12 12 3 4" xfId="37252"/>
    <cellStyle name="Normal 12 12 4" xfId="5993"/>
    <cellStyle name="Normal 12 12 4 2" xfId="14218"/>
    <cellStyle name="Normal 12 12 4 2 2" xfId="30668"/>
    <cellStyle name="Normal 12 12 4 3" xfId="22443"/>
    <cellStyle name="Normal 12 12 4 4" xfId="38897"/>
    <cellStyle name="Normal 12 12 5" xfId="7638"/>
    <cellStyle name="Normal 12 12 5 2" xfId="15863"/>
    <cellStyle name="Normal 12 12 5 2 2" xfId="32313"/>
    <cellStyle name="Normal 12 12 5 3" xfId="24088"/>
    <cellStyle name="Normal 12 12 5 4" xfId="40542"/>
    <cellStyle name="Normal 12 12 6" xfId="9283"/>
    <cellStyle name="Normal 12 12 6 2" xfId="25733"/>
    <cellStyle name="Normal 12 12 7" xfId="17507"/>
    <cellStyle name="Normal 12 12 8" xfId="33961"/>
    <cellStyle name="Normal 12 12 9" xfId="42188"/>
    <cellStyle name="Normal 12 13" xfId="1288"/>
    <cellStyle name="Normal 12 13 2" xfId="2938"/>
    <cellStyle name="Normal 12 13 2 2" xfId="11163"/>
    <cellStyle name="Normal 12 13 2 2 2" xfId="27613"/>
    <cellStyle name="Normal 12 13 2 3" xfId="19388"/>
    <cellStyle name="Normal 12 13 2 4" xfId="35842"/>
    <cellStyle name="Normal 12 13 3" xfId="4583"/>
    <cellStyle name="Normal 12 13 3 2" xfId="12808"/>
    <cellStyle name="Normal 12 13 3 2 2" xfId="29258"/>
    <cellStyle name="Normal 12 13 3 3" xfId="21033"/>
    <cellStyle name="Normal 12 13 3 4" xfId="37487"/>
    <cellStyle name="Normal 12 13 4" xfId="6228"/>
    <cellStyle name="Normal 12 13 4 2" xfId="14453"/>
    <cellStyle name="Normal 12 13 4 2 2" xfId="30903"/>
    <cellStyle name="Normal 12 13 4 3" xfId="22678"/>
    <cellStyle name="Normal 12 13 4 4" xfId="39132"/>
    <cellStyle name="Normal 12 13 5" xfId="7873"/>
    <cellStyle name="Normal 12 13 5 2" xfId="16098"/>
    <cellStyle name="Normal 12 13 5 2 2" xfId="32548"/>
    <cellStyle name="Normal 12 13 5 3" xfId="24323"/>
    <cellStyle name="Normal 12 13 5 4" xfId="40777"/>
    <cellStyle name="Normal 12 13 6" xfId="9518"/>
    <cellStyle name="Normal 12 13 6 2" xfId="25968"/>
    <cellStyle name="Normal 12 13 7" xfId="17742"/>
    <cellStyle name="Normal 12 13 8" xfId="34196"/>
    <cellStyle name="Normal 12 14" xfId="1523"/>
    <cellStyle name="Normal 12 14 2" xfId="3173"/>
    <cellStyle name="Normal 12 14 2 2" xfId="11398"/>
    <cellStyle name="Normal 12 14 2 2 2" xfId="27848"/>
    <cellStyle name="Normal 12 14 2 3" xfId="19623"/>
    <cellStyle name="Normal 12 14 2 4" xfId="36077"/>
    <cellStyle name="Normal 12 14 3" xfId="4818"/>
    <cellStyle name="Normal 12 14 3 2" xfId="13043"/>
    <cellStyle name="Normal 12 14 3 2 2" xfId="29493"/>
    <cellStyle name="Normal 12 14 3 3" xfId="21268"/>
    <cellStyle name="Normal 12 14 3 4" xfId="37722"/>
    <cellStyle name="Normal 12 14 4" xfId="6463"/>
    <cellStyle name="Normal 12 14 4 2" xfId="14688"/>
    <cellStyle name="Normal 12 14 4 2 2" xfId="31138"/>
    <cellStyle name="Normal 12 14 4 3" xfId="22913"/>
    <cellStyle name="Normal 12 14 4 4" xfId="39367"/>
    <cellStyle name="Normal 12 14 5" xfId="8108"/>
    <cellStyle name="Normal 12 14 5 2" xfId="16333"/>
    <cellStyle name="Normal 12 14 5 2 2" xfId="32783"/>
    <cellStyle name="Normal 12 14 5 3" xfId="24558"/>
    <cellStyle name="Normal 12 14 5 4" xfId="41012"/>
    <cellStyle name="Normal 12 14 6" xfId="9753"/>
    <cellStyle name="Normal 12 14 6 2" xfId="26203"/>
    <cellStyle name="Normal 12 14 7" xfId="17977"/>
    <cellStyle name="Normal 12 14 8" xfId="34431"/>
    <cellStyle name="Normal 12 15" xfId="1758"/>
    <cellStyle name="Normal 12 15 2" xfId="9988"/>
    <cellStyle name="Normal 12 15 2 2" xfId="26438"/>
    <cellStyle name="Normal 12 15 3" xfId="18212"/>
    <cellStyle name="Normal 12 15 4" xfId="34666"/>
    <cellStyle name="Normal 12 16" xfId="3408"/>
    <cellStyle name="Normal 12 16 2" xfId="11633"/>
    <cellStyle name="Normal 12 16 2 2" xfId="28083"/>
    <cellStyle name="Normal 12 16 3" xfId="19858"/>
    <cellStyle name="Normal 12 16 4" xfId="36312"/>
    <cellStyle name="Normal 12 17" xfId="5053"/>
    <cellStyle name="Normal 12 17 2" xfId="13278"/>
    <cellStyle name="Normal 12 17 2 2" xfId="29728"/>
    <cellStyle name="Normal 12 17 3" xfId="21503"/>
    <cellStyle name="Normal 12 17 4" xfId="37957"/>
    <cellStyle name="Normal 12 18" xfId="6698"/>
    <cellStyle name="Normal 12 18 2" xfId="14923"/>
    <cellStyle name="Normal 12 18 2 2" xfId="31373"/>
    <cellStyle name="Normal 12 18 3" xfId="23148"/>
    <cellStyle name="Normal 12 18 4" xfId="39602"/>
    <cellStyle name="Normal 12 19" xfId="8343"/>
    <cellStyle name="Normal 12 19 2" xfId="24793"/>
    <cellStyle name="Normal 12 2" xfId="79"/>
    <cellStyle name="Normal 12 2 10" xfId="3433"/>
    <cellStyle name="Normal 12 2 10 2" xfId="11658"/>
    <cellStyle name="Normal 12 2 10 2 2" xfId="28108"/>
    <cellStyle name="Normal 12 2 10 3" xfId="19883"/>
    <cellStyle name="Normal 12 2 10 4" xfId="36337"/>
    <cellStyle name="Normal 12 2 11" xfId="5078"/>
    <cellStyle name="Normal 12 2 11 2" xfId="13303"/>
    <cellStyle name="Normal 12 2 11 2 2" xfId="29753"/>
    <cellStyle name="Normal 12 2 11 3" xfId="21528"/>
    <cellStyle name="Normal 12 2 11 4" xfId="37982"/>
    <cellStyle name="Normal 12 2 12" xfId="6723"/>
    <cellStyle name="Normal 12 2 12 2" xfId="14948"/>
    <cellStyle name="Normal 12 2 12 2 2" xfId="31398"/>
    <cellStyle name="Normal 12 2 12 3" xfId="23173"/>
    <cellStyle name="Normal 12 2 12 4" xfId="39627"/>
    <cellStyle name="Normal 12 2 13" xfId="8368"/>
    <cellStyle name="Normal 12 2 13 2" xfId="24818"/>
    <cellStyle name="Normal 12 2 14" xfId="16592"/>
    <cellStyle name="Normal 12 2 15" xfId="33045"/>
    <cellStyle name="Normal 12 2 16" xfId="41273"/>
    <cellStyle name="Normal 12 2 2" xfId="129"/>
    <cellStyle name="Normal 12 2 2 10" xfId="5128"/>
    <cellStyle name="Normal 12 2 2 10 2" xfId="13353"/>
    <cellStyle name="Normal 12 2 2 10 2 2" xfId="29803"/>
    <cellStyle name="Normal 12 2 2 10 3" xfId="21578"/>
    <cellStyle name="Normal 12 2 2 10 4" xfId="38032"/>
    <cellStyle name="Normal 12 2 2 11" xfId="6773"/>
    <cellStyle name="Normal 12 2 2 11 2" xfId="14998"/>
    <cellStyle name="Normal 12 2 2 11 2 2" xfId="31448"/>
    <cellStyle name="Normal 12 2 2 11 3" xfId="23223"/>
    <cellStyle name="Normal 12 2 2 11 4" xfId="39677"/>
    <cellStyle name="Normal 12 2 2 12" xfId="8418"/>
    <cellStyle name="Normal 12 2 2 12 2" xfId="24868"/>
    <cellStyle name="Normal 12 2 2 13" xfId="16642"/>
    <cellStyle name="Normal 12 2 2 14" xfId="33095"/>
    <cellStyle name="Normal 12 2 2 15" xfId="41323"/>
    <cellStyle name="Normal 12 2 2 2" xfId="372"/>
    <cellStyle name="Normal 12 2 2 2 2" xfId="2071"/>
    <cellStyle name="Normal 12 2 2 2 2 2" xfId="10298"/>
    <cellStyle name="Normal 12 2 2 2 2 2 2" xfId="26748"/>
    <cellStyle name="Normal 12 2 2 2 2 3" xfId="18523"/>
    <cellStyle name="Normal 12 2 2 2 2 4" xfId="34977"/>
    <cellStyle name="Normal 12 2 2 2 3" xfId="3718"/>
    <cellStyle name="Normal 12 2 2 2 3 2" xfId="11943"/>
    <cellStyle name="Normal 12 2 2 2 3 2 2" xfId="28393"/>
    <cellStyle name="Normal 12 2 2 2 3 3" xfId="20168"/>
    <cellStyle name="Normal 12 2 2 2 3 4" xfId="36622"/>
    <cellStyle name="Normal 12 2 2 2 4" xfId="5363"/>
    <cellStyle name="Normal 12 2 2 2 4 2" xfId="13588"/>
    <cellStyle name="Normal 12 2 2 2 4 2 2" xfId="30038"/>
    <cellStyle name="Normal 12 2 2 2 4 3" xfId="21813"/>
    <cellStyle name="Normal 12 2 2 2 4 4" xfId="38267"/>
    <cellStyle name="Normal 12 2 2 2 5" xfId="7008"/>
    <cellStyle name="Normal 12 2 2 2 5 2" xfId="15233"/>
    <cellStyle name="Normal 12 2 2 2 5 2 2" xfId="31683"/>
    <cellStyle name="Normal 12 2 2 2 5 3" xfId="23458"/>
    <cellStyle name="Normal 12 2 2 2 5 4" xfId="39912"/>
    <cellStyle name="Normal 12 2 2 2 6" xfId="8653"/>
    <cellStyle name="Normal 12 2 2 2 6 2" xfId="25103"/>
    <cellStyle name="Normal 12 2 2 2 7" xfId="16877"/>
    <cellStyle name="Normal 12 2 2 2 8" xfId="33331"/>
    <cellStyle name="Normal 12 2 2 2 9" xfId="41558"/>
    <cellStyle name="Normal 12 2 2 3" xfId="613"/>
    <cellStyle name="Normal 12 2 2 3 2" xfId="2308"/>
    <cellStyle name="Normal 12 2 2 3 2 2" xfId="10533"/>
    <cellStyle name="Normal 12 2 2 3 2 2 2" xfId="26983"/>
    <cellStyle name="Normal 12 2 2 3 2 3" xfId="18758"/>
    <cellStyle name="Normal 12 2 2 3 2 4" xfId="35212"/>
    <cellStyle name="Normal 12 2 2 3 3" xfId="3953"/>
    <cellStyle name="Normal 12 2 2 3 3 2" xfId="12178"/>
    <cellStyle name="Normal 12 2 2 3 3 2 2" xfId="28628"/>
    <cellStyle name="Normal 12 2 2 3 3 3" xfId="20403"/>
    <cellStyle name="Normal 12 2 2 3 3 4" xfId="36857"/>
    <cellStyle name="Normal 12 2 2 3 4" xfId="5598"/>
    <cellStyle name="Normal 12 2 2 3 4 2" xfId="13823"/>
    <cellStyle name="Normal 12 2 2 3 4 2 2" xfId="30273"/>
    <cellStyle name="Normal 12 2 2 3 4 3" xfId="22048"/>
    <cellStyle name="Normal 12 2 2 3 4 4" xfId="38502"/>
    <cellStyle name="Normal 12 2 2 3 5" xfId="7243"/>
    <cellStyle name="Normal 12 2 2 3 5 2" xfId="15468"/>
    <cellStyle name="Normal 12 2 2 3 5 2 2" xfId="31918"/>
    <cellStyle name="Normal 12 2 2 3 5 3" xfId="23693"/>
    <cellStyle name="Normal 12 2 2 3 5 4" xfId="40147"/>
    <cellStyle name="Normal 12 2 2 3 6" xfId="8888"/>
    <cellStyle name="Normal 12 2 2 3 6 2" xfId="25338"/>
    <cellStyle name="Normal 12 2 2 3 7" xfId="17112"/>
    <cellStyle name="Normal 12 2 2 3 8" xfId="33566"/>
    <cellStyle name="Normal 12 2 2 3 9" xfId="41793"/>
    <cellStyle name="Normal 12 2 2 4" xfId="848"/>
    <cellStyle name="Normal 12 2 2 4 2" xfId="2543"/>
    <cellStyle name="Normal 12 2 2 4 2 2" xfId="10768"/>
    <cellStyle name="Normal 12 2 2 4 2 2 2" xfId="27218"/>
    <cellStyle name="Normal 12 2 2 4 2 3" xfId="18993"/>
    <cellStyle name="Normal 12 2 2 4 2 4" xfId="35447"/>
    <cellStyle name="Normal 12 2 2 4 3" xfId="4188"/>
    <cellStyle name="Normal 12 2 2 4 3 2" xfId="12413"/>
    <cellStyle name="Normal 12 2 2 4 3 2 2" xfId="28863"/>
    <cellStyle name="Normal 12 2 2 4 3 3" xfId="20638"/>
    <cellStyle name="Normal 12 2 2 4 3 4" xfId="37092"/>
    <cellStyle name="Normal 12 2 2 4 4" xfId="5833"/>
    <cellStyle name="Normal 12 2 2 4 4 2" xfId="14058"/>
    <cellStyle name="Normal 12 2 2 4 4 2 2" xfId="30508"/>
    <cellStyle name="Normal 12 2 2 4 4 3" xfId="22283"/>
    <cellStyle name="Normal 12 2 2 4 4 4" xfId="38737"/>
    <cellStyle name="Normal 12 2 2 4 5" xfId="7478"/>
    <cellStyle name="Normal 12 2 2 4 5 2" xfId="15703"/>
    <cellStyle name="Normal 12 2 2 4 5 2 2" xfId="32153"/>
    <cellStyle name="Normal 12 2 2 4 5 3" xfId="23928"/>
    <cellStyle name="Normal 12 2 2 4 5 4" xfId="40382"/>
    <cellStyle name="Normal 12 2 2 4 6" xfId="9123"/>
    <cellStyle name="Normal 12 2 2 4 6 2" xfId="25573"/>
    <cellStyle name="Normal 12 2 2 4 7" xfId="17347"/>
    <cellStyle name="Normal 12 2 2 4 8" xfId="33801"/>
    <cellStyle name="Normal 12 2 2 4 9" xfId="42028"/>
    <cellStyle name="Normal 12 2 2 5" xfId="1083"/>
    <cellStyle name="Normal 12 2 2 5 2" xfId="2778"/>
    <cellStyle name="Normal 12 2 2 5 2 2" xfId="11003"/>
    <cellStyle name="Normal 12 2 2 5 2 2 2" xfId="27453"/>
    <cellStyle name="Normal 12 2 2 5 2 3" xfId="19228"/>
    <cellStyle name="Normal 12 2 2 5 2 4" xfId="35682"/>
    <cellStyle name="Normal 12 2 2 5 3" xfId="4423"/>
    <cellStyle name="Normal 12 2 2 5 3 2" xfId="12648"/>
    <cellStyle name="Normal 12 2 2 5 3 2 2" xfId="29098"/>
    <cellStyle name="Normal 12 2 2 5 3 3" xfId="20873"/>
    <cellStyle name="Normal 12 2 2 5 3 4" xfId="37327"/>
    <cellStyle name="Normal 12 2 2 5 4" xfId="6068"/>
    <cellStyle name="Normal 12 2 2 5 4 2" xfId="14293"/>
    <cellStyle name="Normal 12 2 2 5 4 2 2" xfId="30743"/>
    <cellStyle name="Normal 12 2 2 5 4 3" xfId="22518"/>
    <cellStyle name="Normal 12 2 2 5 4 4" xfId="38972"/>
    <cellStyle name="Normal 12 2 2 5 5" xfId="7713"/>
    <cellStyle name="Normal 12 2 2 5 5 2" xfId="15938"/>
    <cellStyle name="Normal 12 2 2 5 5 2 2" xfId="32388"/>
    <cellStyle name="Normal 12 2 2 5 5 3" xfId="24163"/>
    <cellStyle name="Normal 12 2 2 5 5 4" xfId="40617"/>
    <cellStyle name="Normal 12 2 2 5 6" xfId="9358"/>
    <cellStyle name="Normal 12 2 2 5 6 2" xfId="25808"/>
    <cellStyle name="Normal 12 2 2 5 7" xfId="17582"/>
    <cellStyle name="Normal 12 2 2 5 8" xfId="34036"/>
    <cellStyle name="Normal 12 2 2 5 9" xfId="42263"/>
    <cellStyle name="Normal 12 2 2 6" xfId="1363"/>
    <cellStyle name="Normal 12 2 2 6 2" xfId="3013"/>
    <cellStyle name="Normal 12 2 2 6 2 2" xfId="11238"/>
    <cellStyle name="Normal 12 2 2 6 2 2 2" xfId="27688"/>
    <cellStyle name="Normal 12 2 2 6 2 3" xfId="19463"/>
    <cellStyle name="Normal 12 2 2 6 2 4" xfId="35917"/>
    <cellStyle name="Normal 12 2 2 6 3" xfId="4658"/>
    <cellStyle name="Normal 12 2 2 6 3 2" xfId="12883"/>
    <cellStyle name="Normal 12 2 2 6 3 2 2" xfId="29333"/>
    <cellStyle name="Normal 12 2 2 6 3 3" xfId="21108"/>
    <cellStyle name="Normal 12 2 2 6 3 4" xfId="37562"/>
    <cellStyle name="Normal 12 2 2 6 4" xfId="6303"/>
    <cellStyle name="Normal 12 2 2 6 4 2" xfId="14528"/>
    <cellStyle name="Normal 12 2 2 6 4 2 2" xfId="30978"/>
    <cellStyle name="Normal 12 2 2 6 4 3" xfId="22753"/>
    <cellStyle name="Normal 12 2 2 6 4 4" xfId="39207"/>
    <cellStyle name="Normal 12 2 2 6 5" xfId="7948"/>
    <cellStyle name="Normal 12 2 2 6 5 2" xfId="16173"/>
    <cellStyle name="Normal 12 2 2 6 5 2 2" xfId="32623"/>
    <cellStyle name="Normal 12 2 2 6 5 3" xfId="24398"/>
    <cellStyle name="Normal 12 2 2 6 5 4" xfId="40852"/>
    <cellStyle name="Normal 12 2 2 6 6" xfId="9593"/>
    <cellStyle name="Normal 12 2 2 6 6 2" xfId="26043"/>
    <cellStyle name="Normal 12 2 2 6 7" xfId="17817"/>
    <cellStyle name="Normal 12 2 2 6 8" xfId="34271"/>
    <cellStyle name="Normal 12 2 2 7" xfId="1598"/>
    <cellStyle name="Normal 12 2 2 7 2" xfId="3248"/>
    <cellStyle name="Normal 12 2 2 7 2 2" xfId="11473"/>
    <cellStyle name="Normal 12 2 2 7 2 2 2" xfId="27923"/>
    <cellStyle name="Normal 12 2 2 7 2 3" xfId="19698"/>
    <cellStyle name="Normal 12 2 2 7 2 4" xfId="36152"/>
    <cellStyle name="Normal 12 2 2 7 3" xfId="4893"/>
    <cellStyle name="Normal 12 2 2 7 3 2" xfId="13118"/>
    <cellStyle name="Normal 12 2 2 7 3 2 2" xfId="29568"/>
    <cellStyle name="Normal 12 2 2 7 3 3" xfId="21343"/>
    <cellStyle name="Normal 12 2 2 7 3 4" xfId="37797"/>
    <cellStyle name="Normal 12 2 2 7 4" xfId="6538"/>
    <cellStyle name="Normal 12 2 2 7 4 2" xfId="14763"/>
    <cellStyle name="Normal 12 2 2 7 4 2 2" xfId="31213"/>
    <cellStyle name="Normal 12 2 2 7 4 3" xfId="22988"/>
    <cellStyle name="Normal 12 2 2 7 4 4" xfId="39442"/>
    <cellStyle name="Normal 12 2 2 7 5" xfId="8183"/>
    <cellStyle name="Normal 12 2 2 7 5 2" xfId="16408"/>
    <cellStyle name="Normal 12 2 2 7 5 2 2" xfId="32858"/>
    <cellStyle name="Normal 12 2 2 7 5 3" xfId="24633"/>
    <cellStyle name="Normal 12 2 2 7 5 4" xfId="41087"/>
    <cellStyle name="Normal 12 2 2 7 6" xfId="9828"/>
    <cellStyle name="Normal 12 2 2 7 6 2" xfId="26278"/>
    <cellStyle name="Normal 12 2 2 7 7" xfId="18052"/>
    <cellStyle name="Normal 12 2 2 7 8" xfId="34506"/>
    <cellStyle name="Normal 12 2 2 8" xfId="1833"/>
    <cellStyle name="Normal 12 2 2 8 2" xfId="10063"/>
    <cellStyle name="Normal 12 2 2 8 2 2" xfId="26513"/>
    <cellStyle name="Normal 12 2 2 8 3" xfId="18287"/>
    <cellStyle name="Normal 12 2 2 8 4" xfId="34741"/>
    <cellStyle name="Normal 12 2 2 9" xfId="3483"/>
    <cellStyle name="Normal 12 2 2 9 2" xfId="11708"/>
    <cellStyle name="Normal 12 2 2 9 2 2" xfId="28158"/>
    <cellStyle name="Normal 12 2 2 9 3" xfId="19933"/>
    <cellStyle name="Normal 12 2 2 9 4" xfId="36387"/>
    <cellStyle name="Normal 12 2 3" xfId="322"/>
    <cellStyle name="Normal 12 2 3 2" xfId="2021"/>
    <cellStyle name="Normal 12 2 3 2 2" xfId="10248"/>
    <cellStyle name="Normal 12 2 3 2 2 2" xfId="26698"/>
    <cellStyle name="Normal 12 2 3 2 3" xfId="18473"/>
    <cellStyle name="Normal 12 2 3 2 4" xfId="34927"/>
    <cellStyle name="Normal 12 2 3 3" xfId="3668"/>
    <cellStyle name="Normal 12 2 3 3 2" xfId="11893"/>
    <cellStyle name="Normal 12 2 3 3 2 2" xfId="28343"/>
    <cellStyle name="Normal 12 2 3 3 3" xfId="20118"/>
    <cellStyle name="Normal 12 2 3 3 4" xfId="36572"/>
    <cellStyle name="Normal 12 2 3 4" xfId="5313"/>
    <cellStyle name="Normal 12 2 3 4 2" xfId="13538"/>
    <cellStyle name="Normal 12 2 3 4 2 2" xfId="29988"/>
    <cellStyle name="Normal 12 2 3 4 3" xfId="21763"/>
    <cellStyle name="Normal 12 2 3 4 4" xfId="38217"/>
    <cellStyle name="Normal 12 2 3 5" xfId="6958"/>
    <cellStyle name="Normal 12 2 3 5 2" xfId="15183"/>
    <cellStyle name="Normal 12 2 3 5 2 2" xfId="31633"/>
    <cellStyle name="Normal 12 2 3 5 3" xfId="23408"/>
    <cellStyle name="Normal 12 2 3 5 4" xfId="39862"/>
    <cellStyle name="Normal 12 2 3 6" xfId="8603"/>
    <cellStyle name="Normal 12 2 3 6 2" xfId="25053"/>
    <cellStyle name="Normal 12 2 3 7" xfId="16827"/>
    <cellStyle name="Normal 12 2 3 8" xfId="33281"/>
    <cellStyle name="Normal 12 2 3 9" xfId="41508"/>
    <cellStyle name="Normal 12 2 4" xfId="563"/>
    <cellStyle name="Normal 12 2 4 2" xfId="2258"/>
    <cellStyle name="Normal 12 2 4 2 2" xfId="10483"/>
    <cellStyle name="Normal 12 2 4 2 2 2" xfId="26933"/>
    <cellStyle name="Normal 12 2 4 2 3" xfId="18708"/>
    <cellStyle name="Normal 12 2 4 2 4" xfId="35162"/>
    <cellStyle name="Normal 12 2 4 3" xfId="3903"/>
    <cellStyle name="Normal 12 2 4 3 2" xfId="12128"/>
    <cellStyle name="Normal 12 2 4 3 2 2" xfId="28578"/>
    <cellStyle name="Normal 12 2 4 3 3" xfId="20353"/>
    <cellStyle name="Normal 12 2 4 3 4" xfId="36807"/>
    <cellStyle name="Normal 12 2 4 4" xfId="5548"/>
    <cellStyle name="Normal 12 2 4 4 2" xfId="13773"/>
    <cellStyle name="Normal 12 2 4 4 2 2" xfId="30223"/>
    <cellStyle name="Normal 12 2 4 4 3" xfId="21998"/>
    <cellStyle name="Normal 12 2 4 4 4" xfId="38452"/>
    <cellStyle name="Normal 12 2 4 5" xfId="7193"/>
    <cellStyle name="Normal 12 2 4 5 2" xfId="15418"/>
    <cellStyle name="Normal 12 2 4 5 2 2" xfId="31868"/>
    <cellStyle name="Normal 12 2 4 5 3" xfId="23643"/>
    <cellStyle name="Normal 12 2 4 5 4" xfId="40097"/>
    <cellStyle name="Normal 12 2 4 6" xfId="8838"/>
    <cellStyle name="Normal 12 2 4 6 2" xfId="25288"/>
    <cellStyle name="Normal 12 2 4 7" xfId="17062"/>
    <cellStyle name="Normal 12 2 4 8" xfId="33516"/>
    <cellStyle name="Normal 12 2 4 9" xfId="41743"/>
    <cellStyle name="Normal 12 2 5" xfId="798"/>
    <cellStyle name="Normal 12 2 5 2" xfId="2493"/>
    <cellStyle name="Normal 12 2 5 2 2" xfId="10718"/>
    <cellStyle name="Normal 12 2 5 2 2 2" xfId="27168"/>
    <cellStyle name="Normal 12 2 5 2 3" xfId="18943"/>
    <cellStyle name="Normal 12 2 5 2 4" xfId="35397"/>
    <cellStyle name="Normal 12 2 5 3" xfId="4138"/>
    <cellStyle name="Normal 12 2 5 3 2" xfId="12363"/>
    <cellStyle name="Normal 12 2 5 3 2 2" xfId="28813"/>
    <cellStyle name="Normal 12 2 5 3 3" xfId="20588"/>
    <cellStyle name="Normal 12 2 5 3 4" xfId="37042"/>
    <cellStyle name="Normal 12 2 5 4" xfId="5783"/>
    <cellStyle name="Normal 12 2 5 4 2" xfId="14008"/>
    <cellStyle name="Normal 12 2 5 4 2 2" xfId="30458"/>
    <cellStyle name="Normal 12 2 5 4 3" xfId="22233"/>
    <cellStyle name="Normal 12 2 5 4 4" xfId="38687"/>
    <cellStyle name="Normal 12 2 5 5" xfId="7428"/>
    <cellStyle name="Normal 12 2 5 5 2" xfId="15653"/>
    <cellStyle name="Normal 12 2 5 5 2 2" xfId="32103"/>
    <cellStyle name="Normal 12 2 5 5 3" xfId="23878"/>
    <cellStyle name="Normal 12 2 5 5 4" xfId="40332"/>
    <cellStyle name="Normal 12 2 5 6" xfId="9073"/>
    <cellStyle name="Normal 12 2 5 6 2" xfId="25523"/>
    <cellStyle name="Normal 12 2 5 7" xfId="17297"/>
    <cellStyle name="Normal 12 2 5 8" xfId="33751"/>
    <cellStyle name="Normal 12 2 5 9" xfId="41978"/>
    <cellStyle name="Normal 12 2 6" xfId="1033"/>
    <cellStyle name="Normal 12 2 6 2" xfId="2728"/>
    <cellStyle name="Normal 12 2 6 2 2" xfId="10953"/>
    <cellStyle name="Normal 12 2 6 2 2 2" xfId="27403"/>
    <cellStyle name="Normal 12 2 6 2 3" xfId="19178"/>
    <cellStyle name="Normal 12 2 6 2 4" xfId="35632"/>
    <cellStyle name="Normal 12 2 6 3" xfId="4373"/>
    <cellStyle name="Normal 12 2 6 3 2" xfId="12598"/>
    <cellStyle name="Normal 12 2 6 3 2 2" xfId="29048"/>
    <cellStyle name="Normal 12 2 6 3 3" xfId="20823"/>
    <cellStyle name="Normal 12 2 6 3 4" xfId="37277"/>
    <cellStyle name="Normal 12 2 6 4" xfId="6018"/>
    <cellStyle name="Normal 12 2 6 4 2" xfId="14243"/>
    <cellStyle name="Normal 12 2 6 4 2 2" xfId="30693"/>
    <cellStyle name="Normal 12 2 6 4 3" xfId="22468"/>
    <cellStyle name="Normal 12 2 6 4 4" xfId="38922"/>
    <cellStyle name="Normal 12 2 6 5" xfId="7663"/>
    <cellStyle name="Normal 12 2 6 5 2" xfId="15888"/>
    <cellStyle name="Normal 12 2 6 5 2 2" xfId="32338"/>
    <cellStyle name="Normal 12 2 6 5 3" xfId="24113"/>
    <cellStyle name="Normal 12 2 6 5 4" xfId="40567"/>
    <cellStyle name="Normal 12 2 6 6" xfId="9308"/>
    <cellStyle name="Normal 12 2 6 6 2" xfId="25758"/>
    <cellStyle name="Normal 12 2 6 7" xfId="17532"/>
    <cellStyle name="Normal 12 2 6 8" xfId="33986"/>
    <cellStyle name="Normal 12 2 6 9" xfId="42213"/>
    <cellStyle name="Normal 12 2 7" xfId="1313"/>
    <cellStyle name="Normal 12 2 7 2" xfId="2963"/>
    <cellStyle name="Normal 12 2 7 2 2" xfId="11188"/>
    <cellStyle name="Normal 12 2 7 2 2 2" xfId="27638"/>
    <cellStyle name="Normal 12 2 7 2 3" xfId="19413"/>
    <cellStyle name="Normal 12 2 7 2 4" xfId="35867"/>
    <cellStyle name="Normal 12 2 7 3" xfId="4608"/>
    <cellStyle name="Normal 12 2 7 3 2" xfId="12833"/>
    <cellStyle name="Normal 12 2 7 3 2 2" xfId="29283"/>
    <cellStyle name="Normal 12 2 7 3 3" xfId="21058"/>
    <cellStyle name="Normal 12 2 7 3 4" xfId="37512"/>
    <cellStyle name="Normal 12 2 7 4" xfId="6253"/>
    <cellStyle name="Normal 12 2 7 4 2" xfId="14478"/>
    <cellStyle name="Normal 12 2 7 4 2 2" xfId="30928"/>
    <cellStyle name="Normal 12 2 7 4 3" xfId="22703"/>
    <cellStyle name="Normal 12 2 7 4 4" xfId="39157"/>
    <cellStyle name="Normal 12 2 7 5" xfId="7898"/>
    <cellStyle name="Normal 12 2 7 5 2" xfId="16123"/>
    <cellStyle name="Normal 12 2 7 5 2 2" xfId="32573"/>
    <cellStyle name="Normal 12 2 7 5 3" xfId="24348"/>
    <cellStyle name="Normal 12 2 7 5 4" xfId="40802"/>
    <cellStyle name="Normal 12 2 7 6" xfId="9543"/>
    <cellStyle name="Normal 12 2 7 6 2" xfId="25993"/>
    <cellStyle name="Normal 12 2 7 7" xfId="17767"/>
    <cellStyle name="Normal 12 2 7 8" xfId="34221"/>
    <cellStyle name="Normal 12 2 8" xfId="1548"/>
    <cellStyle name="Normal 12 2 8 2" xfId="3198"/>
    <cellStyle name="Normal 12 2 8 2 2" xfId="11423"/>
    <cellStyle name="Normal 12 2 8 2 2 2" xfId="27873"/>
    <cellStyle name="Normal 12 2 8 2 3" xfId="19648"/>
    <cellStyle name="Normal 12 2 8 2 4" xfId="36102"/>
    <cellStyle name="Normal 12 2 8 3" xfId="4843"/>
    <cellStyle name="Normal 12 2 8 3 2" xfId="13068"/>
    <cellStyle name="Normal 12 2 8 3 2 2" xfId="29518"/>
    <cellStyle name="Normal 12 2 8 3 3" xfId="21293"/>
    <cellStyle name="Normal 12 2 8 3 4" xfId="37747"/>
    <cellStyle name="Normal 12 2 8 4" xfId="6488"/>
    <cellStyle name="Normal 12 2 8 4 2" xfId="14713"/>
    <cellStyle name="Normal 12 2 8 4 2 2" xfId="31163"/>
    <cellStyle name="Normal 12 2 8 4 3" xfId="22938"/>
    <cellStyle name="Normal 12 2 8 4 4" xfId="39392"/>
    <cellStyle name="Normal 12 2 8 5" xfId="8133"/>
    <cellStyle name="Normal 12 2 8 5 2" xfId="16358"/>
    <cellStyle name="Normal 12 2 8 5 2 2" xfId="32808"/>
    <cellStyle name="Normal 12 2 8 5 3" xfId="24583"/>
    <cellStyle name="Normal 12 2 8 5 4" xfId="41037"/>
    <cellStyle name="Normal 12 2 8 6" xfId="9778"/>
    <cellStyle name="Normal 12 2 8 6 2" xfId="26228"/>
    <cellStyle name="Normal 12 2 8 7" xfId="18002"/>
    <cellStyle name="Normal 12 2 8 8" xfId="34456"/>
    <cellStyle name="Normal 12 2 9" xfId="1783"/>
    <cellStyle name="Normal 12 2 9 2" xfId="10013"/>
    <cellStyle name="Normal 12 2 9 2 2" xfId="26463"/>
    <cellStyle name="Normal 12 2 9 3" xfId="18237"/>
    <cellStyle name="Normal 12 2 9 4" xfId="34691"/>
    <cellStyle name="Normal 12 20" xfId="16567"/>
    <cellStyle name="Normal 12 21" xfId="33020"/>
    <cellStyle name="Normal 12 22" xfId="41248"/>
    <cellStyle name="Normal 12 3" xfId="104"/>
    <cellStyle name="Normal 12 3 10" xfId="5103"/>
    <cellStyle name="Normal 12 3 10 2" xfId="13328"/>
    <cellStyle name="Normal 12 3 10 2 2" xfId="29778"/>
    <cellStyle name="Normal 12 3 10 3" xfId="21553"/>
    <cellStyle name="Normal 12 3 10 4" xfId="38007"/>
    <cellStyle name="Normal 12 3 11" xfId="6748"/>
    <cellStyle name="Normal 12 3 11 2" xfId="14973"/>
    <cellStyle name="Normal 12 3 11 2 2" xfId="31423"/>
    <cellStyle name="Normal 12 3 11 3" xfId="23198"/>
    <cellStyle name="Normal 12 3 11 4" xfId="39652"/>
    <cellStyle name="Normal 12 3 12" xfId="8393"/>
    <cellStyle name="Normal 12 3 12 2" xfId="24843"/>
    <cellStyle name="Normal 12 3 13" xfId="16617"/>
    <cellStyle name="Normal 12 3 14" xfId="33070"/>
    <cellStyle name="Normal 12 3 15" xfId="41298"/>
    <cellStyle name="Normal 12 3 2" xfId="347"/>
    <cellStyle name="Normal 12 3 2 2" xfId="2046"/>
    <cellStyle name="Normal 12 3 2 2 2" xfId="10273"/>
    <cellStyle name="Normal 12 3 2 2 2 2" xfId="26723"/>
    <cellStyle name="Normal 12 3 2 2 3" xfId="18498"/>
    <cellStyle name="Normal 12 3 2 2 4" xfId="34952"/>
    <cellStyle name="Normal 12 3 2 3" xfId="3693"/>
    <cellStyle name="Normal 12 3 2 3 2" xfId="11918"/>
    <cellStyle name="Normal 12 3 2 3 2 2" xfId="28368"/>
    <cellStyle name="Normal 12 3 2 3 3" xfId="20143"/>
    <cellStyle name="Normal 12 3 2 3 4" xfId="36597"/>
    <cellStyle name="Normal 12 3 2 4" xfId="5338"/>
    <cellStyle name="Normal 12 3 2 4 2" xfId="13563"/>
    <cellStyle name="Normal 12 3 2 4 2 2" xfId="30013"/>
    <cellStyle name="Normal 12 3 2 4 3" xfId="21788"/>
    <cellStyle name="Normal 12 3 2 4 4" xfId="38242"/>
    <cellStyle name="Normal 12 3 2 5" xfId="6983"/>
    <cellStyle name="Normal 12 3 2 5 2" xfId="15208"/>
    <cellStyle name="Normal 12 3 2 5 2 2" xfId="31658"/>
    <cellStyle name="Normal 12 3 2 5 3" xfId="23433"/>
    <cellStyle name="Normal 12 3 2 5 4" xfId="39887"/>
    <cellStyle name="Normal 12 3 2 6" xfId="8628"/>
    <cellStyle name="Normal 12 3 2 6 2" xfId="25078"/>
    <cellStyle name="Normal 12 3 2 7" xfId="16852"/>
    <cellStyle name="Normal 12 3 2 8" xfId="33306"/>
    <cellStyle name="Normal 12 3 2 9" xfId="41533"/>
    <cellStyle name="Normal 12 3 3" xfId="588"/>
    <cellStyle name="Normal 12 3 3 2" xfId="2283"/>
    <cellStyle name="Normal 12 3 3 2 2" xfId="10508"/>
    <cellStyle name="Normal 12 3 3 2 2 2" xfId="26958"/>
    <cellStyle name="Normal 12 3 3 2 3" xfId="18733"/>
    <cellStyle name="Normal 12 3 3 2 4" xfId="35187"/>
    <cellStyle name="Normal 12 3 3 3" xfId="3928"/>
    <cellStyle name="Normal 12 3 3 3 2" xfId="12153"/>
    <cellStyle name="Normal 12 3 3 3 2 2" xfId="28603"/>
    <cellStyle name="Normal 12 3 3 3 3" xfId="20378"/>
    <cellStyle name="Normal 12 3 3 3 4" xfId="36832"/>
    <cellStyle name="Normal 12 3 3 4" xfId="5573"/>
    <cellStyle name="Normal 12 3 3 4 2" xfId="13798"/>
    <cellStyle name="Normal 12 3 3 4 2 2" xfId="30248"/>
    <cellStyle name="Normal 12 3 3 4 3" xfId="22023"/>
    <cellStyle name="Normal 12 3 3 4 4" xfId="38477"/>
    <cellStyle name="Normal 12 3 3 5" xfId="7218"/>
    <cellStyle name="Normal 12 3 3 5 2" xfId="15443"/>
    <cellStyle name="Normal 12 3 3 5 2 2" xfId="31893"/>
    <cellStyle name="Normal 12 3 3 5 3" xfId="23668"/>
    <cellStyle name="Normal 12 3 3 5 4" xfId="40122"/>
    <cellStyle name="Normal 12 3 3 6" xfId="8863"/>
    <cellStyle name="Normal 12 3 3 6 2" xfId="25313"/>
    <cellStyle name="Normal 12 3 3 7" xfId="17087"/>
    <cellStyle name="Normal 12 3 3 8" xfId="33541"/>
    <cellStyle name="Normal 12 3 3 9" xfId="41768"/>
    <cellStyle name="Normal 12 3 4" xfId="823"/>
    <cellStyle name="Normal 12 3 4 2" xfId="2518"/>
    <cellStyle name="Normal 12 3 4 2 2" xfId="10743"/>
    <cellStyle name="Normal 12 3 4 2 2 2" xfId="27193"/>
    <cellStyle name="Normal 12 3 4 2 3" xfId="18968"/>
    <cellStyle name="Normal 12 3 4 2 4" xfId="35422"/>
    <cellStyle name="Normal 12 3 4 3" xfId="4163"/>
    <cellStyle name="Normal 12 3 4 3 2" xfId="12388"/>
    <cellStyle name="Normal 12 3 4 3 2 2" xfId="28838"/>
    <cellStyle name="Normal 12 3 4 3 3" xfId="20613"/>
    <cellStyle name="Normal 12 3 4 3 4" xfId="37067"/>
    <cellStyle name="Normal 12 3 4 4" xfId="5808"/>
    <cellStyle name="Normal 12 3 4 4 2" xfId="14033"/>
    <cellStyle name="Normal 12 3 4 4 2 2" xfId="30483"/>
    <cellStyle name="Normal 12 3 4 4 3" xfId="22258"/>
    <cellStyle name="Normal 12 3 4 4 4" xfId="38712"/>
    <cellStyle name="Normal 12 3 4 5" xfId="7453"/>
    <cellStyle name="Normal 12 3 4 5 2" xfId="15678"/>
    <cellStyle name="Normal 12 3 4 5 2 2" xfId="32128"/>
    <cellStyle name="Normal 12 3 4 5 3" xfId="23903"/>
    <cellStyle name="Normal 12 3 4 5 4" xfId="40357"/>
    <cellStyle name="Normal 12 3 4 6" xfId="9098"/>
    <cellStyle name="Normal 12 3 4 6 2" xfId="25548"/>
    <cellStyle name="Normal 12 3 4 7" xfId="17322"/>
    <cellStyle name="Normal 12 3 4 8" xfId="33776"/>
    <cellStyle name="Normal 12 3 4 9" xfId="42003"/>
    <cellStyle name="Normal 12 3 5" xfId="1058"/>
    <cellStyle name="Normal 12 3 5 2" xfId="2753"/>
    <cellStyle name="Normal 12 3 5 2 2" xfId="10978"/>
    <cellStyle name="Normal 12 3 5 2 2 2" xfId="27428"/>
    <cellStyle name="Normal 12 3 5 2 3" xfId="19203"/>
    <cellStyle name="Normal 12 3 5 2 4" xfId="35657"/>
    <cellStyle name="Normal 12 3 5 3" xfId="4398"/>
    <cellStyle name="Normal 12 3 5 3 2" xfId="12623"/>
    <cellStyle name="Normal 12 3 5 3 2 2" xfId="29073"/>
    <cellStyle name="Normal 12 3 5 3 3" xfId="20848"/>
    <cellStyle name="Normal 12 3 5 3 4" xfId="37302"/>
    <cellStyle name="Normal 12 3 5 4" xfId="6043"/>
    <cellStyle name="Normal 12 3 5 4 2" xfId="14268"/>
    <cellStyle name="Normal 12 3 5 4 2 2" xfId="30718"/>
    <cellStyle name="Normal 12 3 5 4 3" xfId="22493"/>
    <cellStyle name="Normal 12 3 5 4 4" xfId="38947"/>
    <cellStyle name="Normal 12 3 5 5" xfId="7688"/>
    <cellStyle name="Normal 12 3 5 5 2" xfId="15913"/>
    <cellStyle name="Normal 12 3 5 5 2 2" xfId="32363"/>
    <cellStyle name="Normal 12 3 5 5 3" xfId="24138"/>
    <cellStyle name="Normal 12 3 5 5 4" xfId="40592"/>
    <cellStyle name="Normal 12 3 5 6" xfId="9333"/>
    <cellStyle name="Normal 12 3 5 6 2" xfId="25783"/>
    <cellStyle name="Normal 12 3 5 7" xfId="17557"/>
    <cellStyle name="Normal 12 3 5 8" xfId="34011"/>
    <cellStyle name="Normal 12 3 5 9" xfId="42238"/>
    <cellStyle name="Normal 12 3 6" xfId="1338"/>
    <cellStyle name="Normal 12 3 6 2" xfId="2988"/>
    <cellStyle name="Normal 12 3 6 2 2" xfId="11213"/>
    <cellStyle name="Normal 12 3 6 2 2 2" xfId="27663"/>
    <cellStyle name="Normal 12 3 6 2 3" xfId="19438"/>
    <cellStyle name="Normal 12 3 6 2 4" xfId="35892"/>
    <cellStyle name="Normal 12 3 6 3" xfId="4633"/>
    <cellStyle name="Normal 12 3 6 3 2" xfId="12858"/>
    <cellStyle name="Normal 12 3 6 3 2 2" xfId="29308"/>
    <cellStyle name="Normal 12 3 6 3 3" xfId="21083"/>
    <cellStyle name="Normal 12 3 6 3 4" xfId="37537"/>
    <cellStyle name="Normal 12 3 6 4" xfId="6278"/>
    <cellStyle name="Normal 12 3 6 4 2" xfId="14503"/>
    <cellStyle name="Normal 12 3 6 4 2 2" xfId="30953"/>
    <cellStyle name="Normal 12 3 6 4 3" xfId="22728"/>
    <cellStyle name="Normal 12 3 6 4 4" xfId="39182"/>
    <cellStyle name="Normal 12 3 6 5" xfId="7923"/>
    <cellStyle name="Normal 12 3 6 5 2" xfId="16148"/>
    <cellStyle name="Normal 12 3 6 5 2 2" xfId="32598"/>
    <cellStyle name="Normal 12 3 6 5 3" xfId="24373"/>
    <cellStyle name="Normal 12 3 6 5 4" xfId="40827"/>
    <cellStyle name="Normal 12 3 6 6" xfId="9568"/>
    <cellStyle name="Normal 12 3 6 6 2" xfId="26018"/>
    <cellStyle name="Normal 12 3 6 7" xfId="17792"/>
    <cellStyle name="Normal 12 3 6 8" xfId="34246"/>
    <cellStyle name="Normal 12 3 7" xfId="1573"/>
    <cellStyle name="Normal 12 3 7 2" xfId="3223"/>
    <cellStyle name="Normal 12 3 7 2 2" xfId="11448"/>
    <cellStyle name="Normal 12 3 7 2 2 2" xfId="27898"/>
    <cellStyle name="Normal 12 3 7 2 3" xfId="19673"/>
    <cellStyle name="Normal 12 3 7 2 4" xfId="36127"/>
    <cellStyle name="Normal 12 3 7 3" xfId="4868"/>
    <cellStyle name="Normal 12 3 7 3 2" xfId="13093"/>
    <cellStyle name="Normal 12 3 7 3 2 2" xfId="29543"/>
    <cellStyle name="Normal 12 3 7 3 3" xfId="21318"/>
    <cellStyle name="Normal 12 3 7 3 4" xfId="37772"/>
    <cellStyle name="Normal 12 3 7 4" xfId="6513"/>
    <cellStyle name="Normal 12 3 7 4 2" xfId="14738"/>
    <cellStyle name="Normal 12 3 7 4 2 2" xfId="31188"/>
    <cellStyle name="Normal 12 3 7 4 3" xfId="22963"/>
    <cellStyle name="Normal 12 3 7 4 4" xfId="39417"/>
    <cellStyle name="Normal 12 3 7 5" xfId="8158"/>
    <cellStyle name="Normal 12 3 7 5 2" xfId="16383"/>
    <cellStyle name="Normal 12 3 7 5 2 2" xfId="32833"/>
    <cellStyle name="Normal 12 3 7 5 3" xfId="24608"/>
    <cellStyle name="Normal 12 3 7 5 4" xfId="41062"/>
    <cellStyle name="Normal 12 3 7 6" xfId="9803"/>
    <cellStyle name="Normal 12 3 7 6 2" xfId="26253"/>
    <cellStyle name="Normal 12 3 7 7" xfId="18027"/>
    <cellStyle name="Normal 12 3 7 8" xfId="34481"/>
    <cellStyle name="Normal 12 3 8" xfId="1808"/>
    <cellStyle name="Normal 12 3 8 2" xfId="10038"/>
    <cellStyle name="Normal 12 3 8 2 2" xfId="26488"/>
    <cellStyle name="Normal 12 3 8 3" xfId="18262"/>
    <cellStyle name="Normal 12 3 8 4" xfId="34716"/>
    <cellStyle name="Normal 12 3 9" xfId="3458"/>
    <cellStyle name="Normal 12 3 9 2" xfId="11683"/>
    <cellStyle name="Normal 12 3 9 2 2" xfId="28133"/>
    <cellStyle name="Normal 12 3 9 3" xfId="19908"/>
    <cellStyle name="Normal 12 3 9 4" xfId="36362"/>
    <cellStyle name="Normal 12 4" xfId="154"/>
    <cellStyle name="Normal 12 4 10" xfId="5153"/>
    <cellStyle name="Normal 12 4 10 2" xfId="13378"/>
    <cellStyle name="Normal 12 4 10 2 2" xfId="29828"/>
    <cellStyle name="Normal 12 4 10 3" xfId="21603"/>
    <cellStyle name="Normal 12 4 10 4" xfId="38057"/>
    <cellStyle name="Normal 12 4 11" xfId="6798"/>
    <cellStyle name="Normal 12 4 11 2" xfId="15023"/>
    <cellStyle name="Normal 12 4 11 2 2" xfId="31473"/>
    <cellStyle name="Normal 12 4 11 3" xfId="23248"/>
    <cellStyle name="Normal 12 4 11 4" xfId="39702"/>
    <cellStyle name="Normal 12 4 12" xfId="8443"/>
    <cellStyle name="Normal 12 4 12 2" xfId="24893"/>
    <cellStyle name="Normal 12 4 13" xfId="16667"/>
    <cellStyle name="Normal 12 4 14" xfId="33120"/>
    <cellStyle name="Normal 12 4 15" xfId="41348"/>
    <cellStyle name="Normal 12 4 2" xfId="397"/>
    <cellStyle name="Normal 12 4 2 2" xfId="2096"/>
    <cellStyle name="Normal 12 4 2 2 2" xfId="10323"/>
    <cellStyle name="Normal 12 4 2 2 2 2" xfId="26773"/>
    <cellStyle name="Normal 12 4 2 2 3" xfId="18548"/>
    <cellStyle name="Normal 12 4 2 2 4" xfId="35002"/>
    <cellStyle name="Normal 12 4 2 3" xfId="3743"/>
    <cellStyle name="Normal 12 4 2 3 2" xfId="11968"/>
    <cellStyle name="Normal 12 4 2 3 2 2" xfId="28418"/>
    <cellStyle name="Normal 12 4 2 3 3" xfId="20193"/>
    <cellStyle name="Normal 12 4 2 3 4" xfId="36647"/>
    <cellStyle name="Normal 12 4 2 4" xfId="5388"/>
    <cellStyle name="Normal 12 4 2 4 2" xfId="13613"/>
    <cellStyle name="Normal 12 4 2 4 2 2" xfId="30063"/>
    <cellStyle name="Normal 12 4 2 4 3" xfId="21838"/>
    <cellStyle name="Normal 12 4 2 4 4" xfId="38292"/>
    <cellStyle name="Normal 12 4 2 5" xfId="7033"/>
    <cellStyle name="Normal 12 4 2 5 2" xfId="15258"/>
    <cellStyle name="Normal 12 4 2 5 2 2" xfId="31708"/>
    <cellStyle name="Normal 12 4 2 5 3" xfId="23483"/>
    <cellStyle name="Normal 12 4 2 5 4" xfId="39937"/>
    <cellStyle name="Normal 12 4 2 6" xfId="8678"/>
    <cellStyle name="Normal 12 4 2 6 2" xfId="25128"/>
    <cellStyle name="Normal 12 4 2 7" xfId="16902"/>
    <cellStyle name="Normal 12 4 2 8" xfId="33356"/>
    <cellStyle name="Normal 12 4 2 9" xfId="41583"/>
    <cellStyle name="Normal 12 4 3" xfId="638"/>
    <cellStyle name="Normal 12 4 3 2" xfId="2333"/>
    <cellStyle name="Normal 12 4 3 2 2" xfId="10558"/>
    <cellStyle name="Normal 12 4 3 2 2 2" xfId="27008"/>
    <cellStyle name="Normal 12 4 3 2 3" xfId="18783"/>
    <cellStyle name="Normal 12 4 3 2 4" xfId="35237"/>
    <cellStyle name="Normal 12 4 3 3" xfId="3978"/>
    <cellStyle name="Normal 12 4 3 3 2" xfId="12203"/>
    <cellStyle name="Normal 12 4 3 3 2 2" xfId="28653"/>
    <cellStyle name="Normal 12 4 3 3 3" xfId="20428"/>
    <cellStyle name="Normal 12 4 3 3 4" xfId="36882"/>
    <cellStyle name="Normal 12 4 3 4" xfId="5623"/>
    <cellStyle name="Normal 12 4 3 4 2" xfId="13848"/>
    <cellStyle name="Normal 12 4 3 4 2 2" xfId="30298"/>
    <cellStyle name="Normal 12 4 3 4 3" xfId="22073"/>
    <cellStyle name="Normal 12 4 3 4 4" xfId="38527"/>
    <cellStyle name="Normal 12 4 3 5" xfId="7268"/>
    <cellStyle name="Normal 12 4 3 5 2" xfId="15493"/>
    <cellStyle name="Normal 12 4 3 5 2 2" xfId="31943"/>
    <cellStyle name="Normal 12 4 3 5 3" xfId="23718"/>
    <cellStyle name="Normal 12 4 3 5 4" xfId="40172"/>
    <cellStyle name="Normal 12 4 3 6" xfId="8913"/>
    <cellStyle name="Normal 12 4 3 6 2" xfId="25363"/>
    <cellStyle name="Normal 12 4 3 7" xfId="17137"/>
    <cellStyle name="Normal 12 4 3 8" xfId="33591"/>
    <cellStyle name="Normal 12 4 3 9" xfId="41818"/>
    <cellStyle name="Normal 12 4 4" xfId="873"/>
    <cellStyle name="Normal 12 4 4 2" xfId="2568"/>
    <cellStyle name="Normal 12 4 4 2 2" xfId="10793"/>
    <cellStyle name="Normal 12 4 4 2 2 2" xfId="27243"/>
    <cellStyle name="Normal 12 4 4 2 3" xfId="19018"/>
    <cellStyle name="Normal 12 4 4 2 4" xfId="35472"/>
    <cellStyle name="Normal 12 4 4 3" xfId="4213"/>
    <cellStyle name="Normal 12 4 4 3 2" xfId="12438"/>
    <cellStyle name="Normal 12 4 4 3 2 2" xfId="28888"/>
    <cellStyle name="Normal 12 4 4 3 3" xfId="20663"/>
    <cellStyle name="Normal 12 4 4 3 4" xfId="37117"/>
    <cellStyle name="Normal 12 4 4 4" xfId="5858"/>
    <cellStyle name="Normal 12 4 4 4 2" xfId="14083"/>
    <cellStyle name="Normal 12 4 4 4 2 2" xfId="30533"/>
    <cellStyle name="Normal 12 4 4 4 3" xfId="22308"/>
    <cellStyle name="Normal 12 4 4 4 4" xfId="38762"/>
    <cellStyle name="Normal 12 4 4 5" xfId="7503"/>
    <cellStyle name="Normal 12 4 4 5 2" xfId="15728"/>
    <cellStyle name="Normal 12 4 4 5 2 2" xfId="32178"/>
    <cellStyle name="Normal 12 4 4 5 3" xfId="23953"/>
    <cellStyle name="Normal 12 4 4 5 4" xfId="40407"/>
    <cellStyle name="Normal 12 4 4 6" xfId="9148"/>
    <cellStyle name="Normal 12 4 4 6 2" xfId="25598"/>
    <cellStyle name="Normal 12 4 4 7" xfId="17372"/>
    <cellStyle name="Normal 12 4 4 8" xfId="33826"/>
    <cellStyle name="Normal 12 4 4 9" xfId="42053"/>
    <cellStyle name="Normal 12 4 5" xfId="1108"/>
    <cellStyle name="Normal 12 4 5 2" xfId="2803"/>
    <cellStyle name="Normal 12 4 5 2 2" xfId="11028"/>
    <cellStyle name="Normal 12 4 5 2 2 2" xfId="27478"/>
    <cellStyle name="Normal 12 4 5 2 3" xfId="19253"/>
    <cellStyle name="Normal 12 4 5 2 4" xfId="35707"/>
    <cellStyle name="Normal 12 4 5 3" xfId="4448"/>
    <cellStyle name="Normal 12 4 5 3 2" xfId="12673"/>
    <cellStyle name="Normal 12 4 5 3 2 2" xfId="29123"/>
    <cellStyle name="Normal 12 4 5 3 3" xfId="20898"/>
    <cellStyle name="Normal 12 4 5 3 4" xfId="37352"/>
    <cellStyle name="Normal 12 4 5 4" xfId="6093"/>
    <cellStyle name="Normal 12 4 5 4 2" xfId="14318"/>
    <cellStyle name="Normal 12 4 5 4 2 2" xfId="30768"/>
    <cellStyle name="Normal 12 4 5 4 3" xfId="22543"/>
    <cellStyle name="Normal 12 4 5 4 4" xfId="38997"/>
    <cellStyle name="Normal 12 4 5 5" xfId="7738"/>
    <cellStyle name="Normal 12 4 5 5 2" xfId="15963"/>
    <cellStyle name="Normal 12 4 5 5 2 2" xfId="32413"/>
    <cellStyle name="Normal 12 4 5 5 3" xfId="24188"/>
    <cellStyle name="Normal 12 4 5 5 4" xfId="40642"/>
    <cellStyle name="Normal 12 4 5 6" xfId="9383"/>
    <cellStyle name="Normal 12 4 5 6 2" xfId="25833"/>
    <cellStyle name="Normal 12 4 5 7" xfId="17607"/>
    <cellStyle name="Normal 12 4 5 8" xfId="34061"/>
    <cellStyle name="Normal 12 4 5 9" xfId="42288"/>
    <cellStyle name="Normal 12 4 6" xfId="1388"/>
    <cellStyle name="Normal 12 4 6 2" xfId="3038"/>
    <cellStyle name="Normal 12 4 6 2 2" xfId="11263"/>
    <cellStyle name="Normal 12 4 6 2 2 2" xfId="27713"/>
    <cellStyle name="Normal 12 4 6 2 3" xfId="19488"/>
    <cellStyle name="Normal 12 4 6 2 4" xfId="35942"/>
    <cellStyle name="Normal 12 4 6 3" xfId="4683"/>
    <cellStyle name="Normal 12 4 6 3 2" xfId="12908"/>
    <cellStyle name="Normal 12 4 6 3 2 2" xfId="29358"/>
    <cellStyle name="Normal 12 4 6 3 3" xfId="21133"/>
    <cellStyle name="Normal 12 4 6 3 4" xfId="37587"/>
    <cellStyle name="Normal 12 4 6 4" xfId="6328"/>
    <cellStyle name="Normal 12 4 6 4 2" xfId="14553"/>
    <cellStyle name="Normal 12 4 6 4 2 2" xfId="31003"/>
    <cellStyle name="Normal 12 4 6 4 3" xfId="22778"/>
    <cellStyle name="Normal 12 4 6 4 4" xfId="39232"/>
    <cellStyle name="Normal 12 4 6 5" xfId="7973"/>
    <cellStyle name="Normal 12 4 6 5 2" xfId="16198"/>
    <cellStyle name="Normal 12 4 6 5 2 2" xfId="32648"/>
    <cellStyle name="Normal 12 4 6 5 3" xfId="24423"/>
    <cellStyle name="Normal 12 4 6 5 4" xfId="40877"/>
    <cellStyle name="Normal 12 4 6 6" xfId="9618"/>
    <cellStyle name="Normal 12 4 6 6 2" xfId="26068"/>
    <cellStyle name="Normal 12 4 6 7" xfId="17842"/>
    <cellStyle name="Normal 12 4 6 8" xfId="34296"/>
    <cellStyle name="Normal 12 4 7" xfId="1623"/>
    <cellStyle name="Normal 12 4 7 2" xfId="3273"/>
    <cellStyle name="Normal 12 4 7 2 2" xfId="11498"/>
    <cellStyle name="Normal 12 4 7 2 2 2" xfId="27948"/>
    <cellStyle name="Normal 12 4 7 2 3" xfId="19723"/>
    <cellStyle name="Normal 12 4 7 2 4" xfId="36177"/>
    <cellStyle name="Normal 12 4 7 3" xfId="4918"/>
    <cellStyle name="Normal 12 4 7 3 2" xfId="13143"/>
    <cellStyle name="Normal 12 4 7 3 2 2" xfId="29593"/>
    <cellStyle name="Normal 12 4 7 3 3" xfId="21368"/>
    <cellStyle name="Normal 12 4 7 3 4" xfId="37822"/>
    <cellStyle name="Normal 12 4 7 4" xfId="6563"/>
    <cellStyle name="Normal 12 4 7 4 2" xfId="14788"/>
    <cellStyle name="Normal 12 4 7 4 2 2" xfId="31238"/>
    <cellStyle name="Normal 12 4 7 4 3" xfId="23013"/>
    <cellStyle name="Normal 12 4 7 4 4" xfId="39467"/>
    <cellStyle name="Normal 12 4 7 5" xfId="8208"/>
    <cellStyle name="Normal 12 4 7 5 2" xfId="16433"/>
    <cellStyle name="Normal 12 4 7 5 2 2" xfId="32883"/>
    <cellStyle name="Normal 12 4 7 5 3" xfId="24658"/>
    <cellStyle name="Normal 12 4 7 5 4" xfId="41112"/>
    <cellStyle name="Normal 12 4 7 6" xfId="9853"/>
    <cellStyle name="Normal 12 4 7 6 2" xfId="26303"/>
    <cellStyle name="Normal 12 4 7 7" xfId="18077"/>
    <cellStyle name="Normal 12 4 7 8" xfId="34531"/>
    <cellStyle name="Normal 12 4 8" xfId="1858"/>
    <cellStyle name="Normal 12 4 8 2" xfId="10088"/>
    <cellStyle name="Normal 12 4 8 2 2" xfId="26538"/>
    <cellStyle name="Normal 12 4 8 3" xfId="18312"/>
    <cellStyle name="Normal 12 4 8 4" xfId="34766"/>
    <cellStyle name="Normal 12 4 9" xfId="3508"/>
    <cellStyle name="Normal 12 4 9 2" xfId="11733"/>
    <cellStyle name="Normal 12 4 9 2 2" xfId="28183"/>
    <cellStyle name="Normal 12 4 9 3" xfId="19958"/>
    <cellStyle name="Normal 12 4 9 4" xfId="36412"/>
    <cellStyle name="Normal 12 5" xfId="181"/>
    <cellStyle name="Normal 12 5 10" xfId="5180"/>
    <cellStyle name="Normal 12 5 10 2" xfId="13405"/>
    <cellStyle name="Normal 12 5 10 2 2" xfId="29855"/>
    <cellStyle name="Normal 12 5 10 3" xfId="21630"/>
    <cellStyle name="Normal 12 5 10 4" xfId="38084"/>
    <cellStyle name="Normal 12 5 11" xfId="6825"/>
    <cellStyle name="Normal 12 5 11 2" xfId="15050"/>
    <cellStyle name="Normal 12 5 11 2 2" xfId="31500"/>
    <cellStyle name="Normal 12 5 11 3" xfId="23275"/>
    <cellStyle name="Normal 12 5 11 4" xfId="39729"/>
    <cellStyle name="Normal 12 5 12" xfId="8470"/>
    <cellStyle name="Normal 12 5 12 2" xfId="24920"/>
    <cellStyle name="Normal 12 5 13" xfId="16694"/>
    <cellStyle name="Normal 12 5 14" xfId="33147"/>
    <cellStyle name="Normal 12 5 15" xfId="41375"/>
    <cellStyle name="Normal 12 5 2" xfId="424"/>
    <cellStyle name="Normal 12 5 2 2" xfId="2123"/>
    <cellStyle name="Normal 12 5 2 2 2" xfId="10350"/>
    <cellStyle name="Normal 12 5 2 2 2 2" xfId="26800"/>
    <cellStyle name="Normal 12 5 2 2 3" xfId="18575"/>
    <cellStyle name="Normal 12 5 2 2 4" xfId="35029"/>
    <cellStyle name="Normal 12 5 2 3" xfId="3770"/>
    <cellStyle name="Normal 12 5 2 3 2" xfId="11995"/>
    <cellStyle name="Normal 12 5 2 3 2 2" xfId="28445"/>
    <cellStyle name="Normal 12 5 2 3 3" xfId="20220"/>
    <cellStyle name="Normal 12 5 2 3 4" xfId="36674"/>
    <cellStyle name="Normal 12 5 2 4" xfId="5415"/>
    <cellStyle name="Normal 12 5 2 4 2" xfId="13640"/>
    <cellStyle name="Normal 12 5 2 4 2 2" xfId="30090"/>
    <cellStyle name="Normal 12 5 2 4 3" xfId="21865"/>
    <cellStyle name="Normal 12 5 2 4 4" xfId="38319"/>
    <cellStyle name="Normal 12 5 2 5" xfId="7060"/>
    <cellStyle name="Normal 12 5 2 5 2" xfId="15285"/>
    <cellStyle name="Normal 12 5 2 5 2 2" xfId="31735"/>
    <cellStyle name="Normal 12 5 2 5 3" xfId="23510"/>
    <cellStyle name="Normal 12 5 2 5 4" xfId="39964"/>
    <cellStyle name="Normal 12 5 2 6" xfId="8705"/>
    <cellStyle name="Normal 12 5 2 6 2" xfId="25155"/>
    <cellStyle name="Normal 12 5 2 7" xfId="16929"/>
    <cellStyle name="Normal 12 5 2 8" xfId="33383"/>
    <cellStyle name="Normal 12 5 2 9" xfId="41610"/>
    <cellStyle name="Normal 12 5 3" xfId="665"/>
    <cellStyle name="Normal 12 5 3 2" xfId="2360"/>
    <cellStyle name="Normal 12 5 3 2 2" xfId="10585"/>
    <cellStyle name="Normal 12 5 3 2 2 2" xfId="27035"/>
    <cellStyle name="Normal 12 5 3 2 3" xfId="18810"/>
    <cellStyle name="Normal 12 5 3 2 4" xfId="35264"/>
    <cellStyle name="Normal 12 5 3 3" xfId="4005"/>
    <cellStyle name="Normal 12 5 3 3 2" xfId="12230"/>
    <cellStyle name="Normal 12 5 3 3 2 2" xfId="28680"/>
    <cellStyle name="Normal 12 5 3 3 3" xfId="20455"/>
    <cellStyle name="Normal 12 5 3 3 4" xfId="36909"/>
    <cellStyle name="Normal 12 5 3 4" xfId="5650"/>
    <cellStyle name="Normal 12 5 3 4 2" xfId="13875"/>
    <cellStyle name="Normal 12 5 3 4 2 2" xfId="30325"/>
    <cellStyle name="Normal 12 5 3 4 3" xfId="22100"/>
    <cellStyle name="Normal 12 5 3 4 4" xfId="38554"/>
    <cellStyle name="Normal 12 5 3 5" xfId="7295"/>
    <cellStyle name="Normal 12 5 3 5 2" xfId="15520"/>
    <cellStyle name="Normal 12 5 3 5 2 2" xfId="31970"/>
    <cellStyle name="Normal 12 5 3 5 3" xfId="23745"/>
    <cellStyle name="Normal 12 5 3 5 4" xfId="40199"/>
    <cellStyle name="Normal 12 5 3 6" xfId="8940"/>
    <cellStyle name="Normal 12 5 3 6 2" xfId="25390"/>
    <cellStyle name="Normal 12 5 3 7" xfId="17164"/>
    <cellStyle name="Normal 12 5 3 8" xfId="33618"/>
    <cellStyle name="Normal 12 5 3 9" xfId="41845"/>
    <cellStyle name="Normal 12 5 4" xfId="900"/>
    <cellStyle name="Normal 12 5 4 2" xfId="2595"/>
    <cellStyle name="Normal 12 5 4 2 2" xfId="10820"/>
    <cellStyle name="Normal 12 5 4 2 2 2" xfId="27270"/>
    <cellStyle name="Normal 12 5 4 2 3" xfId="19045"/>
    <cellStyle name="Normal 12 5 4 2 4" xfId="35499"/>
    <cellStyle name="Normal 12 5 4 3" xfId="4240"/>
    <cellStyle name="Normal 12 5 4 3 2" xfId="12465"/>
    <cellStyle name="Normal 12 5 4 3 2 2" xfId="28915"/>
    <cellStyle name="Normal 12 5 4 3 3" xfId="20690"/>
    <cellStyle name="Normal 12 5 4 3 4" xfId="37144"/>
    <cellStyle name="Normal 12 5 4 4" xfId="5885"/>
    <cellStyle name="Normal 12 5 4 4 2" xfId="14110"/>
    <cellStyle name="Normal 12 5 4 4 2 2" xfId="30560"/>
    <cellStyle name="Normal 12 5 4 4 3" xfId="22335"/>
    <cellStyle name="Normal 12 5 4 4 4" xfId="38789"/>
    <cellStyle name="Normal 12 5 4 5" xfId="7530"/>
    <cellStyle name="Normal 12 5 4 5 2" xfId="15755"/>
    <cellStyle name="Normal 12 5 4 5 2 2" xfId="32205"/>
    <cellStyle name="Normal 12 5 4 5 3" xfId="23980"/>
    <cellStyle name="Normal 12 5 4 5 4" xfId="40434"/>
    <cellStyle name="Normal 12 5 4 6" xfId="9175"/>
    <cellStyle name="Normal 12 5 4 6 2" xfId="25625"/>
    <cellStyle name="Normal 12 5 4 7" xfId="17399"/>
    <cellStyle name="Normal 12 5 4 8" xfId="33853"/>
    <cellStyle name="Normal 12 5 4 9" xfId="42080"/>
    <cellStyle name="Normal 12 5 5" xfId="1135"/>
    <cellStyle name="Normal 12 5 5 2" xfId="2830"/>
    <cellStyle name="Normal 12 5 5 2 2" xfId="11055"/>
    <cellStyle name="Normal 12 5 5 2 2 2" xfId="27505"/>
    <cellStyle name="Normal 12 5 5 2 3" xfId="19280"/>
    <cellStyle name="Normal 12 5 5 2 4" xfId="35734"/>
    <cellStyle name="Normal 12 5 5 3" xfId="4475"/>
    <cellStyle name="Normal 12 5 5 3 2" xfId="12700"/>
    <cellStyle name="Normal 12 5 5 3 2 2" xfId="29150"/>
    <cellStyle name="Normal 12 5 5 3 3" xfId="20925"/>
    <cellStyle name="Normal 12 5 5 3 4" xfId="37379"/>
    <cellStyle name="Normal 12 5 5 4" xfId="6120"/>
    <cellStyle name="Normal 12 5 5 4 2" xfId="14345"/>
    <cellStyle name="Normal 12 5 5 4 2 2" xfId="30795"/>
    <cellStyle name="Normal 12 5 5 4 3" xfId="22570"/>
    <cellStyle name="Normal 12 5 5 4 4" xfId="39024"/>
    <cellStyle name="Normal 12 5 5 5" xfId="7765"/>
    <cellStyle name="Normal 12 5 5 5 2" xfId="15990"/>
    <cellStyle name="Normal 12 5 5 5 2 2" xfId="32440"/>
    <cellStyle name="Normal 12 5 5 5 3" xfId="24215"/>
    <cellStyle name="Normal 12 5 5 5 4" xfId="40669"/>
    <cellStyle name="Normal 12 5 5 6" xfId="9410"/>
    <cellStyle name="Normal 12 5 5 6 2" xfId="25860"/>
    <cellStyle name="Normal 12 5 5 7" xfId="17634"/>
    <cellStyle name="Normal 12 5 5 8" xfId="34088"/>
    <cellStyle name="Normal 12 5 5 9" xfId="42315"/>
    <cellStyle name="Normal 12 5 6" xfId="1415"/>
    <cellStyle name="Normal 12 5 6 2" xfId="3065"/>
    <cellStyle name="Normal 12 5 6 2 2" xfId="11290"/>
    <cellStyle name="Normal 12 5 6 2 2 2" xfId="27740"/>
    <cellStyle name="Normal 12 5 6 2 3" xfId="19515"/>
    <cellStyle name="Normal 12 5 6 2 4" xfId="35969"/>
    <cellStyle name="Normal 12 5 6 3" xfId="4710"/>
    <cellStyle name="Normal 12 5 6 3 2" xfId="12935"/>
    <cellStyle name="Normal 12 5 6 3 2 2" xfId="29385"/>
    <cellStyle name="Normal 12 5 6 3 3" xfId="21160"/>
    <cellStyle name="Normal 12 5 6 3 4" xfId="37614"/>
    <cellStyle name="Normal 12 5 6 4" xfId="6355"/>
    <cellStyle name="Normal 12 5 6 4 2" xfId="14580"/>
    <cellStyle name="Normal 12 5 6 4 2 2" xfId="31030"/>
    <cellStyle name="Normal 12 5 6 4 3" xfId="22805"/>
    <cellStyle name="Normal 12 5 6 4 4" xfId="39259"/>
    <cellStyle name="Normal 12 5 6 5" xfId="8000"/>
    <cellStyle name="Normal 12 5 6 5 2" xfId="16225"/>
    <cellStyle name="Normal 12 5 6 5 2 2" xfId="32675"/>
    <cellStyle name="Normal 12 5 6 5 3" xfId="24450"/>
    <cellStyle name="Normal 12 5 6 5 4" xfId="40904"/>
    <cellStyle name="Normal 12 5 6 6" xfId="9645"/>
    <cellStyle name="Normal 12 5 6 6 2" xfId="26095"/>
    <cellStyle name="Normal 12 5 6 7" xfId="17869"/>
    <cellStyle name="Normal 12 5 6 8" xfId="34323"/>
    <cellStyle name="Normal 12 5 7" xfId="1650"/>
    <cellStyle name="Normal 12 5 7 2" xfId="3300"/>
    <cellStyle name="Normal 12 5 7 2 2" xfId="11525"/>
    <cellStyle name="Normal 12 5 7 2 2 2" xfId="27975"/>
    <cellStyle name="Normal 12 5 7 2 3" xfId="19750"/>
    <cellStyle name="Normal 12 5 7 2 4" xfId="36204"/>
    <cellStyle name="Normal 12 5 7 3" xfId="4945"/>
    <cellStyle name="Normal 12 5 7 3 2" xfId="13170"/>
    <cellStyle name="Normal 12 5 7 3 2 2" xfId="29620"/>
    <cellStyle name="Normal 12 5 7 3 3" xfId="21395"/>
    <cellStyle name="Normal 12 5 7 3 4" xfId="37849"/>
    <cellStyle name="Normal 12 5 7 4" xfId="6590"/>
    <cellStyle name="Normal 12 5 7 4 2" xfId="14815"/>
    <cellStyle name="Normal 12 5 7 4 2 2" xfId="31265"/>
    <cellStyle name="Normal 12 5 7 4 3" xfId="23040"/>
    <cellStyle name="Normal 12 5 7 4 4" xfId="39494"/>
    <cellStyle name="Normal 12 5 7 5" xfId="8235"/>
    <cellStyle name="Normal 12 5 7 5 2" xfId="16460"/>
    <cellStyle name="Normal 12 5 7 5 2 2" xfId="32910"/>
    <cellStyle name="Normal 12 5 7 5 3" xfId="24685"/>
    <cellStyle name="Normal 12 5 7 5 4" xfId="41139"/>
    <cellStyle name="Normal 12 5 7 6" xfId="9880"/>
    <cellStyle name="Normal 12 5 7 6 2" xfId="26330"/>
    <cellStyle name="Normal 12 5 7 7" xfId="18104"/>
    <cellStyle name="Normal 12 5 7 8" xfId="34558"/>
    <cellStyle name="Normal 12 5 8" xfId="1885"/>
    <cellStyle name="Normal 12 5 8 2" xfId="10115"/>
    <cellStyle name="Normal 12 5 8 2 2" xfId="26565"/>
    <cellStyle name="Normal 12 5 8 3" xfId="18339"/>
    <cellStyle name="Normal 12 5 8 4" xfId="34793"/>
    <cellStyle name="Normal 12 5 9" xfId="3535"/>
    <cellStyle name="Normal 12 5 9 2" xfId="11760"/>
    <cellStyle name="Normal 12 5 9 2 2" xfId="28210"/>
    <cellStyle name="Normal 12 5 9 3" xfId="19985"/>
    <cellStyle name="Normal 12 5 9 4" xfId="36439"/>
    <cellStyle name="Normal 12 6" xfId="210"/>
    <cellStyle name="Normal 12 6 10" xfId="5207"/>
    <cellStyle name="Normal 12 6 10 2" xfId="13432"/>
    <cellStyle name="Normal 12 6 10 2 2" xfId="29882"/>
    <cellStyle name="Normal 12 6 10 3" xfId="21657"/>
    <cellStyle name="Normal 12 6 10 4" xfId="38111"/>
    <cellStyle name="Normal 12 6 11" xfId="6852"/>
    <cellStyle name="Normal 12 6 11 2" xfId="15077"/>
    <cellStyle name="Normal 12 6 11 2 2" xfId="31527"/>
    <cellStyle name="Normal 12 6 11 3" xfId="23302"/>
    <cellStyle name="Normal 12 6 11 4" xfId="39756"/>
    <cellStyle name="Normal 12 6 12" xfId="8497"/>
    <cellStyle name="Normal 12 6 12 2" xfId="24947"/>
    <cellStyle name="Normal 12 6 13" xfId="16721"/>
    <cellStyle name="Normal 12 6 14" xfId="33174"/>
    <cellStyle name="Normal 12 6 15" xfId="41402"/>
    <cellStyle name="Normal 12 6 2" xfId="453"/>
    <cellStyle name="Normal 12 6 2 2" xfId="2150"/>
    <cellStyle name="Normal 12 6 2 2 2" xfId="10377"/>
    <cellStyle name="Normal 12 6 2 2 2 2" xfId="26827"/>
    <cellStyle name="Normal 12 6 2 2 3" xfId="18602"/>
    <cellStyle name="Normal 12 6 2 2 4" xfId="35056"/>
    <cellStyle name="Normal 12 6 2 3" xfId="3797"/>
    <cellStyle name="Normal 12 6 2 3 2" xfId="12022"/>
    <cellStyle name="Normal 12 6 2 3 2 2" xfId="28472"/>
    <cellStyle name="Normal 12 6 2 3 3" xfId="20247"/>
    <cellStyle name="Normal 12 6 2 3 4" xfId="36701"/>
    <cellStyle name="Normal 12 6 2 4" xfId="5442"/>
    <cellStyle name="Normal 12 6 2 4 2" xfId="13667"/>
    <cellStyle name="Normal 12 6 2 4 2 2" xfId="30117"/>
    <cellStyle name="Normal 12 6 2 4 3" xfId="21892"/>
    <cellStyle name="Normal 12 6 2 4 4" xfId="38346"/>
    <cellStyle name="Normal 12 6 2 5" xfId="7087"/>
    <cellStyle name="Normal 12 6 2 5 2" xfId="15312"/>
    <cellStyle name="Normal 12 6 2 5 2 2" xfId="31762"/>
    <cellStyle name="Normal 12 6 2 5 3" xfId="23537"/>
    <cellStyle name="Normal 12 6 2 5 4" xfId="39991"/>
    <cellStyle name="Normal 12 6 2 6" xfId="8732"/>
    <cellStyle name="Normal 12 6 2 6 2" xfId="25182"/>
    <cellStyle name="Normal 12 6 2 7" xfId="16956"/>
    <cellStyle name="Normal 12 6 2 8" xfId="33410"/>
    <cellStyle name="Normal 12 6 2 9" xfId="41637"/>
    <cellStyle name="Normal 12 6 3" xfId="692"/>
    <cellStyle name="Normal 12 6 3 2" xfId="2387"/>
    <cellStyle name="Normal 12 6 3 2 2" xfId="10612"/>
    <cellStyle name="Normal 12 6 3 2 2 2" xfId="27062"/>
    <cellStyle name="Normal 12 6 3 2 3" xfId="18837"/>
    <cellStyle name="Normal 12 6 3 2 4" xfId="35291"/>
    <cellStyle name="Normal 12 6 3 3" xfId="4032"/>
    <cellStyle name="Normal 12 6 3 3 2" xfId="12257"/>
    <cellStyle name="Normal 12 6 3 3 2 2" xfId="28707"/>
    <cellStyle name="Normal 12 6 3 3 3" xfId="20482"/>
    <cellStyle name="Normal 12 6 3 3 4" xfId="36936"/>
    <cellStyle name="Normal 12 6 3 4" xfId="5677"/>
    <cellStyle name="Normal 12 6 3 4 2" xfId="13902"/>
    <cellStyle name="Normal 12 6 3 4 2 2" xfId="30352"/>
    <cellStyle name="Normal 12 6 3 4 3" xfId="22127"/>
    <cellStyle name="Normal 12 6 3 4 4" xfId="38581"/>
    <cellStyle name="Normal 12 6 3 5" xfId="7322"/>
    <cellStyle name="Normal 12 6 3 5 2" xfId="15547"/>
    <cellStyle name="Normal 12 6 3 5 2 2" xfId="31997"/>
    <cellStyle name="Normal 12 6 3 5 3" xfId="23772"/>
    <cellStyle name="Normal 12 6 3 5 4" xfId="40226"/>
    <cellStyle name="Normal 12 6 3 6" xfId="8967"/>
    <cellStyle name="Normal 12 6 3 6 2" xfId="25417"/>
    <cellStyle name="Normal 12 6 3 7" xfId="17191"/>
    <cellStyle name="Normal 12 6 3 8" xfId="33645"/>
    <cellStyle name="Normal 12 6 3 9" xfId="41872"/>
    <cellStyle name="Normal 12 6 4" xfId="927"/>
    <cellStyle name="Normal 12 6 4 2" xfId="2622"/>
    <cellStyle name="Normal 12 6 4 2 2" xfId="10847"/>
    <cellStyle name="Normal 12 6 4 2 2 2" xfId="27297"/>
    <cellStyle name="Normal 12 6 4 2 3" xfId="19072"/>
    <cellStyle name="Normal 12 6 4 2 4" xfId="35526"/>
    <cellStyle name="Normal 12 6 4 3" xfId="4267"/>
    <cellStyle name="Normal 12 6 4 3 2" xfId="12492"/>
    <cellStyle name="Normal 12 6 4 3 2 2" xfId="28942"/>
    <cellStyle name="Normal 12 6 4 3 3" xfId="20717"/>
    <cellStyle name="Normal 12 6 4 3 4" xfId="37171"/>
    <cellStyle name="Normal 12 6 4 4" xfId="5912"/>
    <cellStyle name="Normal 12 6 4 4 2" xfId="14137"/>
    <cellStyle name="Normal 12 6 4 4 2 2" xfId="30587"/>
    <cellStyle name="Normal 12 6 4 4 3" xfId="22362"/>
    <cellStyle name="Normal 12 6 4 4 4" xfId="38816"/>
    <cellStyle name="Normal 12 6 4 5" xfId="7557"/>
    <cellStyle name="Normal 12 6 4 5 2" xfId="15782"/>
    <cellStyle name="Normal 12 6 4 5 2 2" xfId="32232"/>
    <cellStyle name="Normal 12 6 4 5 3" xfId="24007"/>
    <cellStyle name="Normal 12 6 4 5 4" xfId="40461"/>
    <cellStyle name="Normal 12 6 4 6" xfId="9202"/>
    <cellStyle name="Normal 12 6 4 6 2" xfId="25652"/>
    <cellStyle name="Normal 12 6 4 7" xfId="17426"/>
    <cellStyle name="Normal 12 6 4 8" xfId="33880"/>
    <cellStyle name="Normal 12 6 4 9" xfId="42107"/>
    <cellStyle name="Normal 12 6 5" xfId="1162"/>
    <cellStyle name="Normal 12 6 5 2" xfId="2857"/>
    <cellStyle name="Normal 12 6 5 2 2" xfId="11082"/>
    <cellStyle name="Normal 12 6 5 2 2 2" xfId="27532"/>
    <cellStyle name="Normal 12 6 5 2 3" xfId="19307"/>
    <cellStyle name="Normal 12 6 5 2 4" xfId="35761"/>
    <cellStyle name="Normal 12 6 5 3" xfId="4502"/>
    <cellStyle name="Normal 12 6 5 3 2" xfId="12727"/>
    <cellStyle name="Normal 12 6 5 3 2 2" xfId="29177"/>
    <cellStyle name="Normal 12 6 5 3 3" xfId="20952"/>
    <cellStyle name="Normal 12 6 5 3 4" xfId="37406"/>
    <cellStyle name="Normal 12 6 5 4" xfId="6147"/>
    <cellStyle name="Normal 12 6 5 4 2" xfId="14372"/>
    <cellStyle name="Normal 12 6 5 4 2 2" xfId="30822"/>
    <cellStyle name="Normal 12 6 5 4 3" xfId="22597"/>
    <cellStyle name="Normal 12 6 5 4 4" xfId="39051"/>
    <cellStyle name="Normal 12 6 5 5" xfId="7792"/>
    <cellStyle name="Normal 12 6 5 5 2" xfId="16017"/>
    <cellStyle name="Normal 12 6 5 5 2 2" xfId="32467"/>
    <cellStyle name="Normal 12 6 5 5 3" xfId="24242"/>
    <cellStyle name="Normal 12 6 5 5 4" xfId="40696"/>
    <cellStyle name="Normal 12 6 5 6" xfId="9437"/>
    <cellStyle name="Normal 12 6 5 6 2" xfId="25887"/>
    <cellStyle name="Normal 12 6 5 7" xfId="17661"/>
    <cellStyle name="Normal 12 6 5 8" xfId="34115"/>
    <cellStyle name="Normal 12 6 5 9" xfId="42342"/>
    <cellStyle name="Normal 12 6 6" xfId="1442"/>
    <cellStyle name="Normal 12 6 6 2" xfId="3092"/>
    <cellStyle name="Normal 12 6 6 2 2" xfId="11317"/>
    <cellStyle name="Normal 12 6 6 2 2 2" xfId="27767"/>
    <cellStyle name="Normal 12 6 6 2 3" xfId="19542"/>
    <cellStyle name="Normal 12 6 6 2 4" xfId="35996"/>
    <cellStyle name="Normal 12 6 6 3" xfId="4737"/>
    <cellStyle name="Normal 12 6 6 3 2" xfId="12962"/>
    <cellStyle name="Normal 12 6 6 3 2 2" xfId="29412"/>
    <cellStyle name="Normal 12 6 6 3 3" xfId="21187"/>
    <cellStyle name="Normal 12 6 6 3 4" xfId="37641"/>
    <cellStyle name="Normal 12 6 6 4" xfId="6382"/>
    <cellStyle name="Normal 12 6 6 4 2" xfId="14607"/>
    <cellStyle name="Normal 12 6 6 4 2 2" xfId="31057"/>
    <cellStyle name="Normal 12 6 6 4 3" xfId="22832"/>
    <cellStyle name="Normal 12 6 6 4 4" xfId="39286"/>
    <cellStyle name="Normal 12 6 6 5" xfId="8027"/>
    <cellStyle name="Normal 12 6 6 5 2" xfId="16252"/>
    <cellStyle name="Normal 12 6 6 5 2 2" xfId="32702"/>
    <cellStyle name="Normal 12 6 6 5 3" xfId="24477"/>
    <cellStyle name="Normal 12 6 6 5 4" xfId="40931"/>
    <cellStyle name="Normal 12 6 6 6" xfId="9672"/>
    <cellStyle name="Normal 12 6 6 6 2" xfId="26122"/>
    <cellStyle name="Normal 12 6 6 7" xfId="17896"/>
    <cellStyle name="Normal 12 6 6 8" xfId="34350"/>
    <cellStyle name="Normal 12 6 7" xfId="1677"/>
    <cellStyle name="Normal 12 6 7 2" xfId="3327"/>
    <cellStyle name="Normal 12 6 7 2 2" xfId="11552"/>
    <cellStyle name="Normal 12 6 7 2 2 2" xfId="28002"/>
    <cellStyle name="Normal 12 6 7 2 3" xfId="19777"/>
    <cellStyle name="Normal 12 6 7 2 4" xfId="36231"/>
    <cellStyle name="Normal 12 6 7 3" xfId="4972"/>
    <cellStyle name="Normal 12 6 7 3 2" xfId="13197"/>
    <cellStyle name="Normal 12 6 7 3 2 2" xfId="29647"/>
    <cellStyle name="Normal 12 6 7 3 3" xfId="21422"/>
    <cellStyle name="Normal 12 6 7 3 4" xfId="37876"/>
    <cellStyle name="Normal 12 6 7 4" xfId="6617"/>
    <cellStyle name="Normal 12 6 7 4 2" xfId="14842"/>
    <cellStyle name="Normal 12 6 7 4 2 2" xfId="31292"/>
    <cellStyle name="Normal 12 6 7 4 3" xfId="23067"/>
    <cellStyle name="Normal 12 6 7 4 4" xfId="39521"/>
    <cellStyle name="Normal 12 6 7 5" xfId="8262"/>
    <cellStyle name="Normal 12 6 7 5 2" xfId="16487"/>
    <cellStyle name="Normal 12 6 7 5 2 2" xfId="32937"/>
    <cellStyle name="Normal 12 6 7 5 3" xfId="24712"/>
    <cellStyle name="Normal 12 6 7 5 4" xfId="41166"/>
    <cellStyle name="Normal 12 6 7 6" xfId="9907"/>
    <cellStyle name="Normal 12 6 7 6 2" xfId="26357"/>
    <cellStyle name="Normal 12 6 7 7" xfId="18131"/>
    <cellStyle name="Normal 12 6 7 8" xfId="34585"/>
    <cellStyle name="Normal 12 6 8" xfId="1912"/>
    <cellStyle name="Normal 12 6 8 2" xfId="10142"/>
    <cellStyle name="Normal 12 6 8 2 2" xfId="26592"/>
    <cellStyle name="Normal 12 6 8 3" xfId="18366"/>
    <cellStyle name="Normal 12 6 8 4" xfId="34820"/>
    <cellStyle name="Normal 12 6 9" xfId="3562"/>
    <cellStyle name="Normal 12 6 9 2" xfId="11787"/>
    <cellStyle name="Normal 12 6 9 2 2" xfId="28237"/>
    <cellStyle name="Normal 12 6 9 3" xfId="20012"/>
    <cellStyle name="Normal 12 6 9 4" xfId="36466"/>
    <cellStyle name="Normal 12 7" xfId="237"/>
    <cellStyle name="Normal 12 7 10" xfId="5234"/>
    <cellStyle name="Normal 12 7 10 2" xfId="13459"/>
    <cellStyle name="Normal 12 7 10 2 2" xfId="29909"/>
    <cellStyle name="Normal 12 7 10 3" xfId="21684"/>
    <cellStyle name="Normal 12 7 10 4" xfId="38138"/>
    <cellStyle name="Normal 12 7 11" xfId="6879"/>
    <cellStyle name="Normal 12 7 11 2" xfId="15104"/>
    <cellStyle name="Normal 12 7 11 2 2" xfId="31554"/>
    <cellStyle name="Normal 12 7 11 3" xfId="23329"/>
    <cellStyle name="Normal 12 7 11 4" xfId="39783"/>
    <cellStyle name="Normal 12 7 12" xfId="8524"/>
    <cellStyle name="Normal 12 7 12 2" xfId="24974"/>
    <cellStyle name="Normal 12 7 13" xfId="16748"/>
    <cellStyle name="Normal 12 7 14" xfId="33201"/>
    <cellStyle name="Normal 12 7 15" xfId="41429"/>
    <cellStyle name="Normal 12 7 2" xfId="480"/>
    <cellStyle name="Normal 12 7 2 2" xfId="2177"/>
    <cellStyle name="Normal 12 7 2 2 2" xfId="10404"/>
    <cellStyle name="Normal 12 7 2 2 2 2" xfId="26854"/>
    <cellStyle name="Normal 12 7 2 2 3" xfId="18629"/>
    <cellStyle name="Normal 12 7 2 2 4" xfId="35083"/>
    <cellStyle name="Normal 12 7 2 3" xfId="3824"/>
    <cellStyle name="Normal 12 7 2 3 2" xfId="12049"/>
    <cellStyle name="Normal 12 7 2 3 2 2" xfId="28499"/>
    <cellStyle name="Normal 12 7 2 3 3" xfId="20274"/>
    <cellStyle name="Normal 12 7 2 3 4" xfId="36728"/>
    <cellStyle name="Normal 12 7 2 4" xfId="5469"/>
    <cellStyle name="Normal 12 7 2 4 2" xfId="13694"/>
    <cellStyle name="Normal 12 7 2 4 2 2" xfId="30144"/>
    <cellStyle name="Normal 12 7 2 4 3" xfId="21919"/>
    <cellStyle name="Normal 12 7 2 4 4" xfId="38373"/>
    <cellStyle name="Normal 12 7 2 5" xfId="7114"/>
    <cellStyle name="Normal 12 7 2 5 2" xfId="15339"/>
    <cellStyle name="Normal 12 7 2 5 2 2" xfId="31789"/>
    <cellStyle name="Normal 12 7 2 5 3" xfId="23564"/>
    <cellStyle name="Normal 12 7 2 5 4" xfId="40018"/>
    <cellStyle name="Normal 12 7 2 6" xfId="8759"/>
    <cellStyle name="Normal 12 7 2 6 2" xfId="25209"/>
    <cellStyle name="Normal 12 7 2 7" xfId="16983"/>
    <cellStyle name="Normal 12 7 2 8" xfId="33437"/>
    <cellStyle name="Normal 12 7 2 9" xfId="41664"/>
    <cellStyle name="Normal 12 7 3" xfId="719"/>
    <cellStyle name="Normal 12 7 3 2" xfId="2414"/>
    <cellStyle name="Normal 12 7 3 2 2" xfId="10639"/>
    <cellStyle name="Normal 12 7 3 2 2 2" xfId="27089"/>
    <cellStyle name="Normal 12 7 3 2 3" xfId="18864"/>
    <cellStyle name="Normal 12 7 3 2 4" xfId="35318"/>
    <cellStyle name="Normal 12 7 3 3" xfId="4059"/>
    <cellStyle name="Normal 12 7 3 3 2" xfId="12284"/>
    <cellStyle name="Normal 12 7 3 3 2 2" xfId="28734"/>
    <cellStyle name="Normal 12 7 3 3 3" xfId="20509"/>
    <cellStyle name="Normal 12 7 3 3 4" xfId="36963"/>
    <cellStyle name="Normal 12 7 3 4" xfId="5704"/>
    <cellStyle name="Normal 12 7 3 4 2" xfId="13929"/>
    <cellStyle name="Normal 12 7 3 4 2 2" xfId="30379"/>
    <cellStyle name="Normal 12 7 3 4 3" xfId="22154"/>
    <cellStyle name="Normal 12 7 3 4 4" xfId="38608"/>
    <cellStyle name="Normal 12 7 3 5" xfId="7349"/>
    <cellStyle name="Normal 12 7 3 5 2" xfId="15574"/>
    <cellStyle name="Normal 12 7 3 5 2 2" xfId="32024"/>
    <cellStyle name="Normal 12 7 3 5 3" xfId="23799"/>
    <cellStyle name="Normal 12 7 3 5 4" xfId="40253"/>
    <cellStyle name="Normal 12 7 3 6" xfId="8994"/>
    <cellStyle name="Normal 12 7 3 6 2" xfId="25444"/>
    <cellStyle name="Normal 12 7 3 7" xfId="17218"/>
    <cellStyle name="Normal 12 7 3 8" xfId="33672"/>
    <cellStyle name="Normal 12 7 3 9" xfId="41899"/>
    <cellStyle name="Normal 12 7 4" xfId="954"/>
    <cellStyle name="Normal 12 7 4 2" xfId="2649"/>
    <cellStyle name="Normal 12 7 4 2 2" xfId="10874"/>
    <cellStyle name="Normal 12 7 4 2 2 2" xfId="27324"/>
    <cellStyle name="Normal 12 7 4 2 3" xfId="19099"/>
    <cellStyle name="Normal 12 7 4 2 4" xfId="35553"/>
    <cellStyle name="Normal 12 7 4 3" xfId="4294"/>
    <cellStyle name="Normal 12 7 4 3 2" xfId="12519"/>
    <cellStyle name="Normal 12 7 4 3 2 2" xfId="28969"/>
    <cellStyle name="Normal 12 7 4 3 3" xfId="20744"/>
    <cellStyle name="Normal 12 7 4 3 4" xfId="37198"/>
    <cellStyle name="Normal 12 7 4 4" xfId="5939"/>
    <cellStyle name="Normal 12 7 4 4 2" xfId="14164"/>
    <cellStyle name="Normal 12 7 4 4 2 2" xfId="30614"/>
    <cellStyle name="Normal 12 7 4 4 3" xfId="22389"/>
    <cellStyle name="Normal 12 7 4 4 4" xfId="38843"/>
    <cellStyle name="Normal 12 7 4 5" xfId="7584"/>
    <cellStyle name="Normal 12 7 4 5 2" xfId="15809"/>
    <cellStyle name="Normal 12 7 4 5 2 2" xfId="32259"/>
    <cellStyle name="Normal 12 7 4 5 3" xfId="24034"/>
    <cellStyle name="Normal 12 7 4 5 4" xfId="40488"/>
    <cellStyle name="Normal 12 7 4 6" xfId="9229"/>
    <cellStyle name="Normal 12 7 4 6 2" xfId="25679"/>
    <cellStyle name="Normal 12 7 4 7" xfId="17453"/>
    <cellStyle name="Normal 12 7 4 8" xfId="33907"/>
    <cellStyle name="Normal 12 7 4 9" xfId="42134"/>
    <cellStyle name="Normal 12 7 5" xfId="1189"/>
    <cellStyle name="Normal 12 7 5 2" xfId="2884"/>
    <cellStyle name="Normal 12 7 5 2 2" xfId="11109"/>
    <cellStyle name="Normal 12 7 5 2 2 2" xfId="27559"/>
    <cellStyle name="Normal 12 7 5 2 3" xfId="19334"/>
    <cellStyle name="Normal 12 7 5 2 4" xfId="35788"/>
    <cellStyle name="Normal 12 7 5 3" xfId="4529"/>
    <cellStyle name="Normal 12 7 5 3 2" xfId="12754"/>
    <cellStyle name="Normal 12 7 5 3 2 2" xfId="29204"/>
    <cellStyle name="Normal 12 7 5 3 3" xfId="20979"/>
    <cellStyle name="Normal 12 7 5 3 4" xfId="37433"/>
    <cellStyle name="Normal 12 7 5 4" xfId="6174"/>
    <cellStyle name="Normal 12 7 5 4 2" xfId="14399"/>
    <cellStyle name="Normal 12 7 5 4 2 2" xfId="30849"/>
    <cellStyle name="Normal 12 7 5 4 3" xfId="22624"/>
    <cellStyle name="Normal 12 7 5 4 4" xfId="39078"/>
    <cellStyle name="Normal 12 7 5 5" xfId="7819"/>
    <cellStyle name="Normal 12 7 5 5 2" xfId="16044"/>
    <cellStyle name="Normal 12 7 5 5 2 2" xfId="32494"/>
    <cellStyle name="Normal 12 7 5 5 3" xfId="24269"/>
    <cellStyle name="Normal 12 7 5 5 4" xfId="40723"/>
    <cellStyle name="Normal 12 7 5 6" xfId="9464"/>
    <cellStyle name="Normal 12 7 5 6 2" xfId="25914"/>
    <cellStyle name="Normal 12 7 5 7" xfId="17688"/>
    <cellStyle name="Normal 12 7 5 8" xfId="34142"/>
    <cellStyle name="Normal 12 7 5 9" xfId="42369"/>
    <cellStyle name="Normal 12 7 6" xfId="1469"/>
    <cellStyle name="Normal 12 7 6 2" xfId="3119"/>
    <cellStyle name="Normal 12 7 6 2 2" xfId="11344"/>
    <cellStyle name="Normal 12 7 6 2 2 2" xfId="27794"/>
    <cellStyle name="Normal 12 7 6 2 3" xfId="19569"/>
    <cellStyle name="Normal 12 7 6 2 4" xfId="36023"/>
    <cellStyle name="Normal 12 7 6 3" xfId="4764"/>
    <cellStyle name="Normal 12 7 6 3 2" xfId="12989"/>
    <cellStyle name="Normal 12 7 6 3 2 2" xfId="29439"/>
    <cellStyle name="Normal 12 7 6 3 3" xfId="21214"/>
    <cellStyle name="Normal 12 7 6 3 4" xfId="37668"/>
    <cellStyle name="Normal 12 7 6 4" xfId="6409"/>
    <cellStyle name="Normal 12 7 6 4 2" xfId="14634"/>
    <cellStyle name="Normal 12 7 6 4 2 2" xfId="31084"/>
    <cellStyle name="Normal 12 7 6 4 3" xfId="22859"/>
    <cellStyle name="Normal 12 7 6 4 4" xfId="39313"/>
    <cellStyle name="Normal 12 7 6 5" xfId="8054"/>
    <cellStyle name="Normal 12 7 6 5 2" xfId="16279"/>
    <cellStyle name="Normal 12 7 6 5 2 2" xfId="32729"/>
    <cellStyle name="Normal 12 7 6 5 3" xfId="24504"/>
    <cellStyle name="Normal 12 7 6 5 4" xfId="40958"/>
    <cellStyle name="Normal 12 7 6 6" xfId="9699"/>
    <cellStyle name="Normal 12 7 6 6 2" xfId="26149"/>
    <cellStyle name="Normal 12 7 6 7" xfId="17923"/>
    <cellStyle name="Normal 12 7 6 8" xfId="34377"/>
    <cellStyle name="Normal 12 7 7" xfId="1704"/>
    <cellStyle name="Normal 12 7 7 2" xfId="3354"/>
    <cellStyle name="Normal 12 7 7 2 2" xfId="11579"/>
    <cellStyle name="Normal 12 7 7 2 2 2" xfId="28029"/>
    <cellStyle name="Normal 12 7 7 2 3" xfId="19804"/>
    <cellStyle name="Normal 12 7 7 2 4" xfId="36258"/>
    <cellStyle name="Normal 12 7 7 3" xfId="4999"/>
    <cellStyle name="Normal 12 7 7 3 2" xfId="13224"/>
    <cellStyle name="Normal 12 7 7 3 2 2" xfId="29674"/>
    <cellStyle name="Normal 12 7 7 3 3" xfId="21449"/>
    <cellStyle name="Normal 12 7 7 3 4" xfId="37903"/>
    <cellStyle name="Normal 12 7 7 4" xfId="6644"/>
    <cellStyle name="Normal 12 7 7 4 2" xfId="14869"/>
    <cellStyle name="Normal 12 7 7 4 2 2" xfId="31319"/>
    <cellStyle name="Normal 12 7 7 4 3" xfId="23094"/>
    <cellStyle name="Normal 12 7 7 4 4" xfId="39548"/>
    <cellStyle name="Normal 12 7 7 5" xfId="8289"/>
    <cellStyle name="Normal 12 7 7 5 2" xfId="16514"/>
    <cellStyle name="Normal 12 7 7 5 2 2" xfId="32964"/>
    <cellStyle name="Normal 12 7 7 5 3" xfId="24739"/>
    <cellStyle name="Normal 12 7 7 5 4" xfId="41193"/>
    <cellStyle name="Normal 12 7 7 6" xfId="9934"/>
    <cellStyle name="Normal 12 7 7 6 2" xfId="26384"/>
    <cellStyle name="Normal 12 7 7 7" xfId="18158"/>
    <cellStyle name="Normal 12 7 7 8" xfId="34612"/>
    <cellStyle name="Normal 12 7 8" xfId="1939"/>
    <cellStyle name="Normal 12 7 8 2" xfId="10169"/>
    <cellStyle name="Normal 12 7 8 2 2" xfId="26619"/>
    <cellStyle name="Normal 12 7 8 3" xfId="18393"/>
    <cellStyle name="Normal 12 7 8 4" xfId="34847"/>
    <cellStyle name="Normal 12 7 9" xfId="3589"/>
    <cellStyle name="Normal 12 7 9 2" xfId="11814"/>
    <cellStyle name="Normal 12 7 9 2 2" xfId="28264"/>
    <cellStyle name="Normal 12 7 9 3" xfId="20039"/>
    <cellStyle name="Normal 12 7 9 4" xfId="36493"/>
    <cellStyle name="Normal 12 8" xfId="266"/>
    <cellStyle name="Normal 12 8 10" xfId="5261"/>
    <cellStyle name="Normal 12 8 10 2" xfId="13486"/>
    <cellStyle name="Normal 12 8 10 2 2" xfId="29936"/>
    <cellStyle name="Normal 12 8 10 3" xfId="21711"/>
    <cellStyle name="Normal 12 8 10 4" xfId="38165"/>
    <cellStyle name="Normal 12 8 11" xfId="6906"/>
    <cellStyle name="Normal 12 8 11 2" xfId="15131"/>
    <cellStyle name="Normal 12 8 11 2 2" xfId="31581"/>
    <cellStyle name="Normal 12 8 11 3" xfId="23356"/>
    <cellStyle name="Normal 12 8 11 4" xfId="39810"/>
    <cellStyle name="Normal 12 8 12" xfId="8551"/>
    <cellStyle name="Normal 12 8 12 2" xfId="25001"/>
    <cellStyle name="Normal 12 8 13" xfId="16775"/>
    <cellStyle name="Normal 12 8 14" xfId="33228"/>
    <cellStyle name="Normal 12 8 15" xfId="41456"/>
    <cellStyle name="Normal 12 8 2" xfId="509"/>
    <cellStyle name="Normal 12 8 2 2" xfId="2204"/>
    <cellStyle name="Normal 12 8 2 2 2" xfId="10431"/>
    <cellStyle name="Normal 12 8 2 2 2 2" xfId="26881"/>
    <cellStyle name="Normal 12 8 2 2 3" xfId="18656"/>
    <cellStyle name="Normal 12 8 2 2 4" xfId="35110"/>
    <cellStyle name="Normal 12 8 2 3" xfId="3851"/>
    <cellStyle name="Normal 12 8 2 3 2" xfId="12076"/>
    <cellStyle name="Normal 12 8 2 3 2 2" xfId="28526"/>
    <cellStyle name="Normal 12 8 2 3 3" xfId="20301"/>
    <cellStyle name="Normal 12 8 2 3 4" xfId="36755"/>
    <cellStyle name="Normal 12 8 2 4" xfId="5496"/>
    <cellStyle name="Normal 12 8 2 4 2" xfId="13721"/>
    <cellStyle name="Normal 12 8 2 4 2 2" xfId="30171"/>
    <cellStyle name="Normal 12 8 2 4 3" xfId="21946"/>
    <cellStyle name="Normal 12 8 2 4 4" xfId="38400"/>
    <cellStyle name="Normal 12 8 2 5" xfId="7141"/>
    <cellStyle name="Normal 12 8 2 5 2" xfId="15366"/>
    <cellStyle name="Normal 12 8 2 5 2 2" xfId="31816"/>
    <cellStyle name="Normal 12 8 2 5 3" xfId="23591"/>
    <cellStyle name="Normal 12 8 2 5 4" xfId="40045"/>
    <cellStyle name="Normal 12 8 2 6" xfId="8786"/>
    <cellStyle name="Normal 12 8 2 6 2" xfId="25236"/>
    <cellStyle name="Normal 12 8 2 7" xfId="17010"/>
    <cellStyle name="Normal 12 8 2 8" xfId="33464"/>
    <cellStyle name="Normal 12 8 2 9" xfId="41691"/>
    <cellStyle name="Normal 12 8 3" xfId="746"/>
    <cellStyle name="Normal 12 8 3 2" xfId="2441"/>
    <cellStyle name="Normal 12 8 3 2 2" xfId="10666"/>
    <cellStyle name="Normal 12 8 3 2 2 2" xfId="27116"/>
    <cellStyle name="Normal 12 8 3 2 3" xfId="18891"/>
    <cellStyle name="Normal 12 8 3 2 4" xfId="35345"/>
    <cellStyle name="Normal 12 8 3 3" xfId="4086"/>
    <cellStyle name="Normal 12 8 3 3 2" xfId="12311"/>
    <cellStyle name="Normal 12 8 3 3 2 2" xfId="28761"/>
    <cellStyle name="Normal 12 8 3 3 3" xfId="20536"/>
    <cellStyle name="Normal 12 8 3 3 4" xfId="36990"/>
    <cellStyle name="Normal 12 8 3 4" xfId="5731"/>
    <cellStyle name="Normal 12 8 3 4 2" xfId="13956"/>
    <cellStyle name="Normal 12 8 3 4 2 2" xfId="30406"/>
    <cellStyle name="Normal 12 8 3 4 3" xfId="22181"/>
    <cellStyle name="Normal 12 8 3 4 4" xfId="38635"/>
    <cellStyle name="Normal 12 8 3 5" xfId="7376"/>
    <cellStyle name="Normal 12 8 3 5 2" xfId="15601"/>
    <cellStyle name="Normal 12 8 3 5 2 2" xfId="32051"/>
    <cellStyle name="Normal 12 8 3 5 3" xfId="23826"/>
    <cellStyle name="Normal 12 8 3 5 4" xfId="40280"/>
    <cellStyle name="Normal 12 8 3 6" xfId="9021"/>
    <cellStyle name="Normal 12 8 3 6 2" xfId="25471"/>
    <cellStyle name="Normal 12 8 3 7" xfId="17245"/>
    <cellStyle name="Normal 12 8 3 8" xfId="33699"/>
    <cellStyle name="Normal 12 8 3 9" xfId="41926"/>
    <cellStyle name="Normal 12 8 4" xfId="981"/>
    <cellStyle name="Normal 12 8 4 2" xfId="2676"/>
    <cellStyle name="Normal 12 8 4 2 2" xfId="10901"/>
    <cellStyle name="Normal 12 8 4 2 2 2" xfId="27351"/>
    <cellStyle name="Normal 12 8 4 2 3" xfId="19126"/>
    <cellStyle name="Normal 12 8 4 2 4" xfId="35580"/>
    <cellStyle name="Normal 12 8 4 3" xfId="4321"/>
    <cellStyle name="Normal 12 8 4 3 2" xfId="12546"/>
    <cellStyle name="Normal 12 8 4 3 2 2" xfId="28996"/>
    <cellStyle name="Normal 12 8 4 3 3" xfId="20771"/>
    <cellStyle name="Normal 12 8 4 3 4" xfId="37225"/>
    <cellStyle name="Normal 12 8 4 4" xfId="5966"/>
    <cellStyle name="Normal 12 8 4 4 2" xfId="14191"/>
    <cellStyle name="Normal 12 8 4 4 2 2" xfId="30641"/>
    <cellStyle name="Normal 12 8 4 4 3" xfId="22416"/>
    <cellStyle name="Normal 12 8 4 4 4" xfId="38870"/>
    <cellStyle name="Normal 12 8 4 5" xfId="7611"/>
    <cellStyle name="Normal 12 8 4 5 2" xfId="15836"/>
    <cellStyle name="Normal 12 8 4 5 2 2" xfId="32286"/>
    <cellStyle name="Normal 12 8 4 5 3" xfId="24061"/>
    <cellStyle name="Normal 12 8 4 5 4" xfId="40515"/>
    <cellStyle name="Normal 12 8 4 6" xfId="9256"/>
    <cellStyle name="Normal 12 8 4 6 2" xfId="25706"/>
    <cellStyle name="Normal 12 8 4 7" xfId="17480"/>
    <cellStyle name="Normal 12 8 4 8" xfId="33934"/>
    <cellStyle name="Normal 12 8 4 9" xfId="42161"/>
    <cellStyle name="Normal 12 8 5" xfId="1216"/>
    <cellStyle name="Normal 12 8 5 2" xfId="2911"/>
    <cellStyle name="Normal 12 8 5 2 2" xfId="11136"/>
    <cellStyle name="Normal 12 8 5 2 2 2" xfId="27586"/>
    <cellStyle name="Normal 12 8 5 2 3" xfId="19361"/>
    <cellStyle name="Normal 12 8 5 2 4" xfId="35815"/>
    <cellStyle name="Normal 12 8 5 3" xfId="4556"/>
    <cellStyle name="Normal 12 8 5 3 2" xfId="12781"/>
    <cellStyle name="Normal 12 8 5 3 2 2" xfId="29231"/>
    <cellStyle name="Normal 12 8 5 3 3" xfId="21006"/>
    <cellStyle name="Normal 12 8 5 3 4" xfId="37460"/>
    <cellStyle name="Normal 12 8 5 4" xfId="6201"/>
    <cellStyle name="Normal 12 8 5 4 2" xfId="14426"/>
    <cellStyle name="Normal 12 8 5 4 2 2" xfId="30876"/>
    <cellStyle name="Normal 12 8 5 4 3" xfId="22651"/>
    <cellStyle name="Normal 12 8 5 4 4" xfId="39105"/>
    <cellStyle name="Normal 12 8 5 5" xfId="7846"/>
    <cellStyle name="Normal 12 8 5 5 2" xfId="16071"/>
    <cellStyle name="Normal 12 8 5 5 2 2" xfId="32521"/>
    <cellStyle name="Normal 12 8 5 5 3" xfId="24296"/>
    <cellStyle name="Normal 12 8 5 5 4" xfId="40750"/>
    <cellStyle name="Normal 12 8 5 6" xfId="9491"/>
    <cellStyle name="Normal 12 8 5 6 2" xfId="25941"/>
    <cellStyle name="Normal 12 8 5 7" xfId="17715"/>
    <cellStyle name="Normal 12 8 5 8" xfId="34169"/>
    <cellStyle name="Normal 12 8 5 9" xfId="42396"/>
    <cellStyle name="Normal 12 8 6" xfId="1496"/>
    <cellStyle name="Normal 12 8 6 2" xfId="3146"/>
    <cellStyle name="Normal 12 8 6 2 2" xfId="11371"/>
    <cellStyle name="Normal 12 8 6 2 2 2" xfId="27821"/>
    <cellStyle name="Normal 12 8 6 2 3" xfId="19596"/>
    <cellStyle name="Normal 12 8 6 2 4" xfId="36050"/>
    <cellStyle name="Normal 12 8 6 3" xfId="4791"/>
    <cellStyle name="Normal 12 8 6 3 2" xfId="13016"/>
    <cellStyle name="Normal 12 8 6 3 2 2" xfId="29466"/>
    <cellStyle name="Normal 12 8 6 3 3" xfId="21241"/>
    <cellStyle name="Normal 12 8 6 3 4" xfId="37695"/>
    <cellStyle name="Normal 12 8 6 4" xfId="6436"/>
    <cellStyle name="Normal 12 8 6 4 2" xfId="14661"/>
    <cellStyle name="Normal 12 8 6 4 2 2" xfId="31111"/>
    <cellStyle name="Normal 12 8 6 4 3" xfId="22886"/>
    <cellStyle name="Normal 12 8 6 4 4" xfId="39340"/>
    <cellStyle name="Normal 12 8 6 5" xfId="8081"/>
    <cellStyle name="Normal 12 8 6 5 2" xfId="16306"/>
    <cellStyle name="Normal 12 8 6 5 2 2" xfId="32756"/>
    <cellStyle name="Normal 12 8 6 5 3" xfId="24531"/>
    <cellStyle name="Normal 12 8 6 5 4" xfId="40985"/>
    <cellStyle name="Normal 12 8 6 6" xfId="9726"/>
    <cellStyle name="Normal 12 8 6 6 2" xfId="26176"/>
    <cellStyle name="Normal 12 8 6 7" xfId="17950"/>
    <cellStyle name="Normal 12 8 6 8" xfId="34404"/>
    <cellStyle name="Normal 12 8 7" xfId="1731"/>
    <cellStyle name="Normal 12 8 7 2" xfId="3381"/>
    <cellStyle name="Normal 12 8 7 2 2" xfId="11606"/>
    <cellStyle name="Normal 12 8 7 2 2 2" xfId="28056"/>
    <cellStyle name="Normal 12 8 7 2 3" xfId="19831"/>
    <cellStyle name="Normal 12 8 7 2 4" xfId="36285"/>
    <cellStyle name="Normal 12 8 7 3" xfId="5026"/>
    <cellStyle name="Normal 12 8 7 3 2" xfId="13251"/>
    <cellStyle name="Normal 12 8 7 3 2 2" xfId="29701"/>
    <cellStyle name="Normal 12 8 7 3 3" xfId="21476"/>
    <cellStyle name="Normal 12 8 7 3 4" xfId="37930"/>
    <cellStyle name="Normal 12 8 7 4" xfId="6671"/>
    <cellStyle name="Normal 12 8 7 4 2" xfId="14896"/>
    <cellStyle name="Normal 12 8 7 4 2 2" xfId="31346"/>
    <cellStyle name="Normal 12 8 7 4 3" xfId="23121"/>
    <cellStyle name="Normal 12 8 7 4 4" xfId="39575"/>
    <cellStyle name="Normal 12 8 7 5" xfId="8316"/>
    <cellStyle name="Normal 12 8 7 5 2" xfId="16541"/>
    <cellStyle name="Normal 12 8 7 5 2 2" xfId="32991"/>
    <cellStyle name="Normal 12 8 7 5 3" xfId="24766"/>
    <cellStyle name="Normal 12 8 7 5 4" xfId="41220"/>
    <cellStyle name="Normal 12 8 7 6" xfId="9961"/>
    <cellStyle name="Normal 12 8 7 6 2" xfId="26411"/>
    <cellStyle name="Normal 12 8 7 7" xfId="18185"/>
    <cellStyle name="Normal 12 8 7 8" xfId="34639"/>
    <cellStyle name="Normal 12 8 8" xfId="1966"/>
    <cellStyle name="Normal 12 8 8 2" xfId="10196"/>
    <cellStyle name="Normal 12 8 8 2 2" xfId="26646"/>
    <cellStyle name="Normal 12 8 8 3" xfId="18420"/>
    <cellStyle name="Normal 12 8 8 4" xfId="34874"/>
    <cellStyle name="Normal 12 8 9" xfId="3616"/>
    <cellStyle name="Normal 12 8 9 2" xfId="11841"/>
    <cellStyle name="Normal 12 8 9 2 2" xfId="28291"/>
    <cellStyle name="Normal 12 8 9 3" xfId="20066"/>
    <cellStyle name="Normal 12 8 9 4" xfId="36520"/>
    <cellStyle name="Normal 12 9" xfId="295"/>
    <cellStyle name="Normal 12 9 2" xfId="1996"/>
    <cellStyle name="Normal 12 9 2 2" xfId="10223"/>
    <cellStyle name="Normal 12 9 2 2 2" xfId="26673"/>
    <cellStyle name="Normal 12 9 2 3" xfId="18448"/>
    <cellStyle name="Normal 12 9 2 4" xfId="34902"/>
    <cellStyle name="Normal 12 9 3" xfId="3643"/>
    <cellStyle name="Normal 12 9 3 2" xfId="11868"/>
    <cellStyle name="Normal 12 9 3 2 2" xfId="28318"/>
    <cellStyle name="Normal 12 9 3 3" xfId="20093"/>
    <cellStyle name="Normal 12 9 3 4" xfId="36547"/>
    <cellStyle name="Normal 12 9 4" xfId="5288"/>
    <cellStyle name="Normal 12 9 4 2" xfId="13513"/>
    <cellStyle name="Normal 12 9 4 2 2" xfId="29963"/>
    <cellStyle name="Normal 12 9 4 3" xfId="21738"/>
    <cellStyle name="Normal 12 9 4 4" xfId="38192"/>
    <cellStyle name="Normal 12 9 5" xfId="6933"/>
    <cellStyle name="Normal 12 9 5 2" xfId="15158"/>
    <cellStyle name="Normal 12 9 5 2 2" xfId="31608"/>
    <cellStyle name="Normal 12 9 5 3" xfId="23383"/>
    <cellStyle name="Normal 12 9 5 4" xfId="39837"/>
    <cellStyle name="Normal 12 9 6" xfId="8578"/>
    <cellStyle name="Normal 12 9 6 2" xfId="25028"/>
    <cellStyle name="Normal 12 9 7" xfId="16802"/>
    <cellStyle name="Normal 12 9 8" xfId="33256"/>
    <cellStyle name="Normal 12 9 9" xfId="41483"/>
    <cellStyle name="Normal 13" xfId="54"/>
    <cellStyle name="Normal 13 10" xfId="775"/>
    <cellStyle name="Normal 13 10 2" xfId="2470"/>
    <cellStyle name="Normal 13 10 2 2" xfId="10695"/>
    <cellStyle name="Normal 13 10 2 2 2" xfId="27145"/>
    <cellStyle name="Normal 13 10 2 3" xfId="18920"/>
    <cellStyle name="Normal 13 10 2 4" xfId="35374"/>
    <cellStyle name="Normal 13 10 3" xfId="4115"/>
    <cellStyle name="Normal 13 10 3 2" xfId="12340"/>
    <cellStyle name="Normal 13 10 3 2 2" xfId="28790"/>
    <cellStyle name="Normal 13 10 3 3" xfId="20565"/>
    <cellStyle name="Normal 13 10 3 4" xfId="37019"/>
    <cellStyle name="Normal 13 10 4" xfId="5760"/>
    <cellStyle name="Normal 13 10 4 2" xfId="13985"/>
    <cellStyle name="Normal 13 10 4 2 2" xfId="30435"/>
    <cellStyle name="Normal 13 10 4 3" xfId="22210"/>
    <cellStyle name="Normal 13 10 4 4" xfId="38664"/>
    <cellStyle name="Normal 13 10 5" xfId="7405"/>
    <cellStyle name="Normal 13 10 5 2" xfId="15630"/>
    <cellStyle name="Normal 13 10 5 2 2" xfId="32080"/>
    <cellStyle name="Normal 13 10 5 3" xfId="23855"/>
    <cellStyle name="Normal 13 10 5 4" xfId="40309"/>
    <cellStyle name="Normal 13 10 6" xfId="9050"/>
    <cellStyle name="Normal 13 10 6 2" xfId="25500"/>
    <cellStyle name="Normal 13 10 7" xfId="17274"/>
    <cellStyle name="Normal 13 10 8" xfId="33728"/>
    <cellStyle name="Normal 13 10 9" xfId="41955"/>
    <cellStyle name="Normal 13 11" xfId="1010"/>
    <cellStyle name="Normal 13 11 2" xfId="2705"/>
    <cellStyle name="Normal 13 11 2 2" xfId="10930"/>
    <cellStyle name="Normal 13 11 2 2 2" xfId="27380"/>
    <cellStyle name="Normal 13 11 2 3" xfId="19155"/>
    <cellStyle name="Normal 13 11 2 4" xfId="35609"/>
    <cellStyle name="Normal 13 11 3" xfId="4350"/>
    <cellStyle name="Normal 13 11 3 2" xfId="12575"/>
    <cellStyle name="Normal 13 11 3 2 2" xfId="29025"/>
    <cellStyle name="Normal 13 11 3 3" xfId="20800"/>
    <cellStyle name="Normal 13 11 3 4" xfId="37254"/>
    <cellStyle name="Normal 13 11 4" xfId="5995"/>
    <cellStyle name="Normal 13 11 4 2" xfId="14220"/>
    <cellStyle name="Normal 13 11 4 2 2" xfId="30670"/>
    <cellStyle name="Normal 13 11 4 3" xfId="22445"/>
    <cellStyle name="Normal 13 11 4 4" xfId="38899"/>
    <cellStyle name="Normal 13 11 5" xfId="7640"/>
    <cellStyle name="Normal 13 11 5 2" xfId="15865"/>
    <cellStyle name="Normal 13 11 5 2 2" xfId="32315"/>
    <cellStyle name="Normal 13 11 5 3" xfId="24090"/>
    <cellStyle name="Normal 13 11 5 4" xfId="40544"/>
    <cellStyle name="Normal 13 11 6" xfId="9285"/>
    <cellStyle name="Normal 13 11 6 2" xfId="25735"/>
    <cellStyle name="Normal 13 11 7" xfId="17509"/>
    <cellStyle name="Normal 13 11 8" xfId="33963"/>
    <cellStyle name="Normal 13 11 9" xfId="42190"/>
    <cellStyle name="Normal 13 12" xfId="1290"/>
    <cellStyle name="Normal 13 12 2" xfId="2940"/>
    <cellStyle name="Normal 13 12 2 2" xfId="11165"/>
    <cellStyle name="Normal 13 12 2 2 2" xfId="27615"/>
    <cellStyle name="Normal 13 12 2 3" xfId="19390"/>
    <cellStyle name="Normal 13 12 2 4" xfId="35844"/>
    <cellStyle name="Normal 13 12 3" xfId="4585"/>
    <cellStyle name="Normal 13 12 3 2" xfId="12810"/>
    <cellStyle name="Normal 13 12 3 2 2" xfId="29260"/>
    <cellStyle name="Normal 13 12 3 3" xfId="21035"/>
    <cellStyle name="Normal 13 12 3 4" xfId="37489"/>
    <cellStyle name="Normal 13 12 4" xfId="6230"/>
    <cellStyle name="Normal 13 12 4 2" xfId="14455"/>
    <cellStyle name="Normal 13 12 4 2 2" xfId="30905"/>
    <cellStyle name="Normal 13 12 4 3" xfId="22680"/>
    <cellStyle name="Normal 13 12 4 4" xfId="39134"/>
    <cellStyle name="Normal 13 12 5" xfId="7875"/>
    <cellStyle name="Normal 13 12 5 2" xfId="16100"/>
    <cellStyle name="Normal 13 12 5 2 2" xfId="32550"/>
    <cellStyle name="Normal 13 12 5 3" xfId="24325"/>
    <cellStyle name="Normal 13 12 5 4" xfId="40779"/>
    <cellStyle name="Normal 13 12 6" xfId="9520"/>
    <cellStyle name="Normal 13 12 6 2" xfId="25970"/>
    <cellStyle name="Normal 13 12 7" xfId="17744"/>
    <cellStyle name="Normal 13 12 8" xfId="34198"/>
    <cellStyle name="Normal 13 13" xfId="1525"/>
    <cellStyle name="Normal 13 13 2" xfId="3175"/>
    <cellStyle name="Normal 13 13 2 2" xfId="11400"/>
    <cellStyle name="Normal 13 13 2 2 2" xfId="27850"/>
    <cellStyle name="Normal 13 13 2 3" xfId="19625"/>
    <cellStyle name="Normal 13 13 2 4" xfId="36079"/>
    <cellStyle name="Normal 13 13 3" xfId="4820"/>
    <cellStyle name="Normal 13 13 3 2" xfId="13045"/>
    <cellStyle name="Normal 13 13 3 2 2" xfId="29495"/>
    <cellStyle name="Normal 13 13 3 3" xfId="21270"/>
    <cellStyle name="Normal 13 13 3 4" xfId="37724"/>
    <cellStyle name="Normal 13 13 4" xfId="6465"/>
    <cellStyle name="Normal 13 13 4 2" xfId="14690"/>
    <cellStyle name="Normal 13 13 4 2 2" xfId="31140"/>
    <cellStyle name="Normal 13 13 4 3" xfId="22915"/>
    <cellStyle name="Normal 13 13 4 4" xfId="39369"/>
    <cellStyle name="Normal 13 13 5" xfId="8110"/>
    <cellStyle name="Normal 13 13 5 2" xfId="16335"/>
    <cellStyle name="Normal 13 13 5 2 2" xfId="32785"/>
    <cellStyle name="Normal 13 13 5 3" xfId="24560"/>
    <cellStyle name="Normal 13 13 5 4" xfId="41014"/>
    <cellStyle name="Normal 13 13 6" xfId="9755"/>
    <cellStyle name="Normal 13 13 6 2" xfId="26205"/>
    <cellStyle name="Normal 13 13 7" xfId="17979"/>
    <cellStyle name="Normal 13 13 8" xfId="34433"/>
    <cellStyle name="Normal 13 14" xfId="1760"/>
    <cellStyle name="Normal 13 14 2" xfId="9990"/>
    <cellStyle name="Normal 13 14 2 2" xfId="26440"/>
    <cellStyle name="Normal 13 14 3" xfId="18214"/>
    <cellStyle name="Normal 13 14 4" xfId="34668"/>
    <cellStyle name="Normal 13 15" xfId="3410"/>
    <cellStyle name="Normal 13 15 2" xfId="11635"/>
    <cellStyle name="Normal 13 15 2 2" xfId="28085"/>
    <cellStyle name="Normal 13 15 3" xfId="19860"/>
    <cellStyle name="Normal 13 15 4" xfId="36314"/>
    <cellStyle name="Normal 13 16" xfId="5055"/>
    <cellStyle name="Normal 13 16 2" xfId="13280"/>
    <cellStyle name="Normal 13 16 2 2" xfId="29730"/>
    <cellStyle name="Normal 13 16 3" xfId="21505"/>
    <cellStyle name="Normal 13 16 4" xfId="37959"/>
    <cellStyle name="Normal 13 17" xfId="6700"/>
    <cellStyle name="Normal 13 17 2" xfId="14925"/>
    <cellStyle name="Normal 13 17 2 2" xfId="31375"/>
    <cellStyle name="Normal 13 17 3" xfId="23150"/>
    <cellStyle name="Normal 13 17 4" xfId="39604"/>
    <cellStyle name="Normal 13 18" xfId="8345"/>
    <cellStyle name="Normal 13 18 2" xfId="24795"/>
    <cellStyle name="Normal 13 19" xfId="16569"/>
    <cellStyle name="Normal 13 2" xfId="106"/>
    <cellStyle name="Normal 13 2 10" xfId="5105"/>
    <cellStyle name="Normal 13 2 10 2" xfId="13330"/>
    <cellStyle name="Normal 13 2 10 2 2" xfId="29780"/>
    <cellStyle name="Normal 13 2 10 3" xfId="21555"/>
    <cellStyle name="Normal 13 2 10 4" xfId="38009"/>
    <cellStyle name="Normal 13 2 11" xfId="6750"/>
    <cellStyle name="Normal 13 2 11 2" xfId="14975"/>
    <cellStyle name="Normal 13 2 11 2 2" xfId="31425"/>
    <cellStyle name="Normal 13 2 11 3" xfId="23200"/>
    <cellStyle name="Normal 13 2 11 4" xfId="39654"/>
    <cellStyle name="Normal 13 2 12" xfId="8395"/>
    <cellStyle name="Normal 13 2 12 2" xfId="24845"/>
    <cellStyle name="Normal 13 2 13" xfId="16619"/>
    <cellStyle name="Normal 13 2 14" xfId="33072"/>
    <cellStyle name="Normal 13 2 15" xfId="41300"/>
    <cellStyle name="Normal 13 2 2" xfId="349"/>
    <cellStyle name="Normal 13 2 2 2" xfId="2048"/>
    <cellStyle name="Normal 13 2 2 2 2" xfId="10275"/>
    <cellStyle name="Normal 13 2 2 2 2 2" xfId="26725"/>
    <cellStyle name="Normal 13 2 2 2 3" xfId="18500"/>
    <cellStyle name="Normal 13 2 2 2 4" xfId="34954"/>
    <cellStyle name="Normal 13 2 2 3" xfId="3695"/>
    <cellStyle name="Normal 13 2 2 3 2" xfId="11920"/>
    <cellStyle name="Normal 13 2 2 3 2 2" xfId="28370"/>
    <cellStyle name="Normal 13 2 2 3 3" xfId="20145"/>
    <cellStyle name="Normal 13 2 2 3 4" xfId="36599"/>
    <cellStyle name="Normal 13 2 2 4" xfId="5340"/>
    <cellStyle name="Normal 13 2 2 4 2" xfId="13565"/>
    <cellStyle name="Normal 13 2 2 4 2 2" xfId="30015"/>
    <cellStyle name="Normal 13 2 2 4 3" xfId="21790"/>
    <cellStyle name="Normal 13 2 2 4 4" xfId="38244"/>
    <cellStyle name="Normal 13 2 2 5" xfId="6985"/>
    <cellStyle name="Normal 13 2 2 5 2" xfId="15210"/>
    <cellStyle name="Normal 13 2 2 5 2 2" xfId="31660"/>
    <cellStyle name="Normal 13 2 2 5 3" xfId="23435"/>
    <cellStyle name="Normal 13 2 2 5 4" xfId="39889"/>
    <cellStyle name="Normal 13 2 2 6" xfId="8630"/>
    <cellStyle name="Normal 13 2 2 6 2" xfId="25080"/>
    <cellStyle name="Normal 13 2 2 7" xfId="16854"/>
    <cellStyle name="Normal 13 2 2 8" xfId="33308"/>
    <cellStyle name="Normal 13 2 2 9" xfId="41535"/>
    <cellStyle name="Normal 13 2 3" xfId="590"/>
    <cellStyle name="Normal 13 2 3 2" xfId="2285"/>
    <cellStyle name="Normal 13 2 3 2 2" xfId="10510"/>
    <cellStyle name="Normal 13 2 3 2 2 2" xfId="26960"/>
    <cellStyle name="Normal 13 2 3 2 3" xfId="18735"/>
    <cellStyle name="Normal 13 2 3 2 4" xfId="35189"/>
    <cellStyle name="Normal 13 2 3 3" xfId="3930"/>
    <cellStyle name="Normal 13 2 3 3 2" xfId="12155"/>
    <cellStyle name="Normal 13 2 3 3 2 2" xfId="28605"/>
    <cellStyle name="Normal 13 2 3 3 3" xfId="20380"/>
    <cellStyle name="Normal 13 2 3 3 4" xfId="36834"/>
    <cellStyle name="Normal 13 2 3 4" xfId="5575"/>
    <cellStyle name="Normal 13 2 3 4 2" xfId="13800"/>
    <cellStyle name="Normal 13 2 3 4 2 2" xfId="30250"/>
    <cellStyle name="Normal 13 2 3 4 3" xfId="22025"/>
    <cellStyle name="Normal 13 2 3 4 4" xfId="38479"/>
    <cellStyle name="Normal 13 2 3 5" xfId="7220"/>
    <cellStyle name="Normal 13 2 3 5 2" xfId="15445"/>
    <cellStyle name="Normal 13 2 3 5 2 2" xfId="31895"/>
    <cellStyle name="Normal 13 2 3 5 3" xfId="23670"/>
    <cellStyle name="Normal 13 2 3 5 4" xfId="40124"/>
    <cellStyle name="Normal 13 2 3 6" xfId="8865"/>
    <cellStyle name="Normal 13 2 3 6 2" xfId="25315"/>
    <cellStyle name="Normal 13 2 3 7" xfId="17089"/>
    <cellStyle name="Normal 13 2 3 8" xfId="33543"/>
    <cellStyle name="Normal 13 2 3 9" xfId="41770"/>
    <cellStyle name="Normal 13 2 4" xfId="825"/>
    <cellStyle name="Normal 13 2 4 2" xfId="2520"/>
    <cellStyle name="Normal 13 2 4 2 2" xfId="10745"/>
    <cellStyle name="Normal 13 2 4 2 2 2" xfId="27195"/>
    <cellStyle name="Normal 13 2 4 2 3" xfId="18970"/>
    <cellStyle name="Normal 13 2 4 2 4" xfId="35424"/>
    <cellStyle name="Normal 13 2 4 3" xfId="4165"/>
    <cellStyle name="Normal 13 2 4 3 2" xfId="12390"/>
    <cellStyle name="Normal 13 2 4 3 2 2" xfId="28840"/>
    <cellStyle name="Normal 13 2 4 3 3" xfId="20615"/>
    <cellStyle name="Normal 13 2 4 3 4" xfId="37069"/>
    <cellStyle name="Normal 13 2 4 4" xfId="5810"/>
    <cellStyle name="Normal 13 2 4 4 2" xfId="14035"/>
    <cellStyle name="Normal 13 2 4 4 2 2" xfId="30485"/>
    <cellStyle name="Normal 13 2 4 4 3" xfId="22260"/>
    <cellStyle name="Normal 13 2 4 4 4" xfId="38714"/>
    <cellStyle name="Normal 13 2 4 5" xfId="7455"/>
    <cellStyle name="Normal 13 2 4 5 2" xfId="15680"/>
    <cellStyle name="Normal 13 2 4 5 2 2" xfId="32130"/>
    <cellStyle name="Normal 13 2 4 5 3" xfId="23905"/>
    <cellStyle name="Normal 13 2 4 5 4" xfId="40359"/>
    <cellStyle name="Normal 13 2 4 6" xfId="9100"/>
    <cellStyle name="Normal 13 2 4 6 2" xfId="25550"/>
    <cellStyle name="Normal 13 2 4 7" xfId="17324"/>
    <cellStyle name="Normal 13 2 4 8" xfId="33778"/>
    <cellStyle name="Normal 13 2 4 9" xfId="42005"/>
    <cellStyle name="Normal 13 2 5" xfId="1060"/>
    <cellStyle name="Normal 13 2 5 2" xfId="2755"/>
    <cellStyle name="Normal 13 2 5 2 2" xfId="10980"/>
    <cellStyle name="Normal 13 2 5 2 2 2" xfId="27430"/>
    <cellStyle name="Normal 13 2 5 2 3" xfId="19205"/>
    <cellStyle name="Normal 13 2 5 2 4" xfId="35659"/>
    <cellStyle name="Normal 13 2 5 3" xfId="4400"/>
    <cellStyle name="Normal 13 2 5 3 2" xfId="12625"/>
    <cellStyle name="Normal 13 2 5 3 2 2" xfId="29075"/>
    <cellStyle name="Normal 13 2 5 3 3" xfId="20850"/>
    <cellStyle name="Normal 13 2 5 3 4" xfId="37304"/>
    <cellStyle name="Normal 13 2 5 4" xfId="6045"/>
    <cellStyle name="Normal 13 2 5 4 2" xfId="14270"/>
    <cellStyle name="Normal 13 2 5 4 2 2" xfId="30720"/>
    <cellStyle name="Normal 13 2 5 4 3" xfId="22495"/>
    <cellStyle name="Normal 13 2 5 4 4" xfId="38949"/>
    <cellStyle name="Normal 13 2 5 5" xfId="7690"/>
    <cellStyle name="Normal 13 2 5 5 2" xfId="15915"/>
    <cellStyle name="Normal 13 2 5 5 2 2" xfId="32365"/>
    <cellStyle name="Normal 13 2 5 5 3" xfId="24140"/>
    <cellStyle name="Normal 13 2 5 5 4" xfId="40594"/>
    <cellStyle name="Normal 13 2 5 6" xfId="9335"/>
    <cellStyle name="Normal 13 2 5 6 2" xfId="25785"/>
    <cellStyle name="Normal 13 2 5 7" xfId="17559"/>
    <cellStyle name="Normal 13 2 5 8" xfId="34013"/>
    <cellStyle name="Normal 13 2 5 9" xfId="42240"/>
    <cellStyle name="Normal 13 2 6" xfId="1340"/>
    <cellStyle name="Normal 13 2 6 2" xfId="2990"/>
    <cellStyle name="Normal 13 2 6 2 2" xfId="11215"/>
    <cellStyle name="Normal 13 2 6 2 2 2" xfId="27665"/>
    <cellStyle name="Normal 13 2 6 2 3" xfId="19440"/>
    <cellStyle name="Normal 13 2 6 2 4" xfId="35894"/>
    <cellStyle name="Normal 13 2 6 3" xfId="4635"/>
    <cellStyle name="Normal 13 2 6 3 2" xfId="12860"/>
    <cellStyle name="Normal 13 2 6 3 2 2" xfId="29310"/>
    <cellStyle name="Normal 13 2 6 3 3" xfId="21085"/>
    <cellStyle name="Normal 13 2 6 3 4" xfId="37539"/>
    <cellStyle name="Normal 13 2 6 4" xfId="6280"/>
    <cellStyle name="Normal 13 2 6 4 2" xfId="14505"/>
    <cellStyle name="Normal 13 2 6 4 2 2" xfId="30955"/>
    <cellStyle name="Normal 13 2 6 4 3" xfId="22730"/>
    <cellStyle name="Normal 13 2 6 4 4" xfId="39184"/>
    <cellStyle name="Normal 13 2 6 5" xfId="7925"/>
    <cellStyle name="Normal 13 2 6 5 2" xfId="16150"/>
    <cellStyle name="Normal 13 2 6 5 2 2" xfId="32600"/>
    <cellStyle name="Normal 13 2 6 5 3" xfId="24375"/>
    <cellStyle name="Normal 13 2 6 5 4" xfId="40829"/>
    <cellStyle name="Normal 13 2 6 6" xfId="9570"/>
    <cellStyle name="Normal 13 2 6 6 2" xfId="26020"/>
    <cellStyle name="Normal 13 2 6 7" xfId="17794"/>
    <cellStyle name="Normal 13 2 6 8" xfId="34248"/>
    <cellStyle name="Normal 13 2 7" xfId="1575"/>
    <cellStyle name="Normal 13 2 7 2" xfId="3225"/>
    <cellStyle name="Normal 13 2 7 2 2" xfId="11450"/>
    <cellStyle name="Normal 13 2 7 2 2 2" xfId="27900"/>
    <cellStyle name="Normal 13 2 7 2 3" xfId="19675"/>
    <cellStyle name="Normal 13 2 7 2 4" xfId="36129"/>
    <cellStyle name="Normal 13 2 7 3" xfId="4870"/>
    <cellStyle name="Normal 13 2 7 3 2" xfId="13095"/>
    <cellStyle name="Normal 13 2 7 3 2 2" xfId="29545"/>
    <cellStyle name="Normal 13 2 7 3 3" xfId="21320"/>
    <cellStyle name="Normal 13 2 7 3 4" xfId="37774"/>
    <cellStyle name="Normal 13 2 7 4" xfId="6515"/>
    <cellStyle name="Normal 13 2 7 4 2" xfId="14740"/>
    <cellStyle name="Normal 13 2 7 4 2 2" xfId="31190"/>
    <cellStyle name="Normal 13 2 7 4 3" xfId="22965"/>
    <cellStyle name="Normal 13 2 7 4 4" xfId="39419"/>
    <cellStyle name="Normal 13 2 7 5" xfId="8160"/>
    <cellStyle name="Normal 13 2 7 5 2" xfId="16385"/>
    <cellStyle name="Normal 13 2 7 5 2 2" xfId="32835"/>
    <cellStyle name="Normal 13 2 7 5 3" xfId="24610"/>
    <cellStyle name="Normal 13 2 7 5 4" xfId="41064"/>
    <cellStyle name="Normal 13 2 7 6" xfId="9805"/>
    <cellStyle name="Normal 13 2 7 6 2" xfId="26255"/>
    <cellStyle name="Normal 13 2 7 7" xfId="18029"/>
    <cellStyle name="Normal 13 2 7 8" xfId="34483"/>
    <cellStyle name="Normal 13 2 8" xfId="1810"/>
    <cellStyle name="Normal 13 2 8 2" xfId="10040"/>
    <cellStyle name="Normal 13 2 8 2 2" xfId="26490"/>
    <cellStyle name="Normal 13 2 8 3" xfId="18264"/>
    <cellStyle name="Normal 13 2 8 4" xfId="34718"/>
    <cellStyle name="Normal 13 2 9" xfId="3460"/>
    <cellStyle name="Normal 13 2 9 2" xfId="11685"/>
    <cellStyle name="Normal 13 2 9 2 2" xfId="28135"/>
    <cellStyle name="Normal 13 2 9 3" xfId="19910"/>
    <cellStyle name="Normal 13 2 9 4" xfId="36364"/>
    <cellStyle name="Normal 13 20" xfId="33022"/>
    <cellStyle name="Normal 13 21" xfId="41250"/>
    <cellStyle name="Normal 13 3" xfId="156"/>
    <cellStyle name="Normal 13 3 10" xfId="5155"/>
    <cellStyle name="Normal 13 3 10 2" xfId="13380"/>
    <cellStyle name="Normal 13 3 10 2 2" xfId="29830"/>
    <cellStyle name="Normal 13 3 10 3" xfId="21605"/>
    <cellStyle name="Normal 13 3 10 4" xfId="38059"/>
    <cellStyle name="Normal 13 3 11" xfId="6800"/>
    <cellStyle name="Normal 13 3 11 2" xfId="15025"/>
    <cellStyle name="Normal 13 3 11 2 2" xfId="31475"/>
    <cellStyle name="Normal 13 3 11 3" xfId="23250"/>
    <cellStyle name="Normal 13 3 11 4" xfId="39704"/>
    <cellStyle name="Normal 13 3 12" xfId="8445"/>
    <cellStyle name="Normal 13 3 12 2" xfId="24895"/>
    <cellStyle name="Normal 13 3 13" xfId="16669"/>
    <cellStyle name="Normal 13 3 14" xfId="33122"/>
    <cellStyle name="Normal 13 3 15" xfId="41350"/>
    <cellStyle name="Normal 13 3 2" xfId="399"/>
    <cellStyle name="Normal 13 3 2 2" xfId="2098"/>
    <cellStyle name="Normal 13 3 2 2 2" xfId="10325"/>
    <cellStyle name="Normal 13 3 2 2 2 2" xfId="26775"/>
    <cellStyle name="Normal 13 3 2 2 3" xfId="18550"/>
    <cellStyle name="Normal 13 3 2 2 4" xfId="35004"/>
    <cellStyle name="Normal 13 3 2 3" xfId="3745"/>
    <cellStyle name="Normal 13 3 2 3 2" xfId="11970"/>
    <cellStyle name="Normal 13 3 2 3 2 2" xfId="28420"/>
    <cellStyle name="Normal 13 3 2 3 3" xfId="20195"/>
    <cellStyle name="Normal 13 3 2 3 4" xfId="36649"/>
    <cellStyle name="Normal 13 3 2 4" xfId="5390"/>
    <cellStyle name="Normal 13 3 2 4 2" xfId="13615"/>
    <cellStyle name="Normal 13 3 2 4 2 2" xfId="30065"/>
    <cellStyle name="Normal 13 3 2 4 3" xfId="21840"/>
    <cellStyle name="Normal 13 3 2 4 4" xfId="38294"/>
    <cellStyle name="Normal 13 3 2 5" xfId="7035"/>
    <cellStyle name="Normal 13 3 2 5 2" xfId="15260"/>
    <cellStyle name="Normal 13 3 2 5 2 2" xfId="31710"/>
    <cellStyle name="Normal 13 3 2 5 3" xfId="23485"/>
    <cellStyle name="Normal 13 3 2 5 4" xfId="39939"/>
    <cellStyle name="Normal 13 3 2 6" xfId="8680"/>
    <cellStyle name="Normal 13 3 2 6 2" xfId="25130"/>
    <cellStyle name="Normal 13 3 2 7" xfId="16904"/>
    <cellStyle name="Normal 13 3 2 8" xfId="33358"/>
    <cellStyle name="Normal 13 3 2 9" xfId="41585"/>
    <cellStyle name="Normal 13 3 3" xfId="640"/>
    <cellStyle name="Normal 13 3 3 2" xfId="2335"/>
    <cellStyle name="Normal 13 3 3 2 2" xfId="10560"/>
    <cellStyle name="Normal 13 3 3 2 2 2" xfId="27010"/>
    <cellStyle name="Normal 13 3 3 2 3" xfId="18785"/>
    <cellStyle name="Normal 13 3 3 2 4" xfId="35239"/>
    <cellStyle name="Normal 13 3 3 3" xfId="3980"/>
    <cellStyle name="Normal 13 3 3 3 2" xfId="12205"/>
    <cellStyle name="Normal 13 3 3 3 2 2" xfId="28655"/>
    <cellStyle name="Normal 13 3 3 3 3" xfId="20430"/>
    <cellStyle name="Normal 13 3 3 3 4" xfId="36884"/>
    <cellStyle name="Normal 13 3 3 4" xfId="5625"/>
    <cellStyle name="Normal 13 3 3 4 2" xfId="13850"/>
    <cellStyle name="Normal 13 3 3 4 2 2" xfId="30300"/>
    <cellStyle name="Normal 13 3 3 4 3" xfId="22075"/>
    <cellStyle name="Normal 13 3 3 4 4" xfId="38529"/>
    <cellStyle name="Normal 13 3 3 5" xfId="7270"/>
    <cellStyle name="Normal 13 3 3 5 2" xfId="15495"/>
    <cellStyle name="Normal 13 3 3 5 2 2" xfId="31945"/>
    <cellStyle name="Normal 13 3 3 5 3" xfId="23720"/>
    <cellStyle name="Normal 13 3 3 5 4" xfId="40174"/>
    <cellStyle name="Normal 13 3 3 6" xfId="8915"/>
    <cellStyle name="Normal 13 3 3 6 2" xfId="25365"/>
    <cellStyle name="Normal 13 3 3 7" xfId="17139"/>
    <cellStyle name="Normal 13 3 3 8" xfId="33593"/>
    <cellStyle name="Normal 13 3 3 9" xfId="41820"/>
    <cellStyle name="Normal 13 3 4" xfId="875"/>
    <cellStyle name="Normal 13 3 4 2" xfId="2570"/>
    <cellStyle name="Normal 13 3 4 2 2" xfId="10795"/>
    <cellStyle name="Normal 13 3 4 2 2 2" xfId="27245"/>
    <cellStyle name="Normal 13 3 4 2 3" xfId="19020"/>
    <cellStyle name="Normal 13 3 4 2 4" xfId="35474"/>
    <cellStyle name="Normal 13 3 4 3" xfId="4215"/>
    <cellStyle name="Normal 13 3 4 3 2" xfId="12440"/>
    <cellStyle name="Normal 13 3 4 3 2 2" xfId="28890"/>
    <cellStyle name="Normal 13 3 4 3 3" xfId="20665"/>
    <cellStyle name="Normal 13 3 4 3 4" xfId="37119"/>
    <cellStyle name="Normal 13 3 4 4" xfId="5860"/>
    <cellStyle name="Normal 13 3 4 4 2" xfId="14085"/>
    <cellStyle name="Normal 13 3 4 4 2 2" xfId="30535"/>
    <cellStyle name="Normal 13 3 4 4 3" xfId="22310"/>
    <cellStyle name="Normal 13 3 4 4 4" xfId="38764"/>
    <cellStyle name="Normal 13 3 4 5" xfId="7505"/>
    <cellStyle name="Normal 13 3 4 5 2" xfId="15730"/>
    <cellStyle name="Normal 13 3 4 5 2 2" xfId="32180"/>
    <cellStyle name="Normal 13 3 4 5 3" xfId="23955"/>
    <cellStyle name="Normal 13 3 4 5 4" xfId="40409"/>
    <cellStyle name="Normal 13 3 4 6" xfId="9150"/>
    <cellStyle name="Normal 13 3 4 6 2" xfId="25600"/>
    <cellStyle name="Normal 13 3 4 7" xfId="17374"/>
    <cellStyle name="Normal 13 3 4 8" xfId="33828"/>
    <cellStyle name="Normal 13 3 4 9" xfId="42055"/>
    <cellStyle name="Normal 13 3 5" xfId="1110"/>
    <cellStyle name="Normal 13 3 5 2" xfId="2805"/>
    <cellStyle name="Normal 13 3 5 2 2" xfId="11030"/>
    <cellStyle name="Normal 13 3 5 2 2 2" xfId="27480"/>
    <cellStyle name="Normal 13 3 5 2 3" xfId="19255"/>
    <cellStyle name="Normal 13 3 5 2 4" xfId="35709"/>
    <cellStyle name="Normal 13 3 5 3" xfId="4450"/>
    <cellStyle name="Normal 13 3 5 3 2" xfId="12675"/>
    <cellStyle name="Normal 13 3 5 3 2 2" xfId="29125"/>
    <cellStyle name="Normal 13 3 5 3 3" xfId="20900"/>
    <cellStyle name="Normal 13 3 5 3 4" xfId="37354"/>
    <cellStyle name="Normal 13 3 5 4" xfId="6095"/>
    <cellStyle name="Normal 13 3 5 4 2" xfId="14320"/>
    <cellStyle name="Normal 13 3 5 4 2 2" xfId="30770"/>
    <cellStyle name="Normal 13 3 5 4 3" xfId="22545"/>
    <cellStyle name="Normal 13 3 5 4 4" xfId="38999"/>
    <cellStyle name="Normal 13 3 5 5" xfId="7740"/>
    <cellStyle name="Normal 13 3 5 5 2" xfId="15965"/>
    <cellStyle name="Normal 13 3 5 5 2 2" xfId="32415"/>
    <cellStyle name="Normal 13 3 5 5 3" xfId="24190"/>
    <cellStyle name="Normal 13 3 5 5 4" xfId="40644"/>
    <cellStyle name="Normal 13 3 5 6" xfId="9385"/>
    <cellStyle name="Normal 13 3 5 6 2" xfId="25835"/>
    <cellStyle name="Normal 13 3 5 7" xfId="17609"/>
    <cellStyle name="Normal 13 3 5 8" xfId="34063"/>
    <cellStyle name="Normal 13 3 5 9" xfId="42290"/>
    <cellStyle name="Normal 13 3 6" xfId="1390"/>
    <cellStyle name="Normal 13 3 6 2" xfId="3040"/>
    <cellStyle name="Normal 13 3 6 2 2" xfId="11265"/>
    <cellStyle name="Normal 13 3 6 2 2 2" xfId="27715"/>
    <cellStyle name="Normal 13 3 6 2 3" xfId="19490"/>
    <cellStyle name="Normal 13 3 6 2 4" xfId="35944"/>
    <cellStyle name="Normal 13 3 6 3" xfId="4685"/>
    <cellStyle name="Normal 13 3 6 3 2" xfId="12910"/>
    <cellStyle name="Normal 13 3 6 3 2 2" xfId="29360"/>
    <cellStyle name="Normal 13 3 6 3 3" xfId="21135"/>
    <cellStyle name="Normal 13 3 6 3 4" xfId="37589"/>
    <cellStyle name="Normal 13 3 6 4" xfId="6330"/>
    <cellStyle name="Normal 13 3 6 4 2" xfId="14555"/>
    <cellStyle name="Normal 13 3 6 4 2 2" xfId="31005"/>
    <cellStyle name="Normal 13 3 6 4 3" xfId="22780"/>
    <cellStyle name="Normal 13 3 6 4 4" xfId="39234"/>
    <cellStyle name="Normal 13 3 6 5" xfId="7975"/>
    <cellStyle name="Normal 13 3 6 5 2" xfId="16200"/>
    <cellStyle name="Normal 13 3 6 5 2 2" xfId="32650"/>
    <cellStyle name="Normal 13 3 6 5 3" xfId="24425"/>
    <cellStyle name="Normal 13 3 6 5 4" xfId="40879"/>
    <cellStyle name="Normal 13 3 6 6" xfId="9620"/>
    <cellStyle name="Normal 13 3 6 6 2" xfId="26070"/>
    <cellStyle name="Normal 13 3 6 7" xfId="17844"/>
    <cellStyle name="Normal 13 3 6 8" xfId="34298"/>
    <cellStyle name="Normal 13 3 7" xfId="1625"/>
    <cellStyle name="Normal 13 3 7 2" xfId="3275"/>
    <cellStyle name="Normal 13 3 7 2 2" xfId="11500"/>
    <cellStyle name="Normal 13 3 7 2 2 2" xfId="27950"/>
    <cellStyle name="Normal 13 3 7 2 3" xfId="19725"/>
    <cellStyle name="Normal 13 3 7 2 4" xfId="36179"/>
    <cellStyle name="Normal 13 3 7 3" xfId="4920"/>
    <cellStyle name="Normal 13 3 7 3 2" xfId="13145"/>
    <cellStyle name="Normal 13 3 7 3 2 2" xfId="29595"/>
    <cellStyle name="Normal 13 3 7 3 3" xfId="21370"/>
    <cellStyle name="Normal 13 3 7 3 4" xfId="37824"/>
    <cellStyle name="Normal 13 3 7 4" xfId="6565"/>
    <cellStyle name="Normal 13 3 7 4 2" xfId="14790"/>
    <cellStyle name="Normal 13 3 7 4 2 2" xfId="31240"/>
    <cellStyle name="Normal 13 3 7 4 3" xfId="23015"/>
    <cellStyle name="Normal 13 3 7 4 4" xfId="39469"/>
    <cellStyle name="Normal 13 3 7 5" xfId="8210"/>
    <cellStyle name="Normal 13 3 7 5 2" xfId="16435"/>
    <cellStyle name="Normal 13 3 7 5 2 2" xfId="32885"/>
    <cellStyle name="Normal 13 3 7 5 3" xfId="24660"/>
    <cellStyle name="Normal 13 3 7 5 4" xfId="41114"/>
    <cellStyle name="Normal 13 3 7 6" xfId="9855"/>
    <cellStyle name="Normal 13 3 7 6 2" xfId="26305"/>
    <cellStyle name="Normal 13 3 7 7" xfId="18079"/>
    <cellStyle name="Normal 13 3 7 8" xfId="34533"/>
    <cellStyle name="Normal 13 3 8" xfId="1860"/>
    <cellStyle name="Normal 13 3 8 2" xfId="10090"/>
    <cellStyle name="Normal 13 3 8 2 2" xfId="26540"/>
    <cellStyle name="Normal 13 3 8 3" xfId="18314"/>
    <cellStyle name="Normal 13 3 8 4" xfId="34768"/>
    <cellStyle name="Normal 13 3 9" xfId="3510"/>
    <cellStyle name="Normal 13 3 9 2" xfId="11735"/>
    <cellStyle name="Normal 13 3 9 2 2" xfId="28185"/>
    <cellStyle name="Normal 13 3 9 3" xfId="19960"/>
    <cellStyle name="Normal 13 3 9 4" xfId="36414"/>
    <cellStyle name="Normal 13 4" xfId="183"/>
    <cellStyle name="Normal 13 4 10" xfId="5182"/>
    <cellStyle name="Normal 13 4 10 2" xfId="13407"/>
    <cellStyle name="Normal 13 4 10 2 2" xfId="29857"/>
    <cellStyle name="Normal 13 4 10 3" xfId="21632"/>
    <cellStyle name="Normal 13 4 10 4" xfId="38086"/>
    <cellStyle name="Normal 13 4 11" xfId="6827"/>
    <cellStyle name="Normal 13 4 11 2" xfId="15052"/>
    <cellStyle name="Normal 13 4 11 2 2" xfId="31502"/>
    <cellStyle name="Normal 13 4 11 3" xfId="23277"/>
    <cellStyle name="Normal 13 4 11 4" xfId="39731"/>
    <cellStyle name="Normal 13 4 12" xfId="8472"/>
    <cellStyle name="Normal 13 4 12 2" xfId="24922"/>
    <cellStyle name="Normal 13 4 13" xfId="16696"/>
    <cellStyle name="Normal 13 4 14" xfId="33149"/>
    <cellStyle name="Normal 13 4 15" xfId="41377"/>
    <cellStyle name="Normal 13 4 2" xfId="426"/>
    <cellStyle name="Normal 13 4 2 2" xfId="2125"/>
    <cellStyle name="Normal 13 4 2 2 2" xfId="10352"/>
    <cellStyle name="Normal 13 4 2 2 2 2" xfId="26802"/>
    <cellStyle name="Normal 13 4 2 2 3" xfId="18577"/>
    <cellStyle name="Normal 13 4 2 2 4" xfId="35031"/>
    <cellStyle name="Normal 13 4 2 3" xfId="3772"/>
    <cellStyle name="Normal 13 4 2 3 2" xfId="11997"/>
    <cellStyle name="Normal 13 4 2 3 2 2" xfId="28447"/>
    <cellStyle name="Normal 13 4 2 3 3" xfId="20222"/>
    <cellStyle name="Normal 13 4 2 3 4" xfId="36676"/>
    <cellStyle name="Normal 13 4 2 4" xfId="5417"/>
    <cellStyle name="Normal 13 4 2 4 2" xfId="13642"/>
    <cellStyle name="Normal 13 4 2 4 2 2" xfId="30092"/>
    <cellStyle name="Normal 13 4 2 4 3" xfId="21867"/>
    <cellStyle name="Normal 13 4 2 4 4" xfId="38321"/>
    <cellStyle name="Normal 13 4 2 5" xfId="7062"/>
    <cellStyle name="Normal 13 4 2 5 2" xfId="15287"/>
    <cellStyle name="Normal 13 4 2 5 2 2" xfId="31737"/>
    <cellStyle name="Normal 13 4 2 5 3" xfId="23512"/>
    <cellStyle name="Normal 13 4 2 5 4" xfId="39966"/>
    <cellStyle name="Normal 13 4 2 6" xfId="8707"/>
    <cellStyle name="Normal 13 4 2 6 2" xfId="25157"/>
    <cellStyle name="Normal 13 4 2 7" xfId="16931"/>
    <cellStyle name="Normal 13 4 2 8" xfId="33385"/>
    <cellStyle name="Normal 13 4 2 9" xfId="41612"/>
    <cellStyle name="Normal 13 4 3" xfId="667"/>
    <cellStyle name="Normal 13 4 3 2" xfId="2362"/>
    <cellStyle name="Normal 13 4 3 2 2" xfId="10587"/>
    <cellStyle name="Normal 13 4 3 2 2 2" xfId="27037"/>
    <cellStyle name="Normal 13 4 3 2 3" xfId="18812"/>
    <cellStyle name="Normal 13 4 3 2 4" xfId="35266"/>
    <cellStyle name="Normal 13 4 3 3" xfId="4007"/>
    <cellStyle name="Normal 13 4 3 3 2" xfId="12232"/>
    <cellStyle name="Normal 13 4 3 3 2 2" xfId="28682"/>
    <cellStyle name="Normal 13 4 3 3 3" xfId="20457"/>
    <cellStyle name="Normal 13 4 3 3 4" xfId="36911"/>
    <cellStyle name="Normal 13 4 3 4" xfId="5652"/>
    <cellStyle name="Normal 13 4 3 4 2" xfId="13877"/>
    <cellStyle name="Normal 13 4 3 4 2 2" xfId="30327"/>
    <cellStyle name="Normal 13 4 3 4 3" xfId="22102"/>
    <cellStyle name="Normal 13 4 3 4 4" xfId="38556"/>
    <cellStyle name="Normal 13 4 3 5" xfId="7297"/>
    <cellStyle name="Normal 13 4 3 5 2" xfId="15522"/>
    <cellStyle name="Normal 13 4 3 5 2 2" xfId="31972"/>
    <cellStyle name="Normal 13 4 3 5 3" xfId="23747"/>
    <cellStyle name="Normal 13 4 3 5 4" xfId="40201"/>
    <cellStyle name="Normal 13 4 3 6" xfId="8942"/>
    <cellStyle name="Normal 13 4 3 6 2" xfId="25392"/>
    <cellStyle name="Normal 13 4 3 7" xfId="17166"/>
    <cellStyle name="Normal 13 4 3 8" xfId="33620"/>
    <cellStyle name="Normal 13 4 3 9" xfId="41847"/>
    <cellStyle name="Normal 13 4 4" xfId="902"/>
    <cellStyle name="Normal 13 4 4 2" xfId="2597"/>
    <cellStyle name="Normal 13 4 4 2 2" xfId="10822"/>
    <cellStyle name="Normal 13 4 4 2 2 2" xfId="27272"/>
    <cellStyle name="Normal 13 4 4 2 3" xfId="19047"/>
    <cellStyle name="Normal 13 4 4 2 4" xfId="35501"/>
    <cellStyle name="Normal 13 4 4 3" xfId="4242"/>
    <cellStyle name="Normal 13 4 4 3 2" xfId="12467"/>
    <cellStyle name="Normal 13 4 4 3 2 2" xfId="28917"/>
    <cellStyle name="Normal 13 4 4 3 3" xfId="20692"/>
    <cellStyle name="Normal 13 4 4 3 4" xfId="37146"/>
    <cellStyle name="Normal 13 4 4 4" xfId="5887"/>
    <cellStyle name="Normal 13 4 4 4 2" xfId="14112"/>
    <cellStyle name="Normal 13 4 4 4 2 2" xfId="30562"/>
    <cellStyle name="Normal 13 4 4 4 3" xfId="22337"/>
    <cellStyle name="Normal 13 4 4 4 4" xfId="38791"/>
    <cellStyle name="Normal 13 4 4 5" xfId="7532"/>
    <cellStyle name="Normal 13 4 4 5 2" xfId="15757"/>
    <cellStyle name="Normal 13 4 4 5 2 2" xfId="32207"/>
    <cellStyle name="Normal 13 4 4 5 3" xfId="23982"/>
    <cellStyle name="Normal 13 4 4 5 4" xfId="40436"/>
    <cellStyle name="Normal 13 4 4 6" xfId="9177"/>
    <cellStyle name="Normal 13 4 4 6 2" xfId="25627"/>
    <cellStyle name="Normal 13 4 4 7" xfId="17401"/>
    <cellStyle name="Normal 13 4 4 8" xfId="33855"/>
    <cellStyle name="Normal 13 4 4 9" xfId="42082"/>
    <cellStyle name="Normal 13 4 5" xfId="1137"/>
    <cellStyle name="Normal 13 4 5 2" xfId="2832"/>
    <cellStyle name="Normal 13 4 5 2 2" xfId="11057"/>
    <cellStyle name="Normal 13 4 5 2 2 2" xfId="27507"/>
    <cellStyle name="Normal 13 4 5 2 3" xfId="19282"/>
    <cellStyle name="Normal 13 4 5 2 4" xfId="35736"/>
    <cellStyle name="Normal 13 4 5 3" xfId="4477"/>
    <cellStyle name="Normal 13 4 5 3 2" xfId="12702"/>
    <cellStyle name="Normal 13 4 5 3 2 2" xfId="29152"/>
    <cellStyle name="Normal 13 4 5 3 3" xfId="20927"/>
    <cellStyle name="Normal 13 4 5 3 4" xfId="37381"/>
    <cellStyle name="Normal 13 4 5 4" xfId="6122"/>
    <cellStyle name="Normal 13 4 5 4 2" xfId="14347"/>
    <cellStyle name="Normal 13 4 5 4 2 2" xfId="30797"/>
    <cellStyle name="Normal 13 4 5 4 3" xfId="22572"/>
    <cellStyle name="Normal 13 4 5 4 4" xfId="39026"/>
    <cellStyle name="Normal 13 4 5 5" xfId="7767"/>
    <cellStyle name="Normal 13 4 5 5 2" xfId="15992"/>
    <cellStyle name="Normal 13 4 5 5 2 2" xfId="32442"/>
    <cellStyle name="Normal 13 4 5 5 3" xfId="24217"/>
    <cellStyle name="Normal 13 4 5 5 4" xfId="40671"/>
    <cellStyle name="Normal 13 4 5 6" xfId="9412"/>
    <cellStyle name="Normal 13 4 5 6 2" xfId="25862"/>
    <cellStyle name="Normal 13 4 5 7" xfId="17636"/>
    <cellStyle name="Normal 13 4 5 8" xfId="34090"/>
    <cellStyle name="Normal 13 4 5 9" xfId="42317"/>
    <cellStyle name="Normal 13 4 6" xfId="1417"/>
    <cellStyle name="Normal 13 4 6 2" xfId="3067"/>
    <cellStyle name="Normal 13 4 6 2 2" xfId="11292"/>
    <cellStyle name="Normal 13 4 6 2 2 2" xfId="27742"/>
    <cellStyle name="Normal 13 4 6 2 3" xfId="19517"/>
    <cellStyle name="Normal 13 4 6 2 4" xfId="35971"/>
    <cellStyle name="Normal 13 4 6 3" xfId="4712"/>
    <cellStyle name="Normal 13 4 6 3 2" xfId="12937"/>
    <cellStyle name="Normal 13 4 6 3 2 2" xfId="29387"/>
    <cellStyle name="Normal 13 4 6 3 3" xfId="21162"/>
    <cellStyle name="Normal 13 4 6 3 4" xfId="37616"/>
    <cellStyle name="Normal 13 4 6 4" xfId="6357"/>
    <cellStyle name="Normal 13 4 6 4 2" xfId="14582"/>
    <cellStyle name="Normal 13 4 6 4 2 2" xfId="31032"/>
    <cellStyle name="Normal 13 4 6 4 3" xfId="22807"/>
    <cellStyle name="Normal 13 4 6 4 4" xfId="39261"/>
    <cellStyle name="Normal 13 4 6 5" xfId="8002"/>
    <cellStyle name="Normal 13 4 6 5 2" xfId="16227"/>
    <cellStyle name="Normal 13 4 6 5 2 2" xfId="32677"/>
    <cellStyle name="Normal 13 4 6 5 3" xfId="24452"/>
    <cellStyle name="Normal 13 4 6 5 4" xfId="40906"/>
    <cellStyle name="Normal 13 4 6 6" xfId="9647"/>
    <cellStyle name="Normal 13 4 6 6 2" xfId="26097"/>
    <cellStyle name="Normal 13 4 6 7" xfId="17871"/>
    <cellStyle name="Normal 13 4 6 8" xfId="34325"/>
    <cellStyle name="Normal 13 4 7" xfId="1652"/>
    <cellStyle name="Normal 13 4 7 2" xfId="3302"/>
    <cellStyle name="Normal 13 4 7 2 2" xfId="11527"/>
    <cellStyle name="Normal 13 4 7 2 2 2" xfId="27977"/>
    <cellStyle name="Normal 13 4 7 2 3" xfId="19752"/>
    <cellStyle name="Normal 13 4 7 2 4" xfId="36206"/>
    <cellStyle name="Normal 13 4 7 3" xfId="4947"/>
    <cellStyle name="Normal 13 4 7 3 2" xfId="13172"/>
    <cellStyle name="Normal 13 4 7 3 2 2" xfId="29622"/>
    <cellStyle name="Normal 13 4 7 3 3" xfId="21397"/>
    <cellStyle name="Normal 13 4 7 3 4" xfId="37851"/>
    <cellStyle name="Normal 13 4 7 4" xfId="6592"/>
    <cellStyle name="Normal 13 4 7 4 2" xfId="14817"/>
    <cellStyle name="Normal 13 4 7 4 2 2" xfId="31267"/>
    <cellStyle name="Normal 13 4 7 4 3" xfId="23042"/>
    <cellStyle name="Normal 13 4 7 4 4" xfId="39496"/>
    <cellStyle name="Normal 13 4 7 5" xfId="8237"/>
    <cellStyle name="Normal 13 4 7 5 2" xfId="16462"/>
    <cellStyle name="Normal 13 4 7 5 2 2" xfId="32912"/>
    <cellStyle name="Normal 13 4 7 5 3" xfId="24687"/>
    <cellStyle name="Normal 13 4 7 5 4" xfId="41141"/>
    <cellStyle name="Normal 13 4 7 6" xfId="9882"/>
    <cellStyle name="Normal 13 4 7 6 2" xfId="26332"/>
    <cellStyle name="Normal 13 4 7 7" xfId="18106"/>
    <cellStyle name="Normal 13 4 7 8" xfId="34560"/>
    <cellStyle name="Normal 13 4 8" xfId="1887"/>
    <cellStyle name="Normal 13 4 8 2" xfId="10117"/>
    <cellStyle name="Normal 13 4 8 2 2" xfId="26567"/>
    <cellStyle name="Normal 13 4 8 3" xfId="18341"/>
    <cellStyle name="Normal 13 4 8 4" xfId="34795"/>
    <cellStyle name="Normal 13 4 9" xfId="3537"/>
    <cellStyle name="Normal 13 4 9 2" xfId="11762"/>
    <cellStyle name="Normal 13 4 9 2 2" xfId="28212"/>
    <cellStyle name="Normal 13 4 9 3" xfId="19987"/>
    <cellStyle name="Normal 13 4 9 4" xfId="36441"/>
    <cellStyle name="Normal 13 5" xfId="212"/>
    <cellStyle name="Normal 13 5 10" xfId="5209"/>
    <cellStyle name="Normal 13 5 10 2" xfId="13434"/>
    <cellStyle name="Normal 13 5 10 2 2" xfId="29884"/>
    <cellStyle name="Normal 13 5 10 3" xfId="21659"/>
    <cellStyle name="Normal 13 5 10 4" xfId="38113"/>
    <cellStyle name="Normal 13 5 11" xfId="6854"/>
    <cellStyle name="Normal 13 5 11 2" xfId="15079"/>
    <cellStyle name="Normal 13 5 11 2 2" xfId="31529"/>
    <cellStyle name="Normal 13 5 11 3" xfId="23304"/>
    <cellStyle name="Normal 13 5 11 4" xfId="39758"/>
    <cellStyle name="Normal 13 5 12" xfId="8499"/>
    <cellStyle name="Normal 13 5 12 2" xfId="24949"/>
    <cellStyle name="Normal 13 5 13" xfId="16723"/>
    <cellStyle name="Normal 13 5 14" xfId="33176"/>
    <cellStyle name="Normal 13 5 15" xfId="41404"/>
    <cellStyle name="Normal 13 5 2" xfId="455"/>
    <cellStyle name="Normal 13 5 2 2" xfId="2152"/>
    <cellStyle name="Normal 13 5 2 2 2" xfId="10379"/>
    <cellStyle name="Normal 13 5 2 2 2 2" xfId="26829"/>
    <cellStyle name="Normal 13 5 2 2 3" xfId="18604"/>
    <cellStyle name="Normal 13 5 2 2 4" xfId="35058"/>
    <cellStyle name="Normal 13 5 2 3" xfId="3799"/>
    <cellStyle name="Normal 13 5 2 3 2" xfId="12024"/>
    <cellStyle name="Normal 13 5 2 3 2 2" xfId="28474"/>
    <cellStyle name="Normal 13 5 2 3 3" xfId="20249"/>
    <cellStyle name="Normal 13 5 2 3 4" xfId="36703"/>
    <cellStyle name="Normal 13 5 2 4" xfId="5444"/>
    <cellStyle name="Normal 13 5 2 4 2" xfId="13669"/>
    <cellStyle name="Normal 13 5 2 4 2 2" xfId="30119"/>
    <cellStyle name="Normal 13 5 2 4 3" xfId="21894"/>
    <cellStyle name="Normal 13 5 2 4 4" xfId="38348"/>
    <cellStyle name="Normal 13 5 2 5" xfId="7089"/>
    <cellStyle name="Normal 13 5 2 5 2" xfId="15314"/>
    <cellStyle name="Normal 13 5 2 5 2 2" xfId="31764"/>
    <cellStyle name="Normal 13 5 2 5 3" xfId="23539"/>
    <cellStyle name="Normal 13 5 2 5 4" xfId="39993"/>
    <cellStyle name="Normal 13 5 2 6" xfId="8734"/>
    <cellStyle name="Normal 13 5 2 6 2" xfId="25184"/>
    <cellStyle name="Normal 13 5 2 7" xfId="16958"/>
    <cellStyle name="Normal 13 5 2 8" xfId="33412"/>
    <cellStyle name="Normal 13 5 2 9" xfId="41639"/>
    <cellStyle name="Normal 13 5 3" xfId="694"/>
    <cellStyle name="Normal 13 5 3 2" xfId="2389"/>
    <cellStyle name="Normal 13 5 3 2 2" xfId="10614"/>
    <cellStyle name="Normal 13 5 3 2 2 2" xfId="27064"/>
    <cellStyle name="Normal 13 5 3 2 3" xfId="18839"/>
    <cellStyle name="Normal 13 5 3 2 4" xfId="35293"/>
    <cellStyle name="Normal 13 5 3 3" xfId="4034"/>
    <cellStyle name="Normal 13 5 3 3 2" xfId="12259"/>
    <cellStyle name="Normal 13 5 3 3 2 2" xfId="28709"/>
    <cellStyle name="Normal 13 5 3 3 3" xfId="20484"/>
    <cellStyle name="Normal 13 5 3 3 4" xfId="36938"/>
    <cellStyle name="Normal 13 5 3 4" xfId="5679"/>
    <cellStyle name="Normal 13 5 3 4 2" xfId="13904"/>
    <cellStyle name="Normal 13 5 3 4 2 2" xfId="30354"/>
    <cellStyle name="Normal 13 5 3 4 3" xfId="22129"/>
    <cellStyle name="Normal 13 5 3 4 4" xfId="38583"/>
    <cellStyle name="Normal 13 5 3 5" xfId="7324"/>
    <cellStyle name="Normal 13 5 3 5 2" xfId="15549"/>
    <cellStyle name="Normal 13 5 3 5 2 2" xfId="31999"/>
    <cellStyle name="Normal 13 5 3 5 3" xfId="23774"/>
    <cellStyle name="Normal 13 5 3 5 4" xfId="40228"/>
    <cellStyle name="Normal 13 5 3 6" xfId="8969"/>
    <cellStyle name="Normal 13 5 3 6 2" xfId="25419"/>
    <cellStyle name="Normal 13 5 3 7" xfId="17193"/>
    <cellStyle name="Normal 13 5 3 8" xfId="33647"/>
    <cellStyle name="Normal 13 5 3 9" xfId="41874"/>
    <cellStyle name="Normal 13 5 4" xfId="929"/>
    <cellStyle name="Normal 13 5 4 2" xfId="2624"/>
    <cellStyle name="Normal 13 5 4 2 2" xfId="10849"/>
    <cellStyle name="Normal 13 5 4 2 2 2" xfId="27299"/>
    <cellStyle name="Normal 13 5 4 2 3" xfId="19074"/>
    <cellStyle name="Normal 13 5 4 2 4" xfId="35528"/>
    <cellStyle name="Normal 13 5 4 3" xfId="4269"/>
    <cellStyle name="Normal 13 5 4 3 2" xfId="12494"/>
    <cellStyle name="Normal 13 5 4 3 2 2" xfId="28944"/>
    <cellStyle name="Normal 13 5 4 3 3" xfId="20719"/>
    <cellStyle name="Normal 13 5 4 3 4" xfId="37173"/>
    <cellStyle name="Normal 13 5 4 4" xfId="5914"/>
    <cellStyle name="Normal 13 5 4 4 2" xfId="14139"/>
    <cellStyle name="Normal 13 5 4 4 2 2" xfId="30589"/>
    <cellStyle name="Normal 13 5 4 4 3" xfId="22364"/>
    <cellStyle name="Normal 13 5 4 4 4" xfId="38818"/>
    <cellStyle name="Normal 13 5 4 5" xfId="7559"/>
    <cellStyle name="Normal 13 5 4 5 2" xfId="15784"/>
    <cellStyle name="Normal 13 5 4 5 2 2" xfId="32234"/>
    <cellStyle name="Normal 13 5 4 5 3" xfId="24009"/>
    <cellStyle name="Normal 13 5 4 5 4" xfId="40463"/>
    <cellStyle name="Normal 13 5 4 6" xfId="9204"/>
    <cellStyle name="Normal 13 5 4 6 2" xfId="25654"/>
    <cellStyle name="Normal 13 5 4 7" xfId="17428"/>
    <cellStyle name="Normal 13 5 4 8" xfId="33882"/>
    <cellStyle name="Normal 13 5 4 9" xfId="42109"/>
    <cellStyle name="Normal 13 5 5" xfId="1164"/>
    <cellStyle name="Normal 13 5 5 2" xfId="2859"/>
    <cellStyle name="Normal 13 5 5 2 2" xfId="11084"/>
    <cellStyle name="Normal 13 5 5 2 2 2" xfId="27534"/>
    <cellStyle name="Normal 13 5 5 2 3" xfId="19309"/>
    <cellStyle name="Normal 13 5 5 2 4" xfId="35763"/>
    <cellStyle name="Normal 13 5 5 3" xfId="4504"/>
    <cellStyle name="Normal 13 5 5 3 2" xfId="12729"/>
    <cellStyle name="Normal 13 5 5 3 2 2" xfId="29179"/>
    <cellStyle name="Normal 13 5 5 3 3" xfId="20954"/>
    <cellStyle name="Normal 13 5 5 3 4" xfId="37408"/>
    <cellStyle name="Normal 13 5 5 4" xfId="6149"/>
    <cellStyle name="Normal 13 5 5 4 2" xfId="14374"/>
    <cellStyle name="Normal 13 5 5 4 2 2" xfId="30824"/>
    <cellStyle name="Normal 13 5 5 4 3" xfId="22599"/>
    <cellStyle name="Normal 13 5 5 4 4" xfId="39053"/>
    <cellStyle name="Normal 13 5 5 5" xfId="7794"/>
    <cellStyle name="Normal 13 5 5 5 2" xfId="16019"/>
    <cellStyle name="Normal 13 5 5 5 2 2" xfId="32469"/>
    <cellStyle name="Normal 13 5 5 5 3" xfId="24244"/>
    <cellStyle name="Normal 13 5 5 5 4" xfId="40698"/>
    <cellStyle name="Normal 13 5 5 6" xfId="9439"/>
    <cellStyle name="Normal 13 5 5 6 2" xfId="25889"/>
    <cellStyle name="Normal 13 5 5 7" xfId="17663"/>
    <cellStyle name="Normal 13 5 5 8" xfId="34117"/>
    <cellStyle name="Normal 13 5 5 9" xfId="42344"/>
    <cellStyle name="Normal 13 5 6" xfId="1444"/>
    <cellStyle name="Normal 13 5 6 2" xfId="3094"/>
    <cellStyle name="Normal 13 5 6 2 2" xfId="11319"/>
    <cellStyle name="Normal 13 5 6 2 2 2" xfId="27769"/>
    <cellStyle name="Normal 13 5 6 2 3" xfId="19544"/>
    <cellStyle name="Normal 13 5 6 2 4" xfId="35998"/>
    <cellStyle name="Normal 13 5 6 3" xfId="4739"/>
    <cellStyle name="Normal 13 5 6 3 2" xfId="12964"/>
    <cellStyle name="Normal 13 5 6 3 2 2" xfId="29414"/>
    <cellStyle name="Normal 13 5 6 3 3" xfId="21189"/>
    <cellStyle name="Normal 13 5 6 3 4" xfId="37643"/>
    <cellStyle name="Normal 13 5 6 4" xfId="6384"/>
    <cellStyle name="Normal 13 5 6 4 2" xfId="14609"/>
    <cellStyle name="Normal 13 5 6 4 2 2" xfId="31059"/>
    <cellStyle name="Normal 13 5 6 4 3" xfId="22834"/>
    <cellStyle name="Normal 13 5 6 4 4" xfId="39288"/>
    <cellStyle name="Normal 13 5 6 5" xfId="8029"/>
    <cellStyle name="Normal 13 5 6 5 2" xfId="16254"/>
    <cellStyle name="Normal 13 5 6 5 2 2" xfId="32704"/>
    <cellStyle name="Normal 13 5 6 5 3" xfId="24479"/>
    <cellStyle name="Normal 13 5 6 5 4" xfId="40933"/>
    <cellStyle name="Normal 13 5 6 6" xfId="9674"/>
    <cellStyle name="Normal 13 5 6 6 2" xfId="26124"/>
    <cellStyle name="Normal 13 5 6 7" xfId="17898"/>
    <cellStyle name="Normal 13 5 6 8" xfId="34352"/>
    <cellStyle name="Normal 13 5 7" xfId="1679"/>
    <cellStyle name="Normal 13 5 7 2" xfId="3329"/>
    <cellStyle name="Normal 13 5 7 2 2" xfId="11554"/>
    <cellStyle name="Normal 13 5 7 2 2 2" xfId="28004"/>
    <cellStyle name="Normal 13 5 7 2 3" xfId="19779"/>
    <cellStyle name="Normal 13 5 7 2 4" xfId="36233"/>
    <cellStyle name="Normal 13 5 7 3" xfId="4974"/>
    <cellStyle name="Normal 13 5 7 3 2" xfId="13199"/>
    <cellStyle name="Normal 13 5 7 3 2 2" xfId="29649"/>
    <cellStyle name="Normal 13 5 7 3 3" xfId="21424"/>
    <cellStyle name="Normal 13 5 7 3 4" xfId="37878"/>
    <cellStyle name="Normal 13 5 7 4" xfId="6619"/>
    <cellStyle name="Normal 13 5 7 4 2" xfId="14844"/>
    <cellStyle name="Normal 13 5 7 4 2 2" xfId="31294"/>
    <cellStyle name="Normal 13 5 7 4 3" xfId="23069"/>
    <cellStyle name="Normal 13 5 7 4 4" xfId="39523"/>
    <cellStyle name="Normal 13 5 7 5" xfId="8264"/>
    <cellStyle name="Normal 13 5 7 5 2" xfId="16489"/>
    <cellStyle name="Normal 13 5 7 5 2 2" xfId="32939"/>
    <cellStyle name="Normal 13 5 7 5 3" xfId="24714"/>
    <cellStyle name="Normal 13 5 7 5 4" xfId="41168"/>
    <cellStyle name="Normal 13 5 7 6" xfId="9909"/>
    <cellStyle name="Normal 13 5 7 6 2" xfId="26359"/>
    <cellStyle name="Normal 13 5 7 7" xfId="18133"/>
    <cellStyle name="Normal 13 5 7 8" xfId="34587"/>
    <cellStyle name="Normal 13 5 8" xfId="1914"/>
    <cellStyle name="Normal 13 5 8 2" xfId="10144"/>
    <cellStyle name="Normal 13 5 8 2 2" xfId="26594"/>
    <cellStyle name="Normal 13 5 8 3" xfId="18368"/>
    <cellStyle name="Normal 13 5 8 4" xfId="34822"/>
    <cellStyle name="Normal 13 5 9" xfId="3564"/>
    <cellStyle name="Normal 13 5 9 2" xfId="11789"/>
    <cellStyle name="Normal 13 5 9 2 2" xfId="28239"/>
    <cellStyle name="Normal 13 5 9 3" xfId="20014"/>
    <cellStyle name="Normal 13 5 9 4" xfId="36468"/>
    <cellStyle name="Normal 13 6" xfId="239"/>
    <cellStyle name="Normal 13 6 10" xfId="5236"/>
    <cellStyle name="Normal 13 6 10 2" xfId="13461"/>
    <cellStyle name="Normal 13 6 10 2 2" xfId="29911"/>
    <cellStyle name="Normal 13 6 10 3" xfId="21686"/>
    <cellStyle name="Normal 13 6 10 4" xfId="38140"/>
    <cellStyle name="Normal 13 6 11" xfId="6881"/>
    <cellStyle name="Normal 13 6 11 2" xfId="15106"/>
    <cellStyle name="Normal 13 6 11 2 2" xfId="31556"/>
    <cellStyle name="Normal 13 6 11 3" xfId="23331"/>
    <cellStyle name="Normal 13 6 11 4" xfId="39785"/>
    <cellStyle name="Normal 13 6 12" xfId="8526"/>
    <cellStyle name="Normal 13 6 12 2" xfId="24976"/>
    <cellStyle name="Normal 13 6 13" xfId="16750"/>
    <cellStyle name="Normal 13 6 14" xfId="33203"/>
    <cellStyle name="Normal 13 6 15" xfId="41431"/>
    <cellStyle name="Normal 13 6 2" xfId="482"/>
    <cellStyle name="Normal 13 6 2 2" xfId="2179"/>
    <cellStyle name="Normal 13 6 2 2 2" xfId="10406"/>
    <cellStyle name="Normal 13 6 2 2 2 2" xfId="26856"/>
    <cellStyle name="Normal 13 6 2 2 3" xfId="18631"/>
    <cellStyle name="Normal 13 6 2 2 4" xfId="35085"/>
    <cellStyle name="Normal 13 6 2 3" xfId="3826"/>
    <cellStyle name="Normal 13 6 2 3 2" xfId="12051"/>
    <cellStyle name="Normal 13 6 2 3 2 2" xfId="28501"/>
    <cellStyle name="Normal 13 6 2 3 3" xfId="20276"/>
    <cellStyle name="Normal 13 6 2 3 4" xfId="36730"/>
    <cellStyle name="Normal 13 6 2 4" xfId="5471"/>
    <cellStyle name="Normal 13 6 2 4 2" xfId="13696"/>
    <cellStyle name="Normal 13 6 2 4 2 2" xfId="30146"/>
    <cellStyle name="Normal 13 6 2 4 3" xfId="21921"/>
    <cellStyle name="Normal 13 6 2 4 4" xfId="38375"/>
    <cellStyle name="Normal 13 6 2 5" xfId="7116"/>
    <cellStyle name="Normal 13 6 2 5 2" xfId="15341"/>
    <cellStyle name="Normal 13 6 2 5 2 2" xfId="31791"/>
    <cellStyle name="Normal 13 6 2 5 3" xfId="23566"/>
    <cellStyle name="Normal 13 6 2 5 4" xfId="40020"/>
    <cellStyle name="Normal 13 6 2 6" xfId="8761"/>
    <cellStyle name="Normal 13 6 2 6 2" xfId="25211"/>
    <cellStyle name="Normal 13 6 2 7" xfId="16985"/>
    <cellStyle name="Normal 13 6 2 8" xfId="33439"/>
    <cellStyle name="Normal 13 6 2 9" xfId="41666"/>
    <cellStyle name="Normal 13 6 3" xfId="721"/>
    <cellStyle name="Normal 13 6 3 2" xfId="2416"/>
    <cellStyle name="Normal 13 6 3 2 2" xfId="10641"/>
    <cellStyle name="Normal 13 6 3 2 2 2" xfId="27091"/>
    <cellStyle name="Normal 13 6 3 2 3" xfId="18866"/>
    <cellStyle name="Normal 13 6 3 2 4" xfId="35320"/>
    <cellStyle name="Normal 13 6 3 3" xfId="4061"/>
    <cellStyle name="Normal 13 6 3 3 2" xfId="12286"/>
    <cellStyle name="Normal 13 6 3 3 2 2" xfId="28736"/>
    <cellStyle name="Normal 13 6 3 3 3" xfId="20511"/>
    <cellStyle name="Normal 13 6 3 3 4" xfId="36965"/>
    <cellStyle name="Normal 13 6 3 4" xfId="5706"/>
    <cellStyle name="Normal 13 6 3 4 2" xfId="13931"/>
    <cellStyle name="Normal 13 6 3 4 2 2" xfId="30381"/>
    <cellStyle name="Normal 13 6 3 4 3" xfId="22156"/>
    <cellStyle name="Normal 13 6 3 4 4" xfId="38610"/>
    <cellStyle name="Normal 13 6 3 5" xfId="7351"/>
    <cellStyle name="Normal 13 6 3 5 2" xfId="15576"/>
    <cellStyle name="Normal 13 6 3 5 2 2" xfId="32026"/>
    <cellStyle name="Normal 13 6 3 5 3" xfId="23801"/>
    <cellStyle name="Normal 13 6 3 5 4" xfId="40255"/>
    <cellStyle name="Normal 13 6 3 6" xfId="8996"/>
    <cellStyle name="Normal 13 6 3 6 2" xfId="25446"/>
    <cellStyle name="Normal 13 6 3 7" xfId="17220"/>
    <cellStyle name="Normal 13 6 3 8" xfId="33674"/>
    <cellStyle name="Normal 13 6 3 9" xfId="41901"/>
    <cellStyle name="Normal 13 6 4" xfId="956"/>
    <cellStyle name="Normal 13 6 4 2" xfId="2651"/>
    <cellStyle name="Normal 13 6 4 2 2" xfId="10876"/>
    <cellStyle name="Normal 13 6 4 2 2 2" xfId="27326"/>
    <cellStyle name="Normal 13 6 4 2 3" xfId="19101"/>
    <cellStyle name="Normal 13 6 4 2 4" xfId="35555"/>
    <cellStyle name="Normal 13 6 4 3" xfId="4296"/>
    <cellStyle name="Normal 13 6 4 3 2" xfId="12521"/>
    <cellStyle name="Normal 13 6 4 3 2 2" xfId="28971"/>
    <cellStyle name="Normal 13 6 4 3 3" xfId="20746"/>
    <cellStyle name="Normal 13 6 4 3 4" xfId="37200"/>
    <cellStyle name="Normal 13 6 4 4" xfId="5941"/>
    <cellStyle name="Normal 13 6 4 4 2" xfId="14166"/>
    <cellStyle name="Normal 13 6 4 4 2 2" xfId="30616"/>
    <cellStyle name="Normal 13 6 4 4 3" xfId="22391"/>
    <cellStyle name="Normal 13 6 4 4 4" xfId="38845"/>
    <cellStyle name="Normal 13 6 4 5" xfId="7586"/>
    <cellStyle name="Normal 13 6 4 5 2" xfId="15811"/>
    <cellStyle name="Normal 13 6 4 5 2 2" xfId="32261"/>
    <cellStyle name="Normal 13 6 4 5 3" xfId="24036"/>
    <cellStyle name="Normal 13 6 4 5 4" xfId="40490"/>
    <cellStyle name="Normal 13 6 4 6" xfId="9231"/>
    <cellStyle name="Normal 13 6 4 6 2" xfId="25681"/>
    <cellStyle name="Normal 13 6 4 7" xfId="17455"/>
    <cellStyle name="Normal 13 6 4 8" xfId="33909"/>
    <cellStyle name="Normal 13 6 4 9" xfId="42136"/>
    <cellStyle name="Normal 13 6 5" xfId="1191"/>
    <cellStyle name="Normal 13 6 5 2" xfId="2886"/>
    <cellStyle name="Normal 13 6 5 2 2" xfId="11111"/>
    <cellStyle name="Normal 13 6 5 2 2 2" xfId="27561"/>
    <cellStyle name="Normal 13 6 5 2 3" xfId="19336"/>
    <cellStyle name="Normal 13 6 5 2 4" xfId="35790"/>
    <cellStyle name="Normal 13 6 5 3" xfId="4531"/>
    <cellStyle name="Normal 13 6 5 3 2" xfId="12756"/>
    <cellStyle name="Normal 13 6 5 3 2 2" xfId="29206"/>
    <cellStyle name="Normal 13 6 5 3 3" xfId="20981"/>
    <cellStyle name="Normal 13 6 5 3 4" xfId="37435"/>
    <cellStyle name="Normal 13 6 5 4" xfId="6176"/>
    <cellStyle name="Normal 13 6 5 4 2" xfId="14401"/>
    <cellStyle name="Normal 13 6 5 4 2 2" xfId="30851"/>
    <cellStyle name="Normal 13 6 5 4 3" xfId="22626"/>
    <cellStyle name="Normal 13 6 5 4 4" xfId="39080"/>
    <cellStyle name="Normal 13 6 5 5" xfId="7821"/>
    <cellStyle name="Normal 13 6 5 5 2" xfId="16046"/>
    <cellStyle name="Normal 13 6 5 5 2 2" xfId="32496"/>
    <cellStyle name="Normal 13 6 5 5 3" xfId="24271"/>
    <cellStyle name="Normal 13 6 5 5 4" xfId="40725"/>
    <cellStyle name="Normal 13 6 5 6" xfId="9466"/>
    <cellStyle name="Normal 13 6 5 6 2" xfId="25916"/>
    <cellStyle name="Normal 13 6 5 7" xfId="17690"/>
    <cellStyle name="Normal 13 6 5 8" xfId="34144"/>
    <cellStyle name="Normal 13 6 5 9" xfId="42371"/>
    <cellStyle name="Normal 13 6 6" xfId="1471"/>
    <cellStyle name="Normal 13 6 6 2" xfId="3121"/>
    <cellStyle name="Normal 13 6 6 2 2" xfId="11346"/>
    <cellStyle name="Normal 13 6 6 2 2 2" xfId="27796"/>
    <cellStyle name="Normal 13 6 6 2 3" xfId="19571"/>
    <cellStyle name="Normal 13 6 6 2 4" xfId="36025"/>
    <cellStyle name="Normal 13 6 6 3" xfId="4766"/>
    <cellStyle name="Normal 13 6 6 3 2" xfId="12991"/>
    <cellStyle name="Normal 13 6 6 3 2 2" xfId="29441"/>
    <cellStyle name="Normal 13 6 6 3 3" xfId="21216"/>
    <cellStyle name="Normal 13 6 6 3 4" xfId="37670"/>
    <cellStyle name="Normal 13 6 6 4" xfId="6411"/>
    <cellStyle name="Normal 13 6 6 4 2" xfId="14636"/>
    <cellStyle name="Normal 13 6 6 4 2 2" xfId="31086"/>
    <cellStyle name="Normal 13 6 6 4 3" xfId="22861"/>
    <cellStyle name="Normal 13 6 6 4 4" xfId="39315"/>
    <cellStyle name="Normal 13 6 6 5" xfId="8056"/>
    <cellStyle name="Normal 13 6 6 5 2" xfId="16281"/>
    <cellStyle name="Normal 13 6 6 5 2 2" xfId="32731"/>
    <cellStyle name="Normal 13 6 6 5 3" xfId="24506"/>
    <cellStyle name="Normal 13 6 6 5 4" xfId="40960"/>
    <cellStyle name="Normal 13 6 6 6" xfId="9701"/>
    <cellStyle name="Normal 13 6 6 6 2" xfId="26151"/>
    <cellStyle name="Normal 13 6 6 7" xfId="17925"/>
    <cellStyle name="Normal 13 6 6 8" xfId="34379"/>
    <cellStyle name="Normal 13 6 7" xfId="1706"/>
    <cellStyle name="Normal 13 6 7 2" xfId="3356"/>
    <cellStyle name="Normal 13 6 7 2 2" xfId="11581"/>
    <cellStyle name="Normal 13 6 7 2 2 2" xfId="28031"/>
    <cellStyle name="Normal 13 6 7 2 3" xfId="19806"/>
    <cellStyle name="Normal 13 6 7 2 4" xfId="36260"/>
    <cellStyle name="Normal 13 6 7 3" xfId="5001"/>
    <cellStyle name="Normal 13 6 7 3 2" xfId="13226"/>
    <cellStyle name="Normal 13 6 7 3 2 2" xfId="29676"/>
    <cellStyle name="Normal 13 6 7 3 3" xfId="21451"/>
    <cellStyle name="Normal 13 6 7 3 4" xfId="37905"/>
    <cellStyle name="Normal 13 6 7 4" xfId="6646"/>
    <cellStyle name="Normal 13 6 7 4 2" xfId="14871"/>
    <cellStyle name="Normal 13 6 7 4 2 2" xfId="31321"/>
    <cellStyle name="Normal 13 6 7 4 3" xfId="23096"/>
    <cellStyle name="Normal 13 6 7 4 4" xfId="39550"/>
    <cellStyle name="Normal 13 6 7 5" xfId="8291"/>
    <cellStyle name="Normal 13 6 7 5 2" xfId="16516"/>
    <cellStyle name="Normal 13 6 7 5 2 2" xfId="32966"/>
    <cellStyle name="Normal 13 6 7 5 3" xfId="24741"/>
    <cellStyle name="Normal 13 6 7 5 4" xfId="41195"/>
    <cellStyle name="Normal 13 6 7 6" xfId="9936"/>
    <cellStyle name="Normal 13 6 7 6 2" xfId="26386"/>
    <cellStyle name="Normal 13 6 7 7" xfId="18160"/>
    <cellStyle name="Normal 13 6 7 8" xfId="34614"/>
    <cellStyle name="Normal 13 6 8" xfId="1941"/>
    <cellStyle name="Normal 13 6 8 2" xfId="10171"/>
    <cellStyle name="Normal 13 6 8 2 2" xfId="26621"/>
    <cellStyle name="Normal 13 6 8 3" xfId="18395"/>
    <cellStyle name="Normal 13 6 8 4" xfId="34849"/>
    <cellStyle name="Normal 13 6 9" xfId="3591"/>
    <cellStyle name="Normal 13 6 9 2" xfId="11816"/>
    <cellStyle name="Normal 13 6 9 2 2" xfId="28266"/>
    <cellStyle name="Normal 13 6 9 3" xfId="20041"/>
    <cellStyle name="Normal 13 6 9 4" xfId="36495"/>
    <cellStyle name="Normal 13 7" xfId="268"/>
    <cellStyle name="Normal 13 7 10" xfId="5263"/>
    <cellStyle name="Normal 13 7 10 2" xfId="13488"/>
    <cellStyle name="Normal 13 7 10 2 2" xfId="29938"/>
    <cellStyle name="Normal 13 7 10 3" xfId="21713"/>
    <cellStyle name="Normal 13 7 10 4" xfId="38167"/>
    <cellStyle name="Normal 13 7 11" xfId="6908"/>
    <cellStyle name="Normal 13 7 11 2" xfId="15133"/>
    <cellStyle name="Normal 13 7 11 2 2" xfId="31583"/>
    <cellStyle name="Normal 13 7 11 3" xfId="23358"/>
    <cellStyle name="Normal 13 7 11 4" xfId="39812"/>
    <cellStyle name="Normal 13 7 12" xfId="8553"/>
    <cellStyle name="Normal 13 7 12 2" xfId="25003"/>
    <cellStyle name="Normal 13 7 13" xfId="16777"/>
    <cellStyle name="Normal 13 7 14" xfId="33230"/>
    <cellStyle name="Normal 13 7 15" xfId="41458"/>
    <cellStyle name="Normal 13 7 2" xfId="511"/>
    <cellStyle name="Normal 13 7 2 2" xfId="2206"/>
    <cellStyle name="Normal 13 7 2 2 2" xfId="10433"/>
    <cellStyle name="Normal 13 7 2 2 2 2" xfId="26883"/>
    <cellStyle name="Normal 13 7 2 2 3" xfId="18658"/>
    <cellStyle name="Normal 13 7 2 2 4" xfId="35112"/>
    <cellStyle name="Normal 13 7 2 3" xfId="3853"/>
    <cellStyle name="Normal 13 7 2 3 2" xfId="12078"/>
    <cellStyle name="Normal 13 7 2 3 2 2" xfId="28528"/>
    <cellStyle name="Normal 13 7 2 3 3" xfId="20303"/>
    <cellStyle name="Normal 13 7 2 3 4" xfId="36757"/>
    <cellStyle name="Normal 13 7 2 4" xfId="5498"/>
    <cellStyle name="Normal 13 7 2 4 2" xfId="13723"/>
    <cellStyle name="Normal 13 7 2 4 2 2" xfId="30173"/>
    <cellStyle name="Normal 13 7 2 4 3" xfId="21948"/>
    <cellStyle name="Normal 13 7 2 4 4" xfId="38402"/>
    <cellStyle name="Normal 13 7 2 5" xfId="7143"/>
    <cellStyle name="Normal 13 7 2 5 2" xfId="15368"/>
    <cellStyle name="Normal 13 7 2 5 2 2" xfId="31818"/>
    <cellStyle name="Normal 13 7 2 5 3" xfId="23593"/>
    <cellStyle name="Normal 13 7 2 5 4" xfId="40047"/>
    <cellStyle name="Normal 13 7 2 6" xfId="8788"/>
    <cellStyle name="Normal 13 7 2 6 2" xfId="25238"/>
    <cellStyle name="Normal 13 7 2 7" xfId="17012"/>
    <cellStyle name="Normal 13 7 2 8" xfId="33466"/>
    <cellStyle name="Normal 13 7 2 9" xfId="41693"/>
    <cellStyle name="Normal 13 7 3" xfId="748"/>
    <cellStyle name="Normal 13 7 3 2" xfId="2443"/>
    <cellStyle name="Normal 13 7 3 2 2" xfId="10668"/>
    <cellStyle name="Normal 13 7 3 2 2 2" xfId="27118"/>
    <cellStyle name="Normal 13 7 3 2 3" xfId="18893"/>
    <cellStyle name="Normal 13 7 3 2 4" xfId="35347"/>
    <cellStyle name="Normal 13 7 3 3" xfId="4088"/>
    <cellStyle name="Normal 13 7 3 3 2" xfId="12313"/>
    <cellStyle name="Normal 13 7 3 3 2 2" xfId="28763"/>
    <cellStyle name="Normal 13 7 3 3 3" xfId="20538"/>
    <cellStyle name="Normal 13 7 3 3 4" xfId="36992"/>
    <cellStyle name="Normal 13 7 3 4" xfId="5733"/>
    <cellStyle name="Normal 13 7 3 4 2" xfId="13958"/>
    <cellStyle name="Normal 13 7 3 4 2 2" xfId="30408"/>
    <cellStyle name="Normal 13 7 3 4 3" xfId="22183"/>
    <cellStyle name="Normal 13 7 3 4 4" xfId="38637"/>
    <cellStyle name="Normal 13 7 3 5" xfId="7378"/>
    <cellStyle name="Normal 13 7 3 5 2" xfId="15603"/>
    <cellStyle name="Normal 13 7 3 5 2 2" xfId="32053"/>
    <cellStyle name="Normal 13 7 3 5 3" xfId="23828"/>
    <cellStyle name="Normal 13 7 3 5 4" xfId="40282"/>
    <cellStyle name="Normal 13 7 3 6" xfId="9023"/>
    <cellStyle name="Normal 13 7 3 6 2" xfId="25473"/>
    <cellStyle name="Normal 13 7 3 7" xfId="17247"/>
    <cellStyle name="Normal 13 7 3 8" xfId="33701"/>
    <cellStyle name="Normal 13 7 3 9" xfId="41928"/>
    <cellStyle name="Normal 13 7 4" xfId="983"/>
    <cellStyle name="Normal 13 7 4 2" xfId="2678"/>
    <cellStyle name="Normal 13 7 4 2 2" xfId="10903"/>
    <cellStyle name="Normal 13 7 4 2 2 2" xfId="27353"/>
    <cellStyle name="Normal 13 7 4 2 3" xfId="19128"/>
    <cellStyle name="Normal 13 7 4 2 4" xfId="35582"/>
    <cellStyle name="Normal 13 7 4 3" xfId="4323"/>
    <cellStyle name="Normal 13 7 4 3 2" xfId="12548"/>
    <cellStyle name="Normal 13 7 4 3 2 2" xfId="28998"/>
    <cellStyle name="Normal 13 7 4 3 3" xfId="20773"/>
    <cellStyle name="Normal 13 7 4 3 4" xfId="37227"/>
    <cellStyle name="Normal 13 7 4 4" xfId="5968"/>
    <cellStyle name="Normal 13 7 4 4 2" xfId="14193"/>
    <cellStyle name="Normal 13 7 4 4 2 2" xfId="30643"/>
    <cellStyle name="Normal 13 7 4 4 3" xfId="22418"/>
    <cellStyle name="Normal 13 7 4 4 4" xfId="38872"/>
    <cellStyle name="Normal 13 7 4 5" xfId="7613"/>
    <cellStyle name="Normal 13 7 4 5 2" xfId="15838"/>
    <cellStyle name="Normal 13 7 4 5 2 2" xfId="32288"/>
    <cellStyle name="Normal 13 7 4 5 3" xfId="24063"/>
    <cellStyle name="Normal 13 7 4 5 4" xfId="40517"/>
    <cellStyle name="Normal 13 7 4 6" xfId="9258"/>
    <cellStyle name="Normal 13 7 4 6 2" xfId="25708"/>
    <cellStyle name="Normal 13 7 4 7" xfId="17482"/>
    <cellStyle name="Normal 13 7 4 8" xfId="33936"/>
    <cellStyle name="Normal 13 7 4 9" xfId="42163"/>
    <cellStyle name="Normal 13 7 5" xfId="1218"/>
    <cellStyle name="Normal 13 7 5 2" xfId="2913"/>
    <cellStyle name="Normal 13 7 5 2 2" xfId="11138"/>
    <cellStyle name="Normal 13 7 5 2 2 2" xfId="27588"/>
    <cellStyle name="Normal 13 7 5 2 3" xfId="19363"/>
    <cellStyle name="Normal 13 7 5 2 4" xfId="35817"/>
    <cellStyle name="Normal 13 7 5 3" xfId="4558"/>
    <cellStyle name="Normal 13 7 5 3 2" xfId="12783"/>
    <cellStyle name="Normal 13 7 5 3 2 2" xfId="29233"/>
    <cellStyle name="Normal 13 7 5 3 3" xfId="21008"/>
    <cellStyle name="Normal 13 7 5 3 4" xfId="37462"/>
    <cellStyle name="Normal 13 7 5 4" xfId="6203"/>
    <cellStyle name="Normal 13 7 5 4 2" xfId="14428"/>
    <cellStyle name="Normal 13 7 5 4 2 2" xfId="30878"/>
    <cellStyle name="Normal 13 7 5 4 3" xfId="22653"/>
    <cellStyle name="Normal 13 7 5 4 4" xfId="39107"/>
    <cellStyle name="Normal 13 7 5 5" xfId="7848"/>
    <cellStyle name="Normal 13 7 5 5 2" xfId="16073"/>
    <cellStyle name="Normal 13 7 5 5 2 2" xfId="32523"/>
    <cellStyle name="Normal 13 7 5 5 3" xfId="24298"/>
    <cellStyle name="Normal 13 7 5 5 4" xfId="40752"/>
    <cellStyle name="Normal 13 7 5 6" xfId="9493"/>
    <cellStyle name="Normal 13 7 5 6 2" xfId="25943"/>
    <cellStyle name="Normal 13 7 5 7" xfId="17717"/>
    <cellStyle name="Normal 13 7 5 8" xfId="34171"/>
    <cellStyle name="Normal 13 7 5 9" xfId="42398"/>
    <cellStyle name="Normal 13 7 6" xfId="1498"/>
    <cellStyle name="Normal 13 7 6 2" xfId="3148"/>
    <cellStyle name="Normal 13 7 6 2 2" xfId="11373"/>
    <cellStyle name="Normal 13 7 6 2 2 2" xfId="27823"/>
    <cellStyle name="Normal 13 7 6 2 3" xfId="19598"/>
    <cellStyle name="Normal 13 7 6 2 4" xfId="36052"/>
    <cellStyle name="Normal 13 7 6 3" xfId="4793"/>
    <cellStyle name="Normal 13 7 6 3 2" xfId="13018"/>
    <cellStyle name="Normal 13 7 6 3 2 2" xfId="29468"/>
    <cellStyle name="Normal 13 7 6 3 3" xfId="21243"/>
    <cellStyle name="Normal 13 7 6 3 4" xfId="37697"/>
    <cellStyle name="Normal 13 7 6 4" xfId="6438"/>
    <cellStyle name="Normal 13 7 6 4 2" xfId="14663"/>
    <cellStyle name="Normal 13 7 6 4 2 2" xfId="31113"/>
    <cellStyle name="Normal 13 7 6 4 3" xfId="22888"/>
    <cellStyle name="Normal 13 7 6 4 4" xfId="39342"/>
    <cellStyle name="Normal 13 7 6 5" xfId="8083"/>
    <cellStyle name="Normal 13 7 6 5 2" xfId="16308"/>
    <cellStyle name="Normal 13 7 6 5 2 2" xfId="32758"/>
    <cellStyle name="Normal 13 7 6 5 3" xfId="24533"/>
    <cellStyle name="Normal 13 7 6 5 4" xfId="40987"/>
    <cellStyle name="Normal 13 7 6 6" xfId="9728"/>
    <cellStyle name="Normal 13 7 6 6 2" xfId="26178"/>
    <cellStyle name="Normal 13 7 6 7" xfId="17952"/>
    <cellStyle name="Normal 13 7 6 8" xfId="34406"/>
    <cellStyle name="Normal 13 7 7" xfId="1733"/>
    <cellStyle name="Normal 13 7 7 2" xfId="3383"/>
    <cellStyle name="Normal 13 7 7 2 2" xfId="11608"/>
    <cellStyle name="Normal 13 7 7 2 2 2" xfId="28058"/>
    <cellStyle name="Normal 13 7 7 2 3" xfId="19833"/>
    <cellStyle name="Normal 13 7 7 2 4" xfId="36287"/>
    <cellStyle name="Normal 13 7 7 3" xfId="5028"/>
    <cellStyle name="Normal 13 7 7 3 2" xfId="13253"/>
    <cellStyle name="Normal 13 7 7 3 2 2" xfId="29703"/>
    <cellStyle name="Normal 13 7 7 3 3" xfId="21478"/>
    <cellStyle name="Normal 13 7 7 3 4" xfId="37932"/>
    <cellStyle name="Normal 13 7 7 4" xfId="6673"/>
    <cellStyle name="Normal 13 7 7 4 2" xfId="14898"/>
    <cellStyle name="Normal 13 7 7 4 2 2" xfId="31348"/>
    <cellStyle name="Normal 13 7 7 4 3" xfId="23123"/>
    <cellStyle name="Normal 13 7 7 4 4" xfId="39577"/>
    <cellStyle name="Normal 13 7 7 5" xfId="8318"/>
    <cellStyle name="Normal 13 7 7 5 2" xfId="16543"/>
    <cellStyle name="Normal 13 7 7 5 2 2" xfId="32993"/>
    <cellStyle name="Normal 13 7 7 5 3" xfId="24768"/>
    <cellStyle name="Normal 13 7 7 5 4" xfId="41222"/>
    <cellStyle name="Normal 13 7 7 6" xfId="9963"/>
    <cellStyle name="Normal 13 7 7 6 2" xfId="26413"/>
    <cellStyle name="Normal 13 7 7 7" xfId="18187"/>
    <cellStyle name="Normal 13 7 7 8" xfId="34641"/>
    <cellStyle name="Normal 13 7 8" xfId="1968"/>
    <cellStyle name="Normal 13 7 8 2" xfId="10198"/>
    <cellStyle name="Normal 13 7 8 2 2" xfId="26648"/>
    <cellStyle name="Normal 13 7 8 3" xfId="18422"/>
    <cellStyle name="Normal 13 7 8 4" xfId="34876"/>
    <cellStyle name="Normal 13 7 9" xfId="3618"/>
    <cellStyle name="Normal 13 7 9 2" xfId="11843"/>
    <cellStyle name="Normal 13 7 9 2 2" xfId="28293"/>
    <cellStyle name="Normal 13 7 9 3" xfId="20068"/>
    <cellStyle name="Normal 13 7 9 4" xfId="36522"/>
    <cellStyle name="Normal 13 8" xfId="297"/>
    <cellStyle name="Normal 13 8 2" xfId="1998"/>
    <cellStyle name="Normal 13 8 2 2" xfId="10225"/>
    <cellStyle name="Normal 13 8 2 2 2" xfId="26675"/>
    <cellStyle name="Normal 13 8 2 3" xfId="18450"/>
    <cellStyle name="Normal 13 8 2 4" xfId="34904"/>
    <cellStyle name="Normal 13 8 3" xfId="3645"/>
    <cellStyle name="Normal 13 8 3 2" xfId="11870"/>
    <cellStyle name="Normal 13 8 3 2 2" xfId="28320"/>
    <cellStyle name="Normal 13 8 3 3" xfId="20095"/>
    <cellStyle name="Normal 13 8 3 4" xfId="36549"/>
    <cellStyle name="Normal 13 8 4" xfId="5290"/>
    <cellStyle name="Normal 13 8 4 2" xfId="13515"/>
    <cellStyle name="Normal 13 8 4 2 2" xfId="29965"/>
    <cellStyle name="Normal 13 8 4 3" xfId="21740"/>
    <cellStyle name="Normal 13 8 4 4" xfId="38194"/>
    <cellStyle name="Normal 13 8 5" xfId="6935"/>
    <cellStyle name="Normal 13 8 5 2" xfId="15160"/>
    <cellStyle name="Normal 13 8 5 2 2" xfId="31610"/>
    <cellStyle name="Normal 13 8 5 3" xfId="23385"/>
    <cellStyle name="Normal 13 8 5 4" xfId="39839"/>
    <cellStyle name="Normal 13 8 6" xfId="8580"/>
    <cellStyle name="Normal 13 8 6 2" xfId="25030"/>
    <cellStyle name="Normal 13 8 7" xfId="16804"/>
    <cellStyle name="Normal 13 8 8" xfId="33258"/>
    <cellStyle name="Normal 13 8 9" xfId="41485"/>
    <cellStyle name="Normal 13 9" xfId="540"/>
    <cellStyle name="Normal 13 9 2" xfId="2235"/>
    <cellStyle name="Normal 13 9 2 2" xfId="10460"/>
    <cellStyle name="Normal 13 9 2 2 2" xfId="26910"/>
    <cellStyle name="Normal 13 9 2 3" xfId="18685"/>
    <cellStyle name="Normal 13 9 2 4" xfId="35139"/>
    <cellStyle name="Normal 13 9 3" xfId="3880"/>
    <cellStyle name="Normal 13 9 3 2" xfId="12105"/>
    <cellStyle name="Normal 13 9 3 2 2" xfId="28555"/>
    <cellStyle name="Normal 13 9 3 3" xfId="20330"/>
    <cellStyle name="Normal 13 9 3 4" xfId="36784"/>
    <cellStyle name="Normal 13 9 4" xfId="5525"/>
    <cellStyle name="Normal 13 9 4 2" xfId="13750"/>
    <cellStyle name="Normal 13 9 4 2 2" xfId="30200"/>
    <cellStyle name="Normal 13 9 4 3" xfId="21975"/>
    <cellStyle name="Normal 13 9 4 4" xfId="38429"/>
    <cellStyle name="Normal 13 9 5" xfId="7170"/>
    <cellStyle name="Normal 13 9 5 2" xfId="15395"/>
    <cellStyle name="Normal 13 9 5 2 2" xfId="31845"/>
    <cellStyle name="Normal 13 9 5 3" xfId="23620"/>
    <cellStyle name="Normal 13 9 5 4" xfId="40074"/>
    <cellStyle name="Normal 13 9 6" xfId="8815"/>
    <cellStyle name="Normal 13 9 6 2" xfId="25265"/>
    <cellStyle name="Normal 13 9 7" xfId="17039"/>
    <cellStyle name="Normal 13 9 8" xfId="33493"/>
    <cellStyle name="Normal 13 9 9" xfId="41720"/>
    <cellStyle name="Normal 14" xfId="56"/>
    <cellStyle name="Normal 14 2" xfId="187"/>
    <cellStyle name="Normal 14 2 2" xfId="430"/>
    <cellStyle name="Normal 14 2 2 2" xfId="1259"/>
    <cellStyle name="Normal 14 2 3" xfId="1251"/>
    <cellStyle name="Normal 14 3" xfId="243"/>
    <cellStyle name="Normal 14 3 2" xfId="486"/>
    <cellStyle name="Normal 14 3 2 2" xfId="1261"/>
    <cellStyle name="Normal 14 3 3" xfId="1253"/>
    <cellStyle name="Normal 14 4" xfId="299"/>
    <cellStyle name="Normal 14 4 2" xfId="1257"/>
    <cellStyle name="Normal 14 5" xfId="272"/>
    <cellStyle name="Normal 14 5 2" xfId="1973"/>
    <cellStyle name="Normal 14 5 3" xfId="1255"/>
    <cellStyle name="Normal 14 6" xfId="515"/>
    <cellStyle name="Normal 14 6 2" xfId="2210"/>
    <cellStyle name="Normal 14 6 3" xfId="1263"/>
    <cellStyle name="Normal 14 7" xfId="1249"/>
    <cellStyle name="Normal 15" xfId="81"/>
    <cellStyle name="Normal 15 10" xfId="5080"/>
    <cellStyle name="Normal 15 10 2" xfId="13305"/>
    <cellStyle name="Normal 15 10 2 2" xfId="29755"/>
    <cellStyle name="Normal 15 10 3" xfId="21530"/>
    <cellStyle name="Normal 15 10 4" xfId="37984"/>
    <cellStyle name="Normal 15 11" xfId="6725"/>
    <cellStyle name="Normal 15 11 2" xfId="14950"/>
    <cellStyle name="Normal 15 11 2 2" xfId="31400"/>
    <cellStyle name="Normal 15 11 3" xfId="23175"/>
    <cellStyle name="Normal 15 11 4" xfId="39629"/>
    <cellStyle name="Normal 15 12" xfId="8370"/>
    <cellStyle name="Normal 15 12 2" xfId="24820"/>
    <cellStyle name="Normal 15 13" xfId="16594"/>
    <cellStyle name="Normal 15 14" xfId="33047"/>
    <cellStyle name="Normal 15 15" xfId="41275"/>
    <cellStyle name="Normal 15 2" xfId="324"/>
    <cellStyle name="Normal 15 2 2" xfId="2023"/>
    <cellStyle name="Normal 15 2 2 2" xfId="10250"/>
    <cellStyle name="Normal 15 2 2 2 2" xfId="26700"/>
    <cellStyle name="Normal 15 2 2 3" xfId="18475"/>
    <cellStyle name="Normal 15 2 2 4" xfId="34929"/>
    <cellStyle name="Normal 15 2 3" xfId="3670"/>
    <cellStyle name="Normal 15 2 3 2" xfId="11895"/>
    <cellStyle name="Normal 15 2 3 2 2" xfId="28345"/>
    <cellStyle name="Normal 15 2 3 3" xfId="20120"/>
    <cellStyle name="Normal 15 2 3 4" xfId="36574"/>
    <cellStyle name="Normal 15 2 4" xfId="5315"/>
    <cellStyle name="Normal 15 2 4 2" xfId="13540"/>
    <cellStyle name="Normal 15 2 4 2 2" xfId="29990"/>
    <cellStyle name="Normal 15 2 4 3" xfId="21765"/>
    <cellStyle name="Normal 15 2 4 4" xfId="38219"/>
    <cellStyle name="Normal 15 2 5" xfId="6960"/>
    <cellStyle name="Normal 15 2 5 2" xfId="15185"/>
    <cellStyle name="Normal 15 2 5 2 2" xfId="31635"/>
    <cellStyle name="Normal 15 2 5 3" xfId="23410"/>
    <cellStyle name="Normal 15 2 5 4" xfId="39864"/>
    <cellStyle name="Normal 15 2 6" xfId="8605"/>
    <cellStyle name="Normal 15 2 6 2" xfId="25055"/>
    <cellStyle name="Normal 15 2 7" xfId="16829"/>
    <cellStyle name="Normal 15 2 8" xfId="33283"/>
    <cellStyle name="Normal 15 2 9" xfId="41510"/>
    <cellStyle name="Normal 15 3" xfId="565"/>
    <cellStyle name="Normal 15 3 2" xfId="2260"/>
    <cellStyle name="Normal 15 3 2 2" xfId="10485"/>
    <cellStyle name="Normal 15 3 2 2 2" xfId="26935"/>
    <cellStyle name="Normal 15 3 2 3" xfId="18710"/>
    <cellStyle name="Normal 15 3 2 4" xfId="35164"/>
    <cellStyle name="Normal 15 3 3" xfId="3905"/>
    <cellStyle name="Normal 15 3 3 2" xfId="12130"/>
    <cellStyle name="Normal 15 3 3 2 2" xfId="28580"/>
    <cellStyle name="Normal 15 3 3 3" xfId="20355"/>
    <cellStyle name="Normal 15 3 3 4" xfId="36809"/>
    <cellStyle name="Normal 15 3 4" xfId="5550"/>
    <cellStyle name="Normal 15 3 4 2" xfId="13775"/>
    <cellStyle name="Normal 15 3 4 2 2" xfId="30225"/>
    <cellStyle name="Normal 15 3 4 3" xfId="22000"/>
    <cellStyle name="Normal 15 3 4 4" xfId="38454"/>
    <cellStyle name="Normal 15 3 5" xfId="7195"/>
    <cellStyle name="Normal 15 3 5 2" xfId="15420"/>
    <cellStyle name="Normal 15 3 5 2 2" xfId="31870"/>
    <cellStyle name="Normal 15 3 5 3" xfId="23645"/>
    <cellStyle name="Normal 15 3 5 4" xfId="40099"/>
    <cellStyle name="Normal 15 3 6" xfId="8840"/>
    <cellStyle name="Normal 15 3 6 2" xfId="25290"/>
    <cellStyle name="Normal 15 3 7" xfId="17064"/>
    <cellStyle name="Normal 15 3 8" xfId="33518"/>
    <cellStyle name="Normal 15 3 9" xfId="41745"/>
    <cellStyle name="Normal 15 4" xfId="800"/>
    <cellStyle name="Normal 15 4 2" xfId="2495"/>
    <cellStyle name="Normal 15 4 2 2" xfId="10720"/>
    <cellStyle name="Normal 15 4 2 2 2" xfId="27170"/>
    <cellStyle name="Normal 15 4 2 3" xfId="18945"/>
    <cellStyle name="Normal 15 4 2 4" xfId="35399"/>
    <cellStyle name="Normal 15 4 3" xfId="4140"/>
    <cellStyle name="Normal 15 4 3 2" xfId="12365"/>
    <cellStyle name="Normal 15 4 3 2 2" xfId="28815"/>
    <cellStyle name="Normal 15 4 3 3" xfId="20590"/>
    <cellStyle name="Normal 15 4 3 4" xfId="37044"/>
    <cellStyle name="Normal 15 4 4" xfId="5785"/>
    <cellStyle name="Normal 15 4 4 2" xfId="14010"/>
    <cellStyle name="Normal 15 4 4 2 2" xfId="30460"/>
    <cellStyle name="Normal 15 4 4 3" xfId="22235"/>
    <cellStyle name="Normal 15 4 4 4" xfId="38689"/>
    <cellStyle name="Normal 15 4 5" xfId="7430"/>
    <cellStyle name="Normal 15 4 5 2" xfId="15655"/>
    <cellStyle name="Normal 15 4 5 2 2" xfId="32105"/>
    <cellStyle name="Normal 15 4 5 3" xfId="23880"/>
    <cellStyle name="Normal 15 4 5 4" xfId="40334"/>
    <cellStyle name="Normal 15 4 6" xfId="9075"/>
    <cellStyle name="Normal 15 4 6 2" xfId="25525"/>
    <cellStyle name="Normal 15 4 7" xfId="17299"/>
    <cellStyle name="Normal 15 4 8" xfId="33753"/>
    <cellStyle name="Normal 15 4 9" xfId="41980"/>
    <cellStyle name="Normal 15 5" xfId="1035"/>
    <cellStyle name="Normal 15 5 2" xfId="2730"/>
    <cellStyle name="Normal 15 5 2 2" xfId="10955"/>
    <cellStyle name="Normal 15 5 2 2 2" xfId="27405"/>
    <cellStyle name="Normal 15 5 2 3" xfId="19180"/>
    <cellStyle name="Normal 15 5 2 4" xfId="35634"/>
    <cellStyle name="Normal 15 5 3" xfId="4375"/>
    <cellStyle name="Normal 15 5 3 2" xfId="12600"/>
    <cellStyle name="Normal 15 5 3 2 2" xfId="29050"/>
    <cellStyle name="Normal 15 5 3 3" xfId="20825"/>
    <cellStyle name="Normal 15 5 3 4" xfId="37279"/>
    <cellStyle name="Normal 15 5 4" xfId="6020"/>
    <cellStyle name="Normal 15 5 4 2" xfId="14245"/>
    <cellStyle name="Normal 15 5 4 2 2" xfId="30695"/>
    <cellStyle name="Normal 15 5 4 3" xfId="22470"/>
    <cellStyle name="Normal 15 5 4 4" xfId="38924"/>
    <cellStyle name="Normal 15 5 5" xfId="7665"/>
    <cellStyle name="Normal 15 5 5 2" xfId="15890"/>
    <cellStyle name="Normal 15 5 5 2 2" xfId="32340"/>
    <cellStyle name="Normal 15 5 5 3" xfId="24115"/>
    <cellStyle name="Normal 15 5 5 4" xfId="40569"/>
    <cellStyle name="Normal 15 5 6" xfId="9310"/>
    <cellStyle name="Normal 15 5 6 2" xfId="25760"/>
    <cellStyle name="Normal 15 5 7" xfId="17534"/>
    <cellStyle name="Normal 15 5 8" xfId="33988"/>
    <cellStyle name="Normal 15 5 9" xfId="42215"/>
    <cellStyle name="Normal 15 6" xfId="1315"/>
    <cellStyle name="Normal 15 6 2" xfId="2965"/>
    <cellStyle name="Normal 15 6 2 2" xfId="11190"/>
    <cellStyle name="Normal 15 6 2 2 2" xfId="27640"/>
    <cellStyle name="Normal 15 6 2 3" xfId="19415"/>
    <cellStyle name="Normal 15 6 2 4" xfId="35869"/>
    <cellStyle name="Normal 15 6 3" xfId="4610"/>
    <cellStyle name="Normal 15 6 3 2" xfId="12835"/>
    <cellStyle name="Normal 15 6 3 2 2" xfId="29285"/>
    <cellStyle name="Normal 15 6 3 3" xfId="21060"/>
    <cellStyle name="Normal 15 6 3 4" xfId="37514"/>
    <cellStyle name="Normal 15 6 4" xfId="6255"/>
    <cellStyle name="Normal 15 6 4 2" xfId="14480"/>
    <cellStyle name="Normal 15 6 4 2 2" xfId="30930"/>
    <cellStyle name="Normal 15 6 4 3" xfId="22705"/>
    <cellStyle name="Normal 15 6 4 4" xfId="39159"/>
    <cellStyle name="Normal 15 6 5" xfId="7900"/>
    <cellStyle name="Normal 15 6 5 2" xfId="16125"/>
    <cellStyle name="Normal 15 6 5 2 2" xfId="32575"/>
    <cellStyle name="Normal 15 6 5 3" xfId="24350"/>
    <cellStyle name="Normal 15 6 5 4" xfId="40804"/>
    <cellStyle name="Normal 15 6 6" xfId="9545"/>
    <cellStyle name="Normal 15 6 6 2" xfId="25995"/>
    <cellStyle name="Normal 15 6 7" xfId="17769"/>
    <cellStyle name="Normal 15 6 8" xfId="34223"/>
    <cellStyle name="Normal 15 7" xfId="1550"/>
    <cellStyle name="Normal 15 7 2" xfId="3200"/>
    <cellStyle name="Normal 15 7 2 2" xfId="11425"/>
    <cellStyle name="Normal 15 7 2 2 2" xfId="27875"/>
    <cellStyle name="Normal 15 7 2 3" xfId="19650"/>
    <cellStyle name="Normal 15 7 2 4" xfId="36104"/>
    <cellStyle name="Normal 15 7 3" xfId="4845"/>
    <cellStyle name="Normal 15 7 3 2" xfId="13070"/>
    <cellStyle name="Normal 15 7 3 2 2" xfId="29520"/>
    <cellStyle name="Normal 15 7 3 3" xfId="21295"/>
    <cellStyle name="Normal 15 7 3 4" xfId="37749"/>
    <cellStyle name="Normal 15 7 4" xfId="6490"/>
    <cellStyle name="Normal 15 7 4 2" xfId="14715"/>
    <cellStyle name="Normal 15 7 4 2 2" xfId="31165"/>
    <cellStyle name="Normal 15 7 4 3" xfId="22940"/>
    <cellStyle name="Normal 15 7 4 4" xfId="39394"/>
    <cellStyle name="Normal 15 7 5" xfId="8135"/>
    <cellStyle name="Normal 15 7 5 2" xfId="16360"/>
    <cellStyle name="Normal 15 7 5 2 2" xfId="32810"/>
    <cellStyle name="Normal 15 7 5 3" xfId="24585"/>
    <cellStyle name="Normal 15 7 5 4" xfId="41039"/>
    <cellStyle name="Normal 15 7 6" xfId="9780"/>
    <cellStyle name="Normal 15 7 6 2" xfId="26230"/>
    <cellStyle name="Normal 15 7 7" xfId="18004"/>
    <cellStyle name="Normal 15 7 8" xfId="34458"/>
    <cellStyle name="Normal 15 8" xfId="1785"/>
    <cellStyle name="Normal 15 8 2" xfId="10015"/>
    <cellStyle name="Normal 15 8 2 2" xfId="26465"/>
    <cellStyle name="Normal 15 8 3" xfId="18239"/>
    <cellStyle name="Normal 15 8 4" xfId="34693"/>
    <cellStyle name="Normal 15 9" xfId="3435"/>
    <cellStyle name="Normal 15 9 2" xfId="11660"/>
    <cellStyle name="Normal 15 9 2 2" xfId="28110"/>
    <cellStyle name="Normal 15 9 3" xfId="19885"/>
    <cellStyle name="Normal 15 9 4" xfId="36339"/>
    <cellStyle name="Normal 16" xfId="131"/>
    <cellStyle name="Normal 16 10" xfId="5130"/>
    <cellStyle name="Normal 16 10 2" xfId="13355"/>
    <cellStyle name="Normal 16 10 2 2" xfId="29805"/>
    <cellStyle name="Normal 16 10 3" xfId="21580"/>
    <cellStyle name="Normal 16 10 4" xfId="38034"/>
    <cellStyle name="Normal 16 11" xfId="6775"/>
    <cellStyle name="Normal 16 11 2" xfId="15000"/>
    <cellStyle name="Normal 16 11 2 2" xfId="31450"/>
    <cellStyle name="Normal 16 11 3" xfId="23225"/>
    <cellStyle name="Normal 16 11 4" xfId="39679"/>
    <cellStyle name="Normal 16 12" xfId="8420"/>
    <cellStyle name="Normal 16 12 2" xfId="24870"/>
    <cellStyle name="Normal 16 13" xfId="16644"/>
    <cellStyle name="Normal 16 14" xfId="33097"/>
    <cellStyle name="Normal 16 15" xfId="41325"/>
    <cellStyle name="Normal 16 2" xfId="374"/>
    <cellStyle name="Normal 16 2 2" xfId="2073"/>
    <cellStyle name="Normal 16 2 2 2" xfId="10300"/>
    <cellStyle name="Normal 16 2 2 2 2" xfId="26750"/>
    <cellStyle name="Normal 16 2 2 3" xfId="18525"/>
    <cellStyle name="Normal 16 2 2 4" xfId="34979"/>
    <cellStyle name="Normal 16 2 3" xfId="3720"/>
    <cellStyle name="Normal 16 2 3 2" xfId="11945"/>
    <cellStyle name="Normal 16 2 3 2 2" xfId="28395"/>
    <cellStyle name="Normal 16 2 3 3" xfId="20170"/>
    <cellStyle name="Normal 16 2 3 4" xfId="36624"/>
    <cellStyle name="Normal 16 2 4" xfId="5365"/>
    <cellStyle name="Normal 16 2 4 2" xfId="13590"/>
    <cellStyle name="Normal 16 2 4 2 2" xfId="30040"/>
    <cellStyle name="Normal 16 2 4 3" xfId="21815"/>
    <cellStyle name="Normal 16 2 4 4" xfId="38269"/>
    <cellStyle name="Normal 16 2 5" xfId="7010"/>
    <cellStyle name="Normal 16 2 5 2" xfId="15235"/>
    <cellStyle name="Normal 16 2 5 2 2" xfId="31685"/>
    <cellStyle name="Normal 16 2 5 3" xfId="23460"/>
    <cellStyle name="Normal 16 2 5 4" xfId="39914"/>
    <cellStyle name="Normal 16 2 6" xfId="8655"/>
    <cellStyle name="Normal 16 2 6 2" xfId="25105"/>
    <cellStyle name="Normal 16 2 7" xfId="16879"/>
    <cellStyle name="Normal 16 2 8" xfId="33333"/>
    <cellStyle name="Normal 16 2 9" xfId="41560"/>
    <cellStyle name="Normal 16 3" xfId="615"/>
    <cellStyle name="Normal 16 3 2" xfId="2310"/>
    <cellStyle name="Normal 16 3 2 2" xfId="10535"/>
    <cellStyle name="Normal 16 3 2 2 2" xfId="26985"/>
    <cellStyle name="Normal 16 3 2 3" xfId="18760"/>
    <cellStyle name="Normal 16 3 2 4" xfId="35214"/>
    <cellStyle name="Normal 16 3 3" xfId="3955"/>
    <cellStyle name="Normal 16 3 3 2" xfId="12180"/>
    <cellStyle name="Normal 16 3 3 2 2" xfId="28630"/>
    <cellStyle name="Normal 16 3 3 3" xfId="20405"/>
    <cellStyle name="Normal 16 3 3 4" xfId="36859"/>
    <cellStyle name="Normal 16 3 4" xfId="5600"/>
    <cellStyle name="Normal 16 3 4 2" xfId="13825"/>
    <cellStyle name="Normal 16 3 4 2 2" xfId="30275"/>
    <cellStyle name="Normal 16 3 4 3" xfId="22050"/>
    <cellStyle name="Normal 16 3 4 4" xfId="38504"/>
    <cellStyle name="Normal 16 3 5" xfId="7245"/>
    <cellStyle name="Normal 16 3 5 2" xfId="15470"/>
    <cellStyle name="Normal 16 3 5 2 2" xfId="31920"/>
    <cellStyle name="Normal 16 3 5 3" xfId="23695"/>
    <cellStyle name="Normal 16 3 5 4" xfId="40149"/>
    <cellStyle name="Normal 16 3 6" xfId="8890"/>
    <cellStyle name="Normal 16 3 6 2" xfId="25340"/>
    <cellStyle name="Normal 16 3 7" xfId="17114"/>
    <cellStyle name="Normal 16 3 8" xfId="33568"/>
    <cellStyle name="Normal 16 3 9" xfId="41795"/>
    <cellStyle name="Normal 16 4" xfId="850"/>
    <cellStyle name="Normal 16 4 2" xfId="2545"/>
    <cellStyle name="Normal 16 4 2 2" xfId="10770"/>
    <cellStyle name="Normal 16 4 2 2 2" xfId="27220"/>
    <cellStyle name="Normal 16 4 2 3" xfId="18995"/>
    <cellStyle name="Normal 16 4 2 4" xfId="35449"/>
    <cellStyle name="Normal 16 4 3" xfId="4190"/>
    <cellStyle name="Normal 16 4 3 2" xfId="12415"/>
    <cellStyle name="Normal 16 4 3 2 2" xfId="28865"/>
    <cellStyle name="Normal 16 4 3 3" xfId="20640"/>
    <cellStyle name="Normal 16 4 3 4" xfId="37094"/>
    <cellStyle name="Normal 16 4 4" xfId="5835"/>
    <cellStyle name="Normal 16 4 4 2" xfId="14060"/>
    <cellStyle name="Normal 16 4 4 2 2" xfId="30510"/>
    <cellStyle name="Normal 16 4 4 3" xfId="22285"/>
    <cellStyle name="Normal 16 4 4 4" xfId="38739"/>
    <cellStyle name="Normal 16 4 5" xfId="7480"/>
    <cellStyle name="Normal 16 4 5 2" xfId="15705"/>
    <cellStyle name="Normal 16 4 5 2 2" xfId="32155"/>
    <cellStyle name="Normal 16 4 5 3" xfId="23930"/>
    <cellStyle name="Normal 16 4 5 4" xfId="40384"/>
    <cellStyle name="Normal 16 4 6" xfId="9125"/>
    <cellStyle name="Normal 16 4 6 2" xfId="25575"/>
    <cellStyle name="Normal 16 4 7" xfId="17349"/>
    <cellStyle name="Normal 16 4 8" xfId="33803"/>
    <cellStyle name="Normal 16 4 9" xfId="42030"/>
    <cellStyle name="Normal 16 5" xfId="1085"/>
    <cellStyle name="Normal 16 5 2" xfId="2780"/>
    <cellStyle name="Normal 16 5 2 2" xfId="11005"/>
    <cellStyle name="Normal 16 5 2 2 2" xfId="27455"/>
    <cellStyle name="Normal 16 5 2 3" xfId="19230"/>
    <cellStyle name="Normal 16 5 2 4" xfId="35684"/>
    <cellStyle name="Normal 16 5 3" xfId="4425"/>
    <cellStyle name="Normal 16 5 3 2" xfId="12650"/>
    <cellStyle name="Normal 16 5 3 2 2" xfId="29100"/>
    <cellStyle name="Normal 16 5 3 3" xfId="20875"/>
    <cellStyle name="Normal 16 5 3 4" xfId="37329"/>
    <cellStyle name="Normal 16 5 4" xfId="6070"/>
    <cellStyle name="Normal 16 5 4 2" xfId="14295"/>
    <cellStyle name="Normal 16 5 4 2 2" xfId="30745"/>
    <cellStyle name="Normal 16 5 4 3" xfId="22520"/>
    <cellStyle name="Normal 16 5 4 4" xfId="38974"/>
    <cellStyle name="Normal 16 5 5" xfId="7715"/>
    <cellStyle name="Normal 16 5 5 2" xfId="15940"/>
    <cellStyle name="Normal 16 5 5 2 2" xfId="32390"/>
    <cellStyle name="Normal 16 5 5 3" xfId="24165"/>
    <cellStyle name="Normal 16 5 5 4" xfId="40619"/>
    <cellStyle name="Normal 16 5 6" xfId="9360"/>
    <cellStyle name="Normal 16 5 6 2" xfId="25810"/>
    <cellStyle name="Normal 16 5 7" xfId="17584"/>
    <cellStyle name="Normal 16 5 8" xfId="34038"/>
    <cellStyle name="Normal 16 5 9" xfId="42265"/>
    <cellStyle name="Normal 16 6" xfId="1365"/>
    <cellStyle name="Normal 16 6 2" xfId="3015"/>
    <cellStyle name="Normal 16 6 2 2" xfId="11240"/>
    <cellStyle name="Normal 16 6 2 2 2" xfId="27690"/>
    <cellStyle name="Normal 16 6 2 3" xfId="19465"/>
    <cellStyle name="Normal 16 6 2 4" xfId="35919"/>
    <cellStyle name="Normal 16 6 3" xfId="4660"/>
    <cellStyle name="Normal 16 6 3 2" xfId="12885"/>
    <cellStyle name="Normal 16 6 3 2 2" xfId="29335"/>
    <cellStyle name="Normal 16 6 3 3" xfId="21110"/>
    <cellStyle name="Normal 16 6 3 4" xfId="37564"/>
    <cellStyle name="Normal 16 6 4" xfId="6305"/>
    <cellStyle name="Normal 16 6 4 2" xfId="14530"/>
    <cellStyle name="Normal 16 6 4 2 2" xfId="30980"/>
    <cellStyle name="Normal 16 6 4 3" xfId="22755"/>
    <cellStyle name="Normal 16 6 4 4" xfId="39209"/>
    <cellStyle name="Normal 16 6 5" xfId="7950"/>
    <cellStyle name="Normal 16 6 5 2" xfId="16175"/>
    <cellStyle name="Normal 16 6 5 2 2" xfId="32625"/>
    <cellStyle name="Normal 16 6 5 3" xfId="24400"/>
    <cellStyle name="Normal 16 6 5 4" xfId="40854"/>
    <cellStyle name="Normal 16 6 6" xfId="9595"/>
    <cellStyle name="Normal 16 6 6 2" xfId="26045"/>
    <cellStyle name="Normal 16 6 7" xfId="17819"/>
    <cellStyle name="Normal 16 6 8" xfId="34273"/>
    <cellStyle name="Normal 16 7" xfId="1600"/>
    <cellStyle name="Normal 16 7 2" xfId="3250"/>
    <cellStyle name="Normal 16 7 2 2" xfId="11475"/>
    <cellStyle name="Normal 16 7 2 2 2" xfId="27925"/>
    <cellStyle name="Normal 16 7 2 3" xfId="19700"/>
    <cellStyle name="Normal 16 7 2 4" xfId="36154"/>
    <cellStyle name="Normal 16 7 3" xfId="4895"/>
    <cellStyle name="Normal 16 7 3 2" xfId="13120"/>
    <cellStyle name="Normal 16 7 3 2 2" xfId="29570"/>
    <cellStyle name="Normal 16 7 3 3" xfId="21345"/>
    <cellStyle name="Normal 16 7 3 4" xfId="37799"/>
    <cellStyle name="Normal 16 7 4" xfId="6540"/>
    <cellStyle name="Normal 16 7 4 2" xfId="14765"/>
    <cellStyle name="Normal 16 7 4 2 2" xfId="31215"/>
    <cellStyle name="Normal 16 7 4 3" xfId="22990"/>
    <cellStyle name="Normal 16 7 4 4" xfId="39444"/>
    <cellStyle name="Normal 16 7 5" xfId="8185"/>
    <cellStyle name="Normal 16 7 5 2" xfId="16410"/>
    <cellStyle name="Normal 16 7 5 2 2" xfId="32860"/>
    <cellStyle name="Normal 16 7 5 3" xfId="24635"/>
    <cellStyle name="Normal 16 7 5 4" xfId="41089"/>
    <cellStyle name="Normal 16 7 6" xfId="9830"/>
    <cellStyle name="Normal 16 7 6 2" xfId="26280"/>
    <cellStyle name="Normal 16 7 7" xfId="18054"/>
    <cellStyle name="Normal 16 7 8" xfId="34508"/>
    <cellStyle name="Normal 16 8" xfId="1835"/>
    <cellStyle name="Normal 16 8 2" xfId="10065"/>
    <cellStyle name="Normal 16 8 2 2" xfId="26515"/>
    <cellStyle name="Normal 16 8 3" xfId="18289"/>
    <cellStyle name="Normal 16 8 4" xfId="34743"/>
    <cellStyle name="Normal 16 9" xfId="3485"/>
    <cellStyle name="Normal 16 9 2" xfId="11710"/>
    <cellStyle name="Normal 16 9 2 2" xfId="28160"/>
    <cellStyle name="Normal 16 9 3" xfId="19935"/>
    <cellStyle name="Normal 16 9 4" xfId="36389"/>
    <cellStyle name="Normal 17" xfId="158"/>
    <cellStyle name="Normal 17 10" xfId="5157"/>
    <cellStyle name="Normal 17 10 2" xfId="13382"/>
    <cellStyle name="Normal 17 10 2 2" xfId="29832"/>
    <cellStyle name="Normal 17 10 3" xfId="21607"/>
    <cellStyle name="Normal 17 10 4" xfId="38061"/>
    <cellStyle name="Normal 17 11" xfId="6802"/>
    <cellStyle name="Normal 17 11 2" xfId="15027"/>
    <cellStyle name="Normal 17 11 2 2" xfId="31477"/>
    <cellStyle name="Normal 17 11 3" xfId="23252"/>
    <cellStyle name="Normal 17 11 4" xfId="39706"/>
    <cellStyle name="Normal 17 12" xfId="8447"/>
    <cellStyle name="Normal 17 12 2" xfId="24897"/>
    <cellStyle name="Normal 17 13" xfId="16671"/>
    <cellStyle name="Normal 17 14" xfId="33124"/>
    <cellStyle name="Normal 17 15" xfId="41352"/>
    <cellStyle name="Normal 17 2" xfId="401"/>
    <cellStyle name="Normal 17 2 2" xfId="2100"/>
    <cellStyle name="Normal 17 2 2 2" xfId="10327"/>
    <cellStyle name="Normal 17 2 2 2 2" xfId="26777"/>
    <cellStyle name="Normal 17 2 2 3" xfId="18552"/>
    <cellStyle name="Normal 17 2 2 4" xfId="35006"/>
    <cellStyle name="Normal 17 2 3" xfId="3747"/>
    <cellStyle name="Normal 17 2 3 2" xfId="11972"/>
    <cellStyle name="Normal 17 2 3 2 2" xfId="28422"/>
    <cellStyle name="Normal 17 2 3 3" xfId="20197"/>
    <cellStyle name="Normal 17 2 3 4" xfId="36651"/>
    <cellStyle name="Normal 17 2 4" xfId="5392"/>
    <cellStyle name="Normal 17 2 4 2" xfId="13617"/>
    <cellStyle name="Normal 17 2 4 2 2" xfId="30067"/>
    <cellStyle name="Normal 17 2 4 3" xfId="21842"/>
    <cellStyle name="Normal 17 2 4 4" xfId="38296"/>
    <cellStyle name="Normal 17 2 5" xfId="7037"/>
    <cellStyle name="Normal 17 2 5 2" xfId="15262"/>
    <cellStyle name="Normal 17 2 5 2 2" xfId="31712"/>
    <cellStyle name="Normal 17 2 5 3" xfId="23487"/>
    <cellStyle name="Normal 17 2 5 4" xfId="39941"/>
    <cellStyle name="Normal 17 2 6" xfId="8682"/>
    <cellStyle name="Normal 17 2 6 2" xfId="25132"/>
    <cellStyle name="Normal 17 2 7" xfId="16906"/>
    <cellStyle name="Normal 17 2 8" xfId="33360"/>
    <cellStyle name="Normal 17 2 9" xfId="41587"/>
    <cellStyle name="Normal 17 3" xfId="642"/>
    <cellStyle name="Normal 17 3 2" xfId="2337"/>
    <cellStyle name="Normal 17 3 2 2" xfId="10562"/>
    <cellStyle name="Normal 17 3 2 2 2" xfId="27012"/>
    <cellStyle name="Normal 17 3 2 3" xfId="18787"/>
    <cellStyle name="Normal 17 3 2 4" xfId="35241"/>
    <cellStyle name="Normal 17 3 3" xfId="3982"/>
    <cellStyle name="Normal 17 3 3 2" xfId="12207"/>
    <cellStyle name="Normal 17 3 3 2 2" xfId="28657"/>
    <cellStyle name="Normal 17 3 3 3" xfId="20432"/>
    <cellStyle name="Normal 17 3 3 4" xfId="36886"/>
    <cellStyle name="Normal 17 3 4" xfId="5627"/>
    <cellStyle name="Normal 17 3 4 2" xfId="13852"/>
    <cellStyle name="Normal 17 3 4 2 2" xfId="30302"/>
    <cellStyle name="Normal 17 3 4 3" xfId="22077"/>
    <cellStyle name="Normal 17 3 4 4" xfId="38531"/>
    <cellStyle name="Normal 17 3 5" xfId="7272"/>
    <cellStyle name="Normal 17 3 5 2" xfId="15497"/>
    <cellStyle name="Normal 17 3 5 2 2" xfId="31947"/>
    <cellStyle name="Normal 17 3 5 3" xfId="23722"/>
    <cellStyle name="Normal 17 3 5 4" xfId="40176"/>
    <cellStyle name="Normal 17 3 6" xfId="8917"/>
    <cellStyle name="Normal 17 3 6 2" xfId="25367"/>
    <cellStyle name="Normal 17 3 7" xfId="17141"/>
    <cellStyle name="Normal 17 3 8" xfId="33595"/>
    <cellStyle name="Normal 17 3 9" xfId="41822"/>
    <cellStyle name="Normal 17 4" xfId="877"/>
    <cellStyle name="Normal 17 4 2" xfId="2572"/>
    <cellStyle name="Normal 17 4 2 2" xfId="10797"/>
    <cellStyle name="Normal 17 4 2 2 2" xfId="27247"/>
    <cellStyle name="Normal 17 4 2 3" xfId="19022"/>
    <cellStyle name="Normal 17 4 2 4" xfId="35476"/>
    <cellStyle name="Normal 17 4 3" xfId="4217"/>
    <cellStyle name="Normal 17 4 3 2" xfId="12442"/>
    <cellStyle name="Normal 17 4 3 2 2" xfId="28892"/>
    <cellStyle name="Normal 17 4 3 3" xfId="20667"/>
    <cellStyle name="Normal 17 4 3 4" xfId="37121"/>
    <cellStyle name="Normal 17 4 4" xfId="5862"/>
    <cellStyle name="Normal 17 4 4 2" xfId="14087"/>
    <cellStyle name="Normal 17 4 4 2 2" xfId="30537"/>
    <cellStyle name="Normal 17 4 4 3" xfId="22312"/>
    <cellStyle name="Normal 17 4 4 4" xfId="38766"/>
    <cellStyle name="Normal 17 4 5" xfId="7507"/>
    <cellStyle name="Normal 17 4 5 2" xfId="15732"/>
    <cellStyle name="Normal 17 4 5 2 2" xfId="32182"/>
    <cellStyle name="Normal 17 4 5 3" xfId="23957"/>
    <cellStyle name="Normal 17 4 5 4" xfId="40411"/>
    <cellStyle name="Normal 17 4 6" xfId="9152"/>
    <cellStyle name="Normal 17 4 6 2" xfId="25602"/>
    <cellStyle name="Normal 17 4 7" xfId="17376"/>
    <cellStyle name="Normal 17 4 8" xfId="33830"/>
    <cellStyle name="Normal 17 4 9" xfId="42057"/>
    <cellStyle name="Normal 17 5" xfId="1112"/>
    <cellStyle name="Normal 17 5 2" xfId="2807"/>
    <cellStyle name="Normal 17 5 2 2" xfId="11032"/>
    <cellStyle name="Normal 17 5 2 2 2" xfId="27482"/>
    <cellStyle name="Normal 17 5 2 3" xfId="19257"/>
    <cellStyle name="Normal 17 5 2 4" xfId="35711"/>
    <cellStyle name="Normal 17 5 3" xfId="4452"/>
    <cellStyle name="Normal 17 5 3 2" xfId="12677"/>
    <cellStyle name="Normal 17 5 3 2 2" xfId="29127"/>
    <cellStyle name="Normal 17 5 3 3" xfId="20902"/>
    <cellStyle name="Normal 17 5 3 4" xfId="37356"/>
    <cellStyle name="Normal 17 5 4" xfId="6097"/>
    <cellStyle name="Normal 17 5 4 2" xfId="14322"/>
    <cellStyle name="Normal 17 5 4 2 2" xfId="30772"/>
    <cellStyle name="Normal 17 5 4 3" xfId="22547"/>
    <cellStyle name="Normal 17 5 4 4" xfId="39001"/>
    <cellStyle name="Normal 17 5 5" xfId="7742"/>
    <cellStyle name="Normal 17 5 5 2" xfId="15967"/>
    <cellStyle name="Normal 17 5 5 2 2" xfId="32417"/>
    <cellStyle name="Normal 17 5 5 3" xfId="24192"/>
    <cellStyle name="Normal 17 5 5 4" xfId="40646"/>
    <cellStyle name="Normal 17 5 6" xfId="9387"/>
    <cellStyle name="Normal 17 5 6 2" xfId="25837"/>
    <cellStyle name="Normal 17 5 7" xfId="17611"/>
    <cellStyle name="Normal 17 5 8" xfId="34065"/>
    <cellStyle name="Normal 17 5 9" xfId="42292"/>
    <cellStyle name="Normal 17 6" xfId="1392"/>
    <cellStyle name="Normal 17 6 2" xfId="3042"/>
    <cellStyle name="Normal 17 6 2 2" xfId="11267"/>
    <cellStyle name="Normal 17 6 2 2 2" xfId="27717"/>
    <cellStyle name="Normal 17 6 2 3" xfId="19492"/>
    <cellStyle name="Normal 17 6 2 4" xfId="35946"/>
    <cellStyle name="Normal 17 6 3" xfId="4687"/>
    <cellStyle name="Normal 17 6 3 2" xfId="12912"/>
    <cellStyle name="Normal 17 6 3 2 2" xfId="29362"/>
    <cellStyle name="Normal 17 6 3 3" xfId="21137"/>
    <cellStyle name="Normal 17 6 3 4" xfId="37591"/>
    <cellStyle name="Normal 17 6 4" xfId="6332"/>
    <cellStyle name="Normal 17 6 4 2" xfId="14557"/>
    <cellStyle name="Normal 17 6 4 2 2" xfId="31007"/>
    <cellStyle name="Normal 17 6 4 3" xfId="22782"/>
    <cellStyle name="Normal 17 6 4 4" xfId="39236"/>
    <cellStyle name="Normal 17 6 5" xfId="7977"/>
    <cellStyle name="Normal 17 6 5 2" xfId="16202"/>
    <cellStyle name="Normal 17 6 5 2 2" xfId="32652"/>
    <cellStyle name="Normal 17 6 5 3" xfId="24427"/>
    <cellStyle name="Normal 17 6 5 4" xfId="40881"/>
    <cellStyle name="Normal 17 6 6" xfId="9622"/>
    <cellStyle name="Normal 17 6 6 2" xfId="26072"/>
    <cellStyle name="Normal 17 6 7" xfId="17846"/>
    <cellStyle name="Normal 17 6 8" xfId="34300"/>
    <cellStyle name="Normal 17 7" xfId="1627"/>
    <cellStyle name="Normal 17 7 2" xfId="3277"/>
    <cellStyle name="Normal 17 7 2 2" xfId="11502"/>
    <cellStyle name="Normal 17 7 2 2 2" xfId="27952"/>
    <cellStyle name="Normal 17 7 2 3" xfId="19727"/>
    <cellStyle name="Normal 17 7 2 4" xfId="36181"/>
    <cellStyle name="Normal 17 7 3" xfId="4922"/>
    <cellStyle name="Normal 17 7 3 2" xfId="13147"/>
    <cellStyle name="Normal 17 7 3 2 2" xfId="29597"/>
    <cellStyle name="Normal 17 7 3 3" xfId="21372"/>
    <cellStyle name="Normal 17 7 3 4" xfId="37826"/>
    <cellStyle name="Normal 17 7 4" xfId="6567"/>
    <cellStyle name="Normal 17 7 4 2" xfId="14792"/>
    <cellStyle name="Normal 17 7 4 2 2" xfId="31242"/>
    <cellStyle name="Normal 17 7 4 3" xfId="23017"/>
    <cellStyle name="Normal 17 7 4 4" xfId="39471"/>
    <cellStyle name="Normal 17 7 5" xfId="8212"/>
    <cellStyle name="Normal 17 7 5 2" xfId="16437"/>
    <cellStyle name="Normal 17 7 5 2 2" xfId="32887"/>
    <cellStyle name="Normal 17 7 5 3" xfId="24662"/>
    <cellStyle name="Normal 17 7 5 4" xfId="41116"/>
    <cellStyle name="Normal 17 7 6" xfId="9857"/>
    <cellStyle name="Normal 17 7 6 2" xfId="26307"/>
    <cellStyle name="Normal 17 7 7" xfId="18081"/>
    <cellStyle name="Normal 17 7 8" xfId="34535"/>
    <cellStyle name="Normal 17 8" xfId="1862"/>
    <cellStyle name="Normal 17 8 2" xfId="10092"/>
    <cellStyle name="Normal 17 8 2 2" xfId="26542"/>
    <cellStyle name="Normal 17 8 3" xfId="18316"/>
    <cellStyle name="Normal 17 8 4" xfId="34770"/>
    <cellStyle name="Normal 17 9" xfId="3512"/>
    <cellStyle name="Normal 17 9 2" xfId="11737"/>
    <cellStyle name="Normal 17 9 2 2" xfId="28187"/>
    <cellStyle name="Normal 17 9 3" xfId="19962"/>
    <cellStyle name="Normal 17 9 4" xfId="36416"/>
    <cellStyle name="Normal 18" xfId="185"/>
    <cellStyle name="Normal 18 10" xfId="5184"/>
    <cellStyle name="Normal 18 10 2" xfId="13409"/>
    <cellStyle name="Normal 18 10 2 2" xfId="29859"/>
    <cellStyle name="Normal 18 10 3" xfId="21634"/>
    <cellStyle name="Normal 18 10 4" xfId="38088"/>
    <cellStyle name="Normal 18 11" xfId="6829"/>
    <cellStyle name="Normal 18 11 2" xfId="15054"/>
    <cellStyle name="Normal 18 11 2 2" xfId="31504"/>
    <cellStyle name="Normal 18 11 3" xfId="23279"/>
    <cellStyle name="Normal 18 11 4" xfId="39733"/>
    <cellStyle name="Normal 18 12" xfId="8474"/>
    <cellStyle name="Normal 18 12 2" xfId="24924"/>
    <cellStyle name="Normal 18 13" xfId="16698"/>
    <cellStyle name="Normal 18 14" xfId="33151"/>
    <cellStyle name="Normal 18 15" xfId="41379"/>
    <cellStyle name="Normal 18 2" xfId="428"/>
    <cellStyle name="Normal 18 2 2" xfId="2127"/>
    <cellStyle name="Normal 18 2 2 2" xfId="10354"/>
    <cellStyle name="Normal 18 2 2 2 2" xfId="26804"/>
    <cellStyle name="Normal 18 2 2 3" xfId="18579"/>
    <cellStyle name="Normal 18 2 2 4" xfId="35033"/>
    <cellStyle name="Normal 18 2 3" xfId="3774"/>
    <cellStyle name="Normal 18 2 3 2" xfId="11999"/>
    <cellStyle name="Normal 18 2 3 2 2" xfId="28449"/>
    <cellStyle name="Normal 18 2 3 3" xfId="20224"/>
    <cellStyle name="Normal 18 2 3 4" xfId="36678"/>
    <cellStyle name="Normal 18 2 4" xfId="5419"/>
    <cellStyle name="Normal 18 2 4 2" xfId="13644"/>
    <cellStyle name="Normal 18 2 4 2 2" xfId="30094"/>
    <cellStyle name="Normal 18 2 4 3" xfId="21869"/>
    <cellStyle name="Normal 18 2 4 4" xfId="38323"/>
    <cellStyle name="Normal 18 2 5" xfId="7064"/>
    <cellStyle name="Normal 18 2 5 2" xfId="15289"/>
    <cellStyle name="Normal 18 2 5 2 2" xfId="31739"/>
    <cellStyle name="Normal 18 2 5 3" xfId="23514"/>
    <cellStyle name="Normal 18 2 5 4" xfId="39968"/>
    <cellStyle name="Normal 18 2 6" xfId="8709"/>
    <cellStyle name="Normal 18 2 6 2" xfId="25159"/>
    <cellStyle name="Normal 18 2 7" xfId="16933"/>
    <cellStyle name="Normal 18 2 8" xfId="33387"/>
    <cellStyle name="Normal 18 2 9" xfId="41614"/>
    <cellStyle name="Normal 18 3" xfId="669"/>
    <cellStyle name="Normal 18 3 2" xfId="2364"/>
    <cellStyle name="Normal 18 3 2 2" xfId="10589"/>
    <cellStyle name="Normal 18 3 2 2 2" xfId="27039"/>
    <cellStyle name="Normal 18 3 2 3" xfId="18814"/>
    <cellStyle name="Normal 18 3 2 4" xfId="35268"/>
    <cellStyle name="Normal 18 3 3" xfId="4009"/>
    <cellStyle name="Normal 18 3 3 2" xfId="12234"/>
    <cellStyle name="Normal 18 3 3 2 2" xfId="28684"/>
    <cellStyle name="Normal 18 3 3 3" xfId="20459"/>
    <cellStyle name="Normal 18 3 3 4" xfId="36913"/>
    <cellStyle name="Normal 18 3 4" xfId="5654"/>
    <cellStyle name="Normal 18 3 4 2" xfId="13879"/>
    <cellStyle name="Normal 18 3 4 2 2" xfId="30329"/>
    <cellStyle name="Normal 18 3 4 3" xfId="22104"/>
    <cellStyle name="Normal 18 3 4 4" xfId="38558"/>
    <cellStyle name="Normal 18 3 5" xfId="7299"/>
    <cellStyle name="Normal 18 3 5 2" xfId="15524"/>
    <cellStyle name="Normal 18 3 5 2 2" xfId="31974"/>
    <cellStyle name="Normal 18 3 5 3" xfId="23749"/>
    <cellStyle name="Normal 18 3 5 4" xfId="40203"/>
    <cellStyle name="Normal 18 3 6" xfId="8944"/>
    <cellStyle name="Normal 18 3 6 2" xfId="25394"/>
    <cellStyle name="Normal 18 3 7" xfId="17168"/>
    <cellStyle name="Normal 18 3 8" xfId="33622"/>
    <cellStyle name="Normal 18 3 9" xfId="41849"/>
    <cellStyle name="Normal 18 4" xfId="904"/>
    <cellStyle name="Normal 18 4 2" xfId="2599"/>
    <cellStyle name="Normal 18 4 2 2" xfId="10824"/>
    <cellStyle name="Normal 18 4 2 2 2" xfId="27274"/>
    <cellStyle name="Normal 18 4 2 3" xfId="19049"/>
    <cellStyle name="Normal 18 4 2 4" xfId="35503"/>
    <cellStyle name="Normal 18 4 3" xfId="4244"/>
    <cellStyle name="Normal 18 4 3 2" xfId="12469"/>
    <cellStyle name="Normal 18 4 3 2 2" xfId="28919"/>
    <cellStyle name="Normal 18 4 3 3" xfId="20694"/>
    <cellStyle name="Normal 18 4 3 4" xfId="37148"/>
    <cellStyle name="Normal 18 4 4" xfId="5889"/>
    <cellStyle name="Normal 18 4 4 2" xfId="14114"/>
    <cellStyle name="Normal 18 4 4 2 2" xfId="30564"/>
    <cellStyle name="Normal 18 4 4 3" xfId="22339"/>
    <cellStyle name="Normal 18 4 4 4" xfId="38793"/>
    <cellStyle name="Normal 18 4 5" xfId="7534"/>
    <cellStyle name="Normal 18 4 5 2" xfId="15759"/>
    <cellStyle name="Normal 18 4 5 2 2" xfId="32209"/>
    <cellStyle name="Normal 18 4 5 3" xfId="23984"/>
    <cellStyle name="Normal 18 4 5 4" xfId="40438"/>
    <cellStyle name="Normal 18 4 6" xfId="9179"/>
    <cellStyle name="Normal 18 4 6 2" xfId="25629"/>
    <cellStyle name="Normal 18 4 7" xfId="17403"/>
    <cellStyle name="Normal 18 4 8" xfId="33857"/>
    <cellStyle name="Normal 18 4 9" xfId="42084"/>
    <cellStyle name="Normal 18 5" xfId="1139"/>
    <cellStyle name="Normal 18 5 2" xfId="2834"/>
    <cellStyle name="Normal 18 5 2 2" xfId="11059"/>
    <cellStyle name="Normal 18 5 2 2 2" xfId="27509"/>
    <cellStyle name="Normal 18 5 2 3" xfId="19284"/>
    <cellStyle name="Normal 18 5 2 4" xfId="35738"/>
    <cellStyle name="Normal 18 5 3" xfId="4479"/>
    <cellStyle name="Normal 18 5 3 2" xfId="12704"/>
    <cellStyle name="Normal 18 5 3 2 2" xfId="29154"/>
    <cellStyle name="Normal 18 5 3 3" xfId="20929"/>
    <cellStyle name="Normal 18 5 3 4" xfId="37383"/>
    <cellStyle name="Normal 18 5 4" xfId="6124"/>
    <cellStyle name="Normal 18 5 4 2" xfId="14349"/>
    <cellStyle name="Normal 18 5 4 2 2" xfId="30799"/>
    <cellStyle name="Normal 18 5 4 3" xfId="22574"/>
    <cellStyle name="Normal 18 5 4 4" xfId="39028"/>
    <cellStyle name="Normal 18 5 5" xfId="7769"/>
    <cellStyle name="Normal 18 5 5 2" xfId="15994"/>
    <cellStyle name="Normal 18 5 5 2 2" xfId="32444"/>
    <cellStyle name="Normal 18 5 5 3" xfId="24219"/>
    <cellStyle name="Normal 18 5 5 4" xfId="40673"/>
    <cellStyle name="Normal 18 5 6" xfId="9414"/>
    <cellStyle name="Normal 18 5 6 2" xfId="25864"/>
    <cellStyle name="Normal 18 5 7" xfId="17638"/>
    <cellStyle name="Normal 18 5 8" xfId="34092"/>
    <cellStyle name="Normal 18 5 9" xfId="42319"/>
    <cellStyle name="Normal 18 6" xfId="1419"/>
    <cellStyle name="Normal 18 6 2" xfId="3069"/>
    <cellStyle name="Normal 18 6 2 2" xfId="11294"/>
    <cellStyle name="Normal 18 6 2 2 2" xfId="27744"/>
    <cellStyle name="Normal 18 6 2 3" xfId="19519"/>
    <cellStyle name="Normal 18 6 2 4" xfId="35973"/>
    <cellStyle name="Normal 18 6 3" xfId="4714"/>
    <cellStyle name="Normal 18 6 3 2" xfId="12939"/>
    <cellStyle name="Normal 18 6 3 2 2" xfId="29389"/>
    <cellStyle name="Normal 18 6 3 3" xfId="21164"/>
    <cellStyle name="Normal 18 6 3 4" xfId="37618"/>
    <cellStyle name="Normal 18 6 4" xfId="6359"/>
    <cellStyle name="Normal 18 6 4 2" xfId="14584"/>
    <cellStyle name="Normal 18 6 4 2 2" xfId="31034"/>
    <cellStyle name="Normal 18 6 4 3" xfId="22809"/>
    <cellStyle name="Normal 18 6 4 4" xfId="39263"/>
    <cellStyle name="Normal 18 6 5" xfId="8004"/>
    <cellStyle name="Normal 18 6 5 2" xfId="16229"/>
    <cellStyle name="Normal 18 6 5 2 2" xfId="32679"/>
    <cellStyle name="Normal 18 6 5 3" xfId="24454"/>
    <cellStyle name="Normal 18 6 5 4" xfId="40908"/>
    <cellStyle name="Normal 18 6 6" xfId="9649"/>
    <cellStyle name="Normal 18 6 6 2" xfId="26099"/>
    <cellStyle name="Normal 18 6 7" xfId="17873"/>
    <cellStyle name="Normal 18 6 8" xfId="34327"/>
    <cellStyle name="Normal 18 7" xfId="1654"/>
    <cellStyle name="Normal 18 7 2" xfId="3304"/>
    <cellStyle name="Normal 18 7 2 2" xfId="11529"/>
    <cellStyle name="Normal 18 7 2 2 2" xfId="27979"/>
    <cellStyle name="Normal 18 7 2 3" xfId="19754"/>
    <cellStyle name="Normal 18 7 2 4" xfId="36208"/>
    <cellStyle name="Normal 18 7 3" xfId="4949"/>
    <cellStyle name="Normal 18 7 3 2" xfId="13174"/>
    <cellStyle name="Normal 18 7 3 2 2" xfId="29624"/>
    <cellStyle name="Normal 18 7 3 3" xfId="21399"/>
    <cellStyle name="Normal 18 7 3 4" xfId="37853"/>
    <cellStyle name="Normal 18 7 4" xfId="6594"/>
    <cellStyle name="Normal 18 7 4 2" xfId="14819"/>
    <cellStyle name="Normal 18 7 4 2 2" xfId="31269"/>
    <cellStyle name="Normal 18 7 4 3" xfId="23044"/>
    <cellStyle name="Normal 18 7 4 4" xfId="39498"/>
    <cellStyle name="Normal 18 7 5" xfId="8239"/>
    <cellStyle name="Normal 18 7 5 2" xfId="16464"/>
    <cellStyle name="Normal 18 7 5 2 2" xfId="32914"/>
    <cellStyle name="Normal 18 7 5 3" xfId="24689"/>
    <cellStyle name="Normal 18 7 5 4" xfId="41143"/>
    <cellStyle name="Normal 18 7 6" xfId="9884"/>
    <cellStyle name="Normal 18 7 6 2" xfId="26334"/>
    <cellStyle name="Normal 18 7 7" xfId="18108"/>
    <cellStyle name="Normal 18 7 8" xfId="34562"/>
    <cellStyle name="Normal 18 8" xfId="1889"/>
    <cellStyle name="Normal 18 8 2" xfId="10119"/>
    <cellStyle name="Normal 18 8 2 2" xfId="26569"/>
    <cellStyle name="Normal 18 8 3" xfId="18343"/>
    <cellStyle name="Normal 18 8 4" xfId="34797"/>
    <cellStyle name="Normal 18 9" xfId="3539"/>
    <cellStyle name="Normal 18 9 2" xfId="11764"/>
    <cellStyle name="Normal 18 9 2 2" xfId="28214"/>
    <cellStyle name="Normal 18 9 3" xfId="19989"/>
    <cellStyle name="Normal 18 9 4" xfId="36443"/>
    <cellStyle name="Normal 19" xfId="214"/>
    <cellStyle name="Normal 19 10" xfId="5211"/>
    <cellStyle name="Normal 19 10 2" xfId="13436"/>
    <cellStyle name="Normal 19 10 2 2" xfId="29886"/>
    <cellStyle name="Normal 19 10 3" xfId="21661"/>
    <cellStyle name="Normal 19 10 4" xfId="38115"/>
    <cellStyle name="Normal 19 11" xfId="6856"/>
    <cellStyle name="Normal 19 11 2" xfId="15081"/>
    <cellStyle name="Normal 19 11 2 2" xfId="31531"/>
    <cellStyle name="Normal 19 11 3" xfId="23306"/>
    <cellStyle name="Normal 19 11 4" xfId="39760"/>
    <cellStyle name="Normal 19 12" xfId="8501"/>
    <cellStyle name="Normal 19 12 2" xfId="24951"/>
    <cellStyle name="Normal 19 13" xfId="16725"/>
    <cellStyle name="Normal 19 14" xfId="33178"/>
    <cellStyle name="Normal 19 15" xfId="41406"/>
    <cellStyle name="Normal 19 2" xfId="457"/>
    <cellStyle name="Normal 19 2 2" xfId="2154"/>
    <cellStyle name="Normal 19 2 2 2" xfId="10381"/>
    <cellStyle name="Normal 19 2 2 2 2" xfId="26831"/>
    <cellStyle name="Normal 19 2 2 3" xfId="18606"/>
    <cellStyle name="Normal 19 2 2 4" xfId="35060"/>
    <cellStyle name="Normal 19 2 3" xfId="3801"/>
    <cellStyle name="Normal 19 2 3 2" xfId="12026"/>
    <cellStyle name="Normal 19 2 3 2 2" xfId="28476"/>
    <cellStyle name="Normal 19 2 3 3" xfId="20251"/>
    <cellStyle name="Normal 19 2 3 4" xfId="36705"/>
    <cellStyle name="Normal 19 2 4" xfId="5446"/>
    <cellStyle name="Normal 19 2 4 2" xfId="13671"/>
    <cellStyle name="Normal 19 2 4 2 2" xfId="30121"/>
    <cellStyle name="Normal 19 2 4 3" xfId="21896"/>
    <cellStyle name="Normal 19 2 4 4" xfId="38350"/>
    <cellStyle name="Normal 19 2 5" xfId="7091"/>
    <cellStyle name="Normal 19 2 5 2" xfId="15316"/>
    <cellStyle name="Normal 19 2 5 2 2" xfId="31766"/>
    <cellStyle name="Normal 19 2 5 3" xfId="23541"/>
    <cellStyle name="Normal 19 2 5 4" xfId="39995"/>
    <cellStyle name="Normal 19 2 6" xfId="8736"/>
    <cellStyle name="Normal 19 2 6 2" xfId="25186"/>
    <cellStyle name="Normal 19 2 7" xfId="16960"/>
    <cellStyle name="Normal 19 2 8" xfId="33414"/>
    <cellStyle name="Normal 19 2 9" xfId="41641"/>
    <cellStyle name="Normal 19 3" xfId="696"/>
    <cellStyle name="Normal 19 3 2" xfId="2391"/>
    <cellStyle name="Normal 19 3 2 2" xfId="10616"/>
    <cellStyle name="Normal 19 3 2 2 2" xfId="27066"/>
    <cellStyle name="Normal 19 3 2 3" xfId="18841"/>
    <cellStyle name="Normal 19 3 2 4" xfId="35295"/>
    <cellStyle name="Normal 19 3 3" xfId="4036"/>
    <cellStyle name="Normal 19 3 3 2" xfId="12261"/>
    <cellStyle name="Normal 19 3 3 2 2" xfId="28711"/>
    <cellStyle name="Normal 19 3 3 3" xfId="20486"/>
    <cellStyle name="Normal 19 3 3 4" xfId="36940"/>
    <cellStyle name="Normal 19 3 4" xfId="5681"/>
    <cellStyle name="Normal 19 3 4 2" xfId="13906"/>
    <cellStyle name="Normal 19 3 4 2 2" xfId="30356"/>
    <cellStyle name="Normal 19 3 4 3" xfId="22131"/>
    <cellStyle name="Normal 19 3 4 4" xfId="38585"/>
    <cellStyle name="Normal 19 3 5" xfId="7326"/>
    <cellStyle name="Normal 19 3 5 2" xfId="15551"/>
    <cellStyle name="Normal 19 3 5 2 2" xfId="32001"/>
    <cellStyle name="Normal 19 3 5 3" xfId="23776"/>
    <cellStyle name="Normal 19 3 5 4" xfId="40230"/>
    <cellStyle name="Normal 19 3 6" xfId="8971"/>
    <cellStyle name="Normal 19 3 6 2" xfId="25421"/>
    <cellStyle name="Normal 19 3 7" xfId="17195"/>
    <cellStyle name="Normal 19 3 8" xfId="33649"/>
    <cellStyle name="Normal 19 3 9" xfId="41876"/>
    <cellStyle name="Normal 19 4" xfId="931"/>
    <cellStyle name="Normal 19 4 2" xfId="2626"/>
    <cellStyle name="Normal 19 4 2 2" xfId="10851"/>
    <cellStyle name="Normal 19 4 2 2 2" xfId="27301"/>
    <cellStyle name="Normal 19 4 2 3" xfId="19076"/>
    <cellStyle name="Normal 19 4 2 4" xfId="35530"/>
    <cellStyle name="Normal 19 4 3" xfId="4271"/>
    <cellStyle name="Normal 19 4 3 2" xfId="12496"/>
    <cellStyle name="Normal 19 4 3 2 2" xfId="28946"/>
    <cellStyle name="Normal 19 4 3 3" xfId="20721"/>
    <cellStyle name="Normal 19 4 3 4" xfId="37175"/>
    <cellStyle name="Normal 19 4 4" xfId="5916"/>
    <cellStyle name="Normal 19 4 4 2" xfId="14141"/>
    <cellStyle name="Normal 19 4 4 2 2" xfId="30591"/>
    <cellStyle name="Normal 19 4 4 3" xfId="22366"/>
    <cellStyle name="Normal 19 4 4 4" xfId="38820"/>
    <cellStyle name="Normal 19 4 5" xfId="7561"/>
    <cellStyle name="Normal 19 4 5 2" xfId="15786"/>
    <cellStyle name="Normal 19 4 5 2 2" xfId="32236"/>
    <cellStyle name="Normal 19 4 5 3" xfId="24011"/>
    <cellStyle name="Normal 19 4 5 4" xfId="40465"/>
    <cellStyle name="Normal 19 4 6" xfId="9206"/>
    <cellStyle name="Normal 19 4 6 2" xfId="25656"/>
    <cellStyle name="Normal 19 4 7" xfId="17430"/>
    <cellStyle name="Normal 19 4 8" xfId="33884"/>
    <cellStyle name="Normal 19 4 9" xfId="42111"/>
    <cellStyle name="Normal 19 5" xfId="1166"/>
    <cellStyle name="Normal 19 5 2" xfId="2861"/>
    <cellStyle name="Normal 19 5 2 2" xfId="11086"/>
    <cellStyle name="Normal 19 5 2 2 2" xfId="27536"/>
    <cellStyle name="Normal 19 5 2 3" xfId="19311"/>
    <cellStyle name="Normal 19 5 2 4" xfId="35765"/>
    <cellStyle name="Normal 19 5 3" xfId="4506"/>
    <cellStyle name="Normal 19 5 3 2" xfId="12731"/>
    <cellStyle name="Normal 19 5 3 2 2" xfId="29181"/>
    <cellStyle name="Normal 19 5 3 3" xfId="20956"/>
    <cellStyle name="Normal 19 5 3 4" xfId="37410"/>
    <cellStyle name="Normal 19 5 4" xfId="6151"/>
    <cellStyle name="Normal 19 5 4 2" xfId="14376"/>
    <cellStyle name="Normal 19 5 4 2 2" xfId="30826"/>
    <cellStyle name="Normal 19 5 4 3" xfId="22601"/>
    <cellStyle name="Normal 19 5 4 4" xfId="39055"/>
    <cellStyle name="Normal 19 5 5" xfId="7796"/>
    <cellStyle name="Normal 19 5 5 2" xfId="16021"/>
    <cellStyle name="Normal 19 5 5 2 2" xfId="32471"/>
    <cellStyle name="Normal 19 5 5 3" xfId="24246"/>
    <cellStyle name="Normal 19 5 5 4" xfId="40700"/>
    <cellStyle name="Normal 19 5 6" xfId="9441"/>
    <cellStyle name="Normal 19 5 6 2" xfId="25891"/>
    <cellStyle name="Normal 19 5 7" xfId="17665"/>
    <cellStyle name="Normal 19 5 8" xfId="34119"/>
    <cellStyle name="Normal 19 5 9" xfId="42346"/>
    <cellStyle name="Normal 19 6" xfId="1446"/>
    <cellStyle name="Normal 19 6 2" xfId="3096"/>
    <cellStyle name="Normal 19 6 2 2" xfId="11321"/>
    <cellStyle name="Normal 19 6 2 2 2" xfId="27771"/>
    <cellStyle name="Normal 19 6 2 3" xfId="19546"/>
    <cellStyle name="Normal 19 6 2 4" xfId="36000"/>
    <cellStyle name="Normal 19 6 3" xfId="4741"/>
    <cellStyle name="Normal 19 6 3 2" xfId="12966"/>
    <cellStyle name="Normal 19 6 3 2 2" xfId="29416"/>
    <cellStyle name="Normal 19 6 3 3" xfId="21191"/>
    <cellStyle name="Normal 19 6 3 4" xfId="37645"/>
    <cellStyle name="Normal 19 6 4" xfId="6386"/>
    <cellStyle name="Normal 19 6 4 2" xfId="14611"/>
    <cellStyle name="Normal 19 6 4 2 2" xfId="31061"/>
    <cellStyle name="Normal 19 6 4 3" xfId="22836"/>
    <cellStyle name="Normal 19 6 4 4" xfId="39290"/>
    <cellStyle name="Normal 19 6 5" xfId="8031"/>
    <cellStyle name="Normal 19 6 5 2" xfId="16256"/>
    <cellStyle name="Normal 19 6 5 2 2" xfId="32706"/>
    <cellStyle name="Normal 19 6 5 3" xfId="24481"/>
    <cellStyle name="Normal 19 6 5 4" xfId="40935"/>
    <cellStyle name="Normal 19 6 6" xfId="9676"/>
    <cellStyle name="Normal 19 6 6 2" xfId="26126"/>
    <cellStyle name="Normal 19 6 7" xfId="17900"/>
    <cellStyle name="Normal 19 6 8" xfId="34354"/>
    <cellStyle name="Normal 19 7" xfId="1681"/>
    <cellStyle name="Normal 19 7 2" xfId="3331"/>
    <cellStyle name="Normal 19 7 2 2" xfId="11556"/>
    <cellStyle name="Normal 19 7 2 2 2" xfId="28006"/>
    <cellStyle name="Normal 19 7 2 3" xfId="19781"/>
    <cellStyle name="Normal 19 7 2 4" xfId="36235"/>
    <cellStyle name="Normal 19 7 3" xfId="4976"/>
    <cellStyle name="Normal 19 7 3 2" xfId="13201"/>
    <cellStyle name="Normal 19 7 3 2 2" xfId="29651"/>
    <cellStyle name="Normal 19 7 3 3" xfId="21426"/>
    <cellStyle name="Normal 19 7 3 4" xfId="37880"/>
    <cellStyle name="Normal 19 7 4" xfId="6621"/>
    <cellStyle name="Normal 19 7 4 2" xfId="14846"/>
    <cellStyle name="Normal 19 7 4 2 2" xfId="31296"/>
    <cellStyle name="Normal 19 7 4 3" xfId="23071"/>
    <cellStyle name="Normal 19 7 4 4" xfId="39525"/>
    <cellStyle name="Normal 19 7 5" xfId="8266"/>
    <cellStyle name="Normal 19 7 5 2" xfId="16491"/>
    <cellStyle name="Normal 19 7 5 2 2" xfId="32941"/>
    <cellStyle name="Normal 19 7 5 3" xfId="24716"/>
    <cellStyle name="Normal 19 7 5 4" xfId="41170"/>
    <cellStyle name="Normal 19 7 6" xfId="9911"/>
    <cellStyle name="Normal 19 7 6 2" xfId="26361"/>
    <cellStyle name="Normal 19 7 7" xfId="18135"/>
    <cellStyle name="Normal 19 7 8" xfId="34589"/>
    <cellStyle name="Normal 19 8" xfId="1916"/>
    <cellStyle name="Normal 19 8 2" xfId="10146"/>
    <cellStyle name="Normal 19 8 2 2" xfId="26596"/>
    <cellStyle name="Normal 19 8 3" xfId="18370"/>
    <cellStyle name="Normal 19 8 4" xfId="34824"/>
    <cellStyle name="Normal 19 9" xfId="3566"/>
    <cellStyle name="Normal 19 9 2" xfId="11791"/>
    <cellStyle name="Normal 19 9 2 2" xfId="28241"/>
    <cellStyle name="Normal 19 9 3" xfId="20016"/>
    <cellStyle name="Normal 19 9 4" xfId="36470"/>
    <cellStyle name="Normal 2" xfId="29"/>
    <cellStyle name="Normal 2 10" xfId="11"/>
    <cellStyle name="Normal 2 10 2" xfId="1230"/>
    <cellStyle name="Normal 2 11" xfId="12"/>
    <cellStyle name="Normal 2 11 2" xfId="1231"/>
    <cellStyle name="Normal 2 12" xfId="13"/>
    <cellStyle name="Normal 2 12 2" xfId="1232"/>
    <cellStyle name="Normal 2 13" xfId="14"/>
    <cellStyle name="Normal 2 13 2" xfId="1233"/>
    <cellStyle name="Normal 2 14" xfId="15"/>
    <cellStyle name="Normal 2 14 2" xfId="1234"/>
    <cellStyle name="Normal 2 15" xfId="16"/>
    <cellStyle name="Normal 2 15 2" xfId="1235"/>
    <cellStyle name="Normal 2 16" xfId="17"/>
    <cellStyle name="Normal 2 16 2" xfId="1236"/>
    <cellStyle name="Normal 2 17" xfId="18"/>
    <cellStyle name="Normal 2 17 2" xfId="1237"/>
    <cellStyle name="Normal 2 18" xfId="19"/>
    <cellStyle name="Normal 2 18 2" xfId="1238"/>
    <cellStyle name="Normal 2 19" xfId="20"/>
    <cellStyle name="Normal 2 19 2" xfId="1239"/>
    <cellStyle name="Normal 2 2" xfId="2"/>
    <cellStyle name="Normal 2 2 2" xfId="1221"/>
    <cellStyle name="Normal 2 20" xfId="21"/>
    <cellStyle name="Normal 2 20 2" xfId="1240"/>
    <cellStyle name="Normal 2 21" xfId="22"/>
    <cellStyle name="Normal 2 21 2" xfId="1241"/>
    <cellStyle name="Normal 2 22" xfId="23"/>
    <cellStyle name="Normal 2 22 2" xfId="1242"/>
    <cellStyle name="Normal 2 23" xfId="24"/>
    <cellStyle name="Normal 2 23 2" xfId="1243"/>
    <cellStyle name="Normal 2 24" xfId="25"/>
    <cellStyle name="Normal 2 24 2" xfId="1244"/>
    <cellStyle name="Normal 2 25" xfId="26"/>
    <cellStyle name="Normal 2 25 2" xfId="1245"/>
    <cellStyle name="Normal 2 26" xfId="27"/>
    <cellStyle name="Normal 2 26 2" xfId="1246"/>
    <cellStyle name="Normal 2 27" xfId="1247"/>
    <cellStyle name="Normal 2 3" xfId="3"/>
    <cellStyle name="Normal 2 3 2" xfId="1222"/>
    <cellStyle name="Normal 2 4" xfId="4"/>
    <cellStyle name="Normal 2 4 2" xfId="1223"/>
    <cellStyle name="Normal 2 5" xfId="5"/>
    <cellStyle name="Normal 2 5 2" xfId="1224"/>
    <cellStyle name="Normal 2 6" xfId="6"/>
    <cellStyle name="Normal 2 6 2" xfId="1225"/>
    <cellStyle name="Normal 2 7" xfId="7"/>
    <cellStyle name="Normal 2 7 2" xfId="1226"/>
    <cellStyle name="Normal 2 8" xfId="8"/>
    <cellStyle name="Normal 2 8 2" xfId="1227"/>
    <cellStyle name="Normal 2 9" xfId="9"/>
    <cellStyle name="Normal 2 9 2" xfId="1228"/>
    <cellStyle name="Normal 20" xfId="241"/>
    <cellStyle name="Normal 20 10" xfId="5238"/>
    <cellStyle name="Normal 20 10 2" xfId="13463"/>
    <cellStyle name="Normal 20 10 2 2" xfId="29913"/>
    <cellStyle name="Normal 20 10 3" xfId="21688"/>
    <cellStyle name="Normal 20 10 4" xfId="38142"/>
    <cellStyle name="Normal 20 11" xfId="6883"/>
    <cellStyle name="Normal 20 11 2" xfId="15108"/>
    <cellStyle name="Normal 20 11 2 2" xfId="31558"/>
    <cellStyle name="Normal 20 11 3" xfId="23333"/>
    <cellStyle name="Normal 20 11 4" xfId="39787"/>
    <cellStyle name="Normal 20 12" xfId="8528"/>
    <cellStyle name="Normal 20 12 2" xfId="24978"/>
    <cellStyle name="Normal 20 13" xfId="16752"/>
    <cellStyle name="Normal 20 14" xfId="33205"/>
    <cellStyle name="Normal 20 15" xfId="41433"/>
    <cellStyle name="Normal 20 2" xfId="484"/>
    <cellStyle name="Normal 20 2 2" xfId="2181"/>
    <cellStyle name="Normal 20 2 2 2" xfId="10408"/>
    <cellStyle name="Normal 20 2 2 2 2" xfId="26858"/>
    <cellStyle name="Normal 20 2 2 3" xfId="18633"/>
    <cellStyle name="Normal 20 2 2 4" xfId="35087"/>
    <cellStyle name="Normal 20 2 3" xfId="3828"/>
    <cellStyle name="Normal 20 2 3 2" xfId="12053"/>
    <cellStyle name="Normal 20 2 3 2 2" xfId="28503"/>
    <cellStyle name="Normal 20 2 3 3" xfId="20278"/>
    <cellStyle name="Normal 20 2 3 4" xfId="36732"/>
    <cellStyle name="Normal 20 2 4" xfId="5473"/>
    <cellStyle name="Normal 20 2 4 2" xfId="13698"/>
    <cellStyle name="Normal 20 2 4 2 2" xfId="30148"/>
    <cellStyle name="Normal 20 2 4 3" xfId="21923"/>
    <cellStyle name="Normal 20 2 4 4" xfId="38377"/>
    <cellStyle name="Normal 20 2 5" xfId="7118"/>
    <cellStyle name="Normal 20 2 5 2" xfId="15343"/>
    <cellStyle name="Normal 20 2 5 2 2" xfId="31793"/>
    <cellStyle name="Normal 20 2 5 3" xfId="23568"/>
    <cellStyle name="Normal 20 2 5 4" xfId="40022"/>
    <cellStyle name="Normal 20 2 6" xfId="8763"/>
    <cellStyle name="Normal 20 2 6 2" xfId="25213"/>
    <cellStyle name="Normal 20 2 7" xfId="16987"/>
    <cellStyle name="Normal 20 2 8" xfId="33441"/>
    <cellStyle name="Normal 20 2 9" xfId="41668"/>
    <cellStyle name="Normal 20 3" xfId="723"/>
    <cellStyle name="Normal 20 3 2" xfId="2418"/>
    <cellStyle name="Normal 20 3 2 2" xfId="10643"/>
    <cellStyle name="Normal 20 3 2 2 2" xfId="27093"/>
    <cellStyle name="Normal 20 3 2 3" xfId="18868"/>
    <cellStyle name="Normal 20 3 2 4" xfId="35322"/>
    <cellStyle name="Normal 20 3 3" xfId="4063"/>
    <cellStyle name="Normal 20 3 3 2" xfId="12288"/>
    <cellStyle name="Normal 20 3 3 2 2" xfId="28738"/>
    <cellStyle name="Normal 20 3 3 3" xfId="20513"/>
    <cellStyle name="Normal 20 3 3 4" xfId="36967"/>
    <cellStyle name="Normal 20 3 4" xfId="5708"/>
    <cellStyle name="Normal 20 3 4 2" xfId="13933"/>
    <cellStyle name="Normal 20 3 4 2 2" xfId="30383"/>
    <cellStyle name="Normal 20 3 4 3" xfId="22158"/>
    <cellStyle name="Normal 20 3 4 4" xfId="38612"/>
    <cellStyle name="Normal 20 3 5" xfId="7353"/>
    <cellStyle name="Normal 20 3 5 2" xfId="15578"/>
    <cellStyle name="Normal 20 3 5 2 2" xfId="32028"/>
    <cellStyle name="Normal 20 3 5 3" xfId="23803"/>
    <cellStyle name="Normal 20 3 5 4" xfId="40257"/>
    <cellStyle name="Normal 20 3 6" xfId="8998"/>
    <cellStyle name="Normal 20 3 6 2" xfId="25448"/>
    <cellStyle name="Normal 20 3 7" xfId="17222"/>
    <cellStyle name="Normal 20 3 8" xfId="33676"/>
    <cellStyle name="Normal 20 3 9" xfId="41903"/>
    <cellStyle name="Normal 20 4" xfId="958"/>
    <cellStyle name="Normal 20 4 2" xfId="2653"/>
    <cellStyle name="Normal 20 4 2 2" xfId="10878"/>
    <cellStyle name="Normal 20 4 2 2 2" xfId="27328"/>
    <cellStyle name="Normal 20 4 2 3" xfId="19103"/>
    <cellStyle name="Normal 20 4 2 4" xfId="35557"/>
    <cellStyle name="Normal 20 4 3" xfId="4298"/>
    <cellStyle name="Normal 20 4 3 2" xfId="12523"/>
    <cellStyle name="Normal 20 4 3 2 2" xfId="28973"/>
    <cellStyle name="Normal 20 4 3 3" xfId="20748"/>
    <cellStyle name="Normal 20 4 3 4" xfId="37202"/>
    <cellStyle name="Normal 20 4 4" xfId="5943"/>
    <cellStyle name="Normal 20 4 4 2" xfId="14168"/>
    <cellStyle name="Normal 20 4 4 2 2" xfId="30618"/>
    <cellStyle name="Normal 20 4 4 3" xfId="22393"/>
    <cellStyle name="Normal 20 4 4 4" xfId="38847"/>
    <cellStyle name="Normal 20 4 5" xfId="7588"/>
    <cellStyle name="Normal 20 4 5 2" xfId="15813"/>
    <cellStyle name="Normal 20 4 5 2 2" xfId="32263"/>
    <cellStyle name="Normal 20 4 5 3" xfId="24038"/>
    <cellStyle name="Normal 20 4 5 4" xfId="40492"/>
    <cellStyle name="Normal 20 4 6" xfId="9233"/>
    <cellStyle name="Normal 20 4 6 2" xfId="25683"/>
    <cellStyle name="Normal 20 4 7" xfId="17457"/>
    <cellStyle name="Normal 20 4 8" xfId="33911"/>
    <cellStyle name="Normal 20 4 9" xfId="42138"/>
    <cellStyle name="Normal 20 5" xfId="1193"/>
    <cellStyle name="Normal 20 5 2" xfId="2888"/>
    <cellStyle name="Normal 20 5 2 2" xfId="11113"/>
    <cellStyle name="Normal 20 5 2 2 2" xfId="27563"/>
    <cellStyle name="Normal 20 5 2 3" xfId="19338"/>
    <cellStyle name="Normal 20 5 2 4" xfId="35792"/>
    <cellStyle name="Normal 20 5 3" xfId="4533"/>
    <cellStyle name="Normal 20 5 3 2" xfId="12758"/>
    <cellStyle name="Normal 20 5 3 2 2" xfId="29208"/>
    <cellStyle name="Normal 20 5 3 3" xfId="20983"/>
    <cellStyle name="Normal 20 5 3 4" xfId="37437"/>
    <cellStyle name="Normal 20 5 4" xfId="6178"/>
    <cellStyle name="Normal 20 5 4 2" xfId="14403"/>
    <cellStyle name="Normal 20 5 4 2 2" xfId="30853"/>
    <cellStyle name="Normal 20 5 4 3" xfId="22628"/>
    <cellStyle name="Normal 20 5 4 4" xfId="39082"/>
    <cellStyle name="Normal 20 5 5" xfId="7823"/>
    <cellStyle name="Normal 20 5 5 2" xfId="16048"/>
    <cellStyle name="Normal 20 5 5 2 2" xfId="32498"/>
    <cellStyle name="Normal 20 5 5 3" xfId="24273"/>
    <cellStyle name="Normal 20 5 5 4" xfId="40727"/>
    <cellStyle name="Normal 20 5 6" xfId="9468"/>
    <cellStyle name="Normal 20 5 6 2" xfId="25918"/>
    <cellStyle name="Normal 20 5 7" xfId="17692"/>
    <cellStyle name="Normal 20 5 8" xfId="34146"/>
    <cellStyle name="Normal 20 5 9" xfId="42373"/>
    <cellStyle name="Normal 20 6" xfId="1473"/>
    <cellStyle name="Normal 20 6 2" xfId="3123"/>
    <cellStyle name="Normal 20 6 2 2" xfId="11348"/>
    <cellStyle name="Normal 20 6 2 2 2" xfId="27798"/>
    <cellStyle name="Normal 20 6 2 3" xfId="19573"/>
    <cellStyle name="Normal 20 6 2 4" xfId="36027"/>
    <cellStyle name="Normal 20 6 3" xfId="4768"/>
    <cellStyle name="Normal 20 6 3 2" xfId="12993"/>
    <cellStyle name="Normal 20 6 3 2 2" xfId="29443"/>
    <cellStyle name="Normal 20 6 3 3" xfId="21218"/>
    <cellStyle name="Normal 20 6 3 4" xfId="37672"/>
    <cellStyle name="Normal 20 6 4" xfId="6413"/>
    <cellStyle name="Normal 20 6 4 2" xfId="14638"/>
    <cellStyle name="Normal 20 6 4 2 2" xfId="31088"/>
    <cellStyle name="Normal 20 6 4 3" xfId="22863"/>
    <cellStyle name="Normal 20 6 4 4" xfId="39317"/>
    <cellStyle name="Normal 20 6 5" xfId="8058"/>
    <cellStyle name="Normal 20 6 5 2" xfId="16283"/>
    <cellStyle name="Normal 20 6 5 2 2" xfId="32733"/>
    <cellStyle name="Normal 20 6 5 3" xfId="24508"/>
    <cellStyle name="Normal 20 6 5 4" xfId="40962"/>
    <cellStyle name="Normal 20 6 6" xfId="9703"/>
    <cellStyle name="Normal 20 6 6 2" xfId="26153"/>
    <cellStyle name="Normal 20 6 7" xfId="17927"/>
    <cellStyle name="Normal 20 6 8" xfId="34381"/>
    <cellStyle name="Normal 20 7" xfId="1708"/>
    <cellStyle name="Normal 20 7 2" xfId="3358"/>
    <cellStyle name="Normal 20 7 2 2" xfId="11583"/>
    <cellStyle name="Normal 20 7 2 2 2" xfId="28033"/>
    <cellStyle name="Normal 20 7 2 3" xfId="19808"/>
    <cellStyle name="Normal 20 7 2 4" xfId="36262"/>
    <cellStyle name="Normal 20 7 3" xfId="5003"/>
    <cellStyle name="Normal 20 7 3 2" xfId="13228"/>
    <cellStyle name="Normal 20 7 3 2 2" xfId="29678"/>
    <cellStyle name="Normal 20 7 3 3" xfId="21453"/>
    <cellStyle name="Normal 20 7 3 4" xfId="37907"/>
    <cellStyle name="Normal 20 7 4" xfId="6648"/>
    <cellStyle name="Normal 20 7 4 2" xfId="14873"/>
    <cellStyle name="Normal 20 7 4 2 2" xfId="31323"/>
    <cellStyle name="Normal 20 7 4 3" xfId="23098"/>
    <cellStyle name="Normal 20 7 4 4" xfId="39552"/>
    <cellStyle name="Normal 20 7 5" xfId="8293"/>
    <cellStyle name="Normal 20 7 5 2" xfId="16518"/>
    <cellStyle name="Normal 20 7 5 2 2" xfId="32968"/>
    <cellStyle name="Normal 20 7 5 3" xfId="24743"/>
    <cellStyle name="Normal 20 7 5 4" xfId="41197"/>
    <cellStyle name="Normal 20 7 6" xfId="9938"/>
    <cellStyle name="Normal 20 7 6 2" xfId="26388"/>
    <cellStyle name="Normal 20 7 7" xfId="18162"/>
    <cellStyle name="Normal 20 7 8" xfId="34616"/>
    <cellStyle name="Normal 20 8" xfId="1943"/>
    <cellStyle name="Normal 20 8 2" xfId="10173"/>
    <cellStyle name="Normal 20 8 2 2" xfId="26623"/>
    <cellStyle name="Normal 20 8 3" xfId="18397"/>
    <cellStyle name="Normal 20 8 4" xfId="34851"/>
    <cellStyle name="Normal 20 9" xfId="3593"/>
    <cellStyle name="Normal 20 9 2" xfId="11818"/>
    <cellStyle name="Normal 20 9 2 2" xfId="28268"/>
    <cellStyle name="Normal 20 9 3" xfId="20043"/>
    <cellStyle name="Normal 20 9 4" xfId="36497"/>
    <cellStyle name="Normal 21" xfId="270"/>
    <cellStyle name="Normal 21 2" xfId="1971"/>
    <cellStyle name="Normal 21 2 2" xfId="10200"/>
    <cellStyle name="Normal 21 2 2 2" xfId="26650"/>
    <cellStyle name="Normal 21 2 3" xfId="18425"/>
    <cellStyle name="Normal 21 2 4" xfId="34879"/>
    <cellStyle name="Normal 21 3" xfId="3620"/>
    <cellStyle name="Normal 21 3 2" xfId="11845"/>
    <cellStyle name="Normal 21 3 2 2" xfId="28295"/>
    <cellStyle name="Normal 21 3 3" xfId="20070"/>
    <cellStyle name="Normal 21 3 4" xfId="36524"/>
    <cellStyle name="Normal 21 4" xfId="5265"/>
    <cellStyle name="Normal 21 4 2" xfId="13490"/>
    <cellStyle name="Normal 21 4 2 2" xfId="29940"/>
    <cellStyle name="Normal 21 4 3" xfId="21715"/>
    <cellStyle name="Normal 21 4 4" xfId="38169"/>
    <cellStyle name="Normal 21 5" xfId="6910"/>
    <cellStyle name="Normal 21 5 2" xfId="15135"/>
    <cellStyle name="Normal 21 5 2 2" xfId="31585"/>
    <cellStyle name="Normal 21 5 3" xfId="23360"/>
    <cellStyle name="Normal 21 5 4" xfId="39814"/>
    <cellStyle name="Normal 21 6" xfId="8555"/>
    <cellStyle name="Normal 21 6 2" xfId="25005"/>
    <cellStyle name="Normal 21 7" xfId="16779"/>
    <cellStyle name="Normal 21 8" xfId="33233"/>
    <cellStyle name="Normal 21 9" xfId="41460"/>
    <cellStyle name="Normal 22" xfId="513"/>
    <cellStyle name="Normal 22 2" xfId="2208"/>
    <cellStyle name="Normal 22 2 2" xfId="10435"/>
    <cellStyle name="Normal 22 2 2 2" xfId="26885"/>
    <cellStyle name="Normal 22 2 3" xfId="18660"/>
    <cellStyle name="Normal 22 2 4" xfId="35114"/>
    <cellStyle name="Normal 22 3" xfId="3855"/>
    <cellStyle name="Normal 22 3 2" xfId="12080"/>
    <cellStyle name="Normal 22 3 2 2" xfId="28530"/>
    <cellStyle name="Normal 22 3 3" xfId="20305"/>
    <cellStyle name="Normal 22 3 4" xfId="36759"/>
    <cellStyle name="Normal 22 4" xfId="5500"/>
    <cellStyle name="Normal 22 4 2" xfId="13725"/>
    <cellStyle name="Normal 22 4 2 2" xfId="30175"/>
    <cellStyle name="Normal 22 4 3" xfId="21950"/>
    <cellStyle name="Normal 22 4 4" xfId="38404"/>
    <cellStyle name="Normal 22 5" xfId="7145"/>
    <cellStyle name="Normal 22 5 2" xfId="15370"/>
    <cellStyle name="Normal 22 5 2 2" xfId="31820"/>
    <cellStyle name="Normal 22 5 3" xfId="23595"/>
    <cellStyle name="Normal 22 5 4" xfId="40049"/>
    <cellStyle name="Normal 22 6" xfId="8790"/>
    <cellStyle name="Normal 22 6 2" xfId="25240"/>
    <cellStyle name="Normal 22 7" xfId="17014"/>
    <cellStyle name="Normal 22 8" xfId="33468"/>
    <cellStyle name="Normal 22 9" xfId="41695"/>
    <cellStyle name="Normal 23" xfId="750"/>
    <cellStyle name="Normal 23 2" xfId="2445"/>
    <cellStyle name="Normal 23 2 2" xfId="10670"/>
    <cellStyle name="Normal 23 2 2 2" xfId="27120"/>
    <cellStyle name="Normal 23 2 3" xfId="18895"/>
    <cellStyle name="Normal 23 2 4" xfId="35349"/>
    <cellStyle name="Normal 23 3" xfId="4090"/>
    <cellStyle name="Normal 23 3 2" xfId="12315"/>
    <cellStyle name="Normal 23 3 2 2" xfId="28765"/>
    <cellStyle name="Normal 23 3 3" xfId="20540"/>
    <cellStyle name="Normal 23 3 4" xfId="36994"/>
    <cellStyle name="Normal 23 4" xfId="5735"/>
    <cellStyle name="Normal 23 4 2" xfId="13960"/>
    <cellStyle name="Normal 23 4 2 2" xfId="30410"/>
    <cellStyle name="Normal 23 4 3" xfId="22185"/>
    <cellStyle name="Normal 23 4 4" xfId="38639"/>
    <cellStyle name="Normal 23 5" xfId="7380"/>
    <cellStyle name="Normal 23 5 2" xfId="15605"/>
    <cellStyle name="Normal 23 5 2 2" xfId="32055"/>
    <cellStyle name="Normal 23 5 3" xfId="23830"/>
    <cellStyle name="Normal 23 5 4" xfId="40284"/>
    <cellStyle name="Normal 23 6" xfId="9025"/>
    <cellStyle name="Normal 23 6 2" xfId="25475"/>
    <cellStyle name="Normal 23 7" xfId="17249"/>
    <cellStyle name="Normal 23 8" xfId="33703"/>
    <cellStyle name="Normal 23 9" xfId="41930"/>
    <cellStyle name="Normal 24" xfId="985"/>
    <cellStyle name="Normal 24 2" xfId="2680"/>
    <cellStyle name="Normal 24 2 2" xfId="10905"/>
    <cellStyle name="Normal 24 2 2 2" xfId="27355"/>
    <cellStyle name="Normal 24 2 3" xfId="19130"/>
    <cellStyle name="Normal 24 2 4" xfId="35584"/>
    <cellStyle name="Normal 24 3" xfId="4325"/>
    <cellStyle name="Normal 24 3 2" xfId="12550"/>
    <cellStyle name="Normal 24 3 2 2" xfId="29000"/>
    <cellStyle name="Normal 24 3 3" xfId="20775"/>
    <cellStyle name="Normal 24 3 4" xfId="37229"/>
    <cellStyle name="Normal 24 4" xfId="5970"/>
    <cellStyle name="Normal 24 4 2" xfId="14195"/>
    <cellStyle name="Normal 24 4 2 2" xfId="30645"/>
    <cellStyle name="Normal 24 4 3" xfId="22420"/>
    <cellStyle name="Normal 24 4 4" xfId="38874"/>
    <cellStyle name="Normal 24 5" xfId="7615"/>
    <cellStyle name="Normal 24 5 2" xfId="15840"/>
    <cellStyle name="Normal 24 5 2 2" xfId="32290"/>
    <cellStyle name="Normal 24 5 3" xfId="24065"/>
    <cellStyle name="Normal 24 5 4" xfId="40519"/>
    <cellStyle name="Normal 24 6" xfId="9260"/>
    <cellStyle name="Normal 24 6 2" xfId="25710"/>
    <cellStyle name="Normal 24 7" xfId="17484"/>
    <cellStyle name="Normal 24 8" xfId="33938"/>
    <cellStyle name="Normal 24 9" xfId="42165"/>
    <cellStyle name="Normal 25" xfId="1"/>
    <cellStyle name="Normal 25 10" xfId="1265"/>
    <cellStyle name="Normal 25 2" xfId="2915"/>
    <cellStyle name="Normal 25 2 2" xfId="11140"/>
    <cellStyle name="Normal 25 2 2 2" xfId="27590"/>
    <cellStyle name="Normal 25 2 3" xfId="19365"/>
    <cellStyle name="Normal 25 2 4" xfId="35819"/>
    <cellStyle name="Normal 25 3" xfId="4560"/>
    <cellStyle name="Normal 25 3 2" xfId="12785"/>
    <cellStyle name="Normal 25 3 2 2" xfId="29235"/>
    <cellStyle name="Normal 25 3 3" xfId="21010"/>
    <cellStyle name="Normal 25 3 4" xfId="37464"/>
    <cellStyle name="Normal 25 4" xfId="6205"/>
    <cellStyle name="Normal 25 4 2" xfId="14430"/>
    <cellStyle name="Normal 25 4 2 2" xfId="30880"/>
    <cellStyle name="Normal 25 4 3" xfId="22655"/>
    <cellStyle name="Normal 25 4 4" xfId="39109"/>
    <cellStyle name="Normal 25 5" xfId="7850"/>
    <cellStyle name="Normal 25 5 2" xfId="16075"/>
    <cellStyle name="Normal 25 5 2 2" xfId="32525"/>
    <cellStyle name="Normal 25 5 3" xfId="24300"/>
    <cellStyle name="Normal 25 5 4" xfId="40754"/>
    <cellStyle name="Normal 25 6" xfId="9495"/>
    <cellStyle name="Normal 25 6 2" xfId="25945"/>
    <cellStyle name="Normal 25 7" xfId="17719"/>
    <cellStyle name="Normal 25 8" xfId="34173"/>
    <cellStyle name="Normal 25 9" xfId="41225"/>
    <cellStyle name="Normal 26" xfId="1500"/>
    <cellStyle name="Normal 26 2" xfId="3150"/>
    <cellStyle name="Normal 26 2 2" xfId="11375"/>
    <cellStyle name="Normal 26 2 2 2" xfId="27825"/>
    <cellStyle name="Normal 26 2 3" xfId="19600"/>
    <cellStyle name="Normal 26 2 4" xfId="36054"/>
    <cellStyle name="Normal 26 3" xfId="4795"/>
    <cellStyle name="Normal 26 3 2" xfId="13020"/>
    <cellStyle name="Normal 26 3 2 2" xfId="29470"/>
    <cellStyle name="Normal 26 3 3" xfId="21245"/>
    <cellStyle name="Normal 26 3 4" xfId="37699"/>
    <cellStyle name="Normal 26 4" xfId="6440"/>
    <cellStyle name="Normal 26 4 2" xfId="14665"/>
    <cellStyle name="Normal 26 4 2 2" xfId="31115"/>
    <cellStyle name="Normal 26 4 3" xfId="22890"/>
    <cellStyle name="Normal 26 4 4" xfId="39344"/>
    <cellStyle name="Normal 26 5" xfId="8085"/>
    <cellStyle name="Normal 26 5 2" xfId="16310"/>
    <cellStyle name="Normal 26 5 2 2" xfId="32760"/>
    <cellStyle name="Normal 26 5 3" xfId="24535"/>
    <cellStyle name="Normal 26 5 4" xfId="40989"/>
    <cellStyle name="Normal 26 6" xfId="9730"/>
    <cellStyle name="Normal 26 6 2" xfId="26180"/>
    <cellStyle name="Normal 26 7" xfId="17954"/>
    <cellStyle name="Normal 26 8" xfId="34408"/>
    <cellStyle name="Normal 27" xfId="1735"/>
    <cellStyle name="Normal 27 2" xfId="1970"/>
    <cellStyle name="Normal 27 2 2" xfId="18424"/>
    <cellStyle name="Normal 27 2 3" xfId="32995"/>
    <cellStyle name="Normal 27 2 4" xfId="34878"/>
    <cellStyle name="Normal 27 3" xfId="9965"/>
    <cellStyle name="Normal 27 3 2" xfId="26415"/>
    <cellStyle name="Normal 27 3 3" xfId="34643"/>
    <cellStyle name="Normal 27 4" xfId="18189"/>
    <cellStyle name="Normal 27 5" xfId="32996"/>
    <cellStyle name="Normal 27 6" xfId="33232"/>
    <cellStyle name="Normal 28" xfId="3385"/>
    <cellStyle name="Normal 28 2" xfId="11610"/>
    <cellStyle name="Normal 28 2 2" xfId="28060"/>
    <cellStyle name="Normal 28 3" xfId="19835"/>
    <cellStyle name="Normal 28 4" xfId="36289"/>
    <cellStyle name="Normal 29" xfId="5030"/>
    <cellStyle name="Normal 29 2" xfId="13255"/>
    <cellStyle name="Normal 29 2 2" xfId="29705"/>
    <cellStyle name="Normal 29 3" xfId="21480"/>
    <cellStyle name="Normal 29 4" xfId="37934"/>
    <cellStyle name="Normal 3" xfId="10"/>
    <cellStyle name="Normal 3 2" xfId="1229"/>
    <cellStyle name="Normal 30" xfId="6675"/>
    <cellStyle name="Normal 30 2" xfId="14900"/>
    <cellStyle name="Normal 30 2 2" xfId="31350"/>
    <cellStyle name="Normal 30 3" xfId="23125"/>
    <cellStyle name="Normal 30 4" xfId="39579"/>
    <cellStyle name="Normal 31" xfId="8320"/>
    <cellStyle name="Normal 31 2" xfId="24770"/>
    <cellStyle name="Normal 32" xfId="32997"/>
    <cellStyle name="Normal 33" xfId="41224"/>
    <cellStyle name="Normal 34" xfId="1220"/>
    <cellStyle name="Normal 35" xfId="42400"/>
    <cellStyle name="Normal 36" xfId="42401"/>
    <cellStyle name="Normal 4" xfId="28"/>
    <cellStyle name="Normal 4 10" xfId="53"/>
    <cellStyle name="Normal 4 10 10" xfId="539"/>
    <cellStyle name="Normal 4 10 10 2" xfId="2234"/>
    <cellStyle name="Normal 4 10 10 2 2" xfId="10459"/>
    <cellStyle name="Normal 4 10 10 2 2 2" xfId="26909"/>
    <cellStyle name="Normal 4 10 10 2 3" xfId="18684"/>
    <cellStyle name="Normal 4 10 10 2 4" xfId="35138"/>
    <cellStyle name="Normal 4 10 10 3" xfId="3879"/>
    <cellStyle name="Normal 4 10 10 3 2" xfId="12104"/>
    <cellStyle name="Normal 4 10 10 3 2 2" xfId="28554"/>
    <cellStyle name="Normal 4 10 10 3 3" xfId="20329"/>
    <cellStyle name="Normal 4 10 10 3 4" xfId="36783"/>
    <cellStyle name="Normal 4 10 10 4" xfId="5524"/>
    <cellStyle name="Normal 4 10 10 4 2" xfId="13749"/>
    <cellStyle name="Normal 4 10 10 4 2 2" xfId="30199"/>
    <cellStyle name="Normal 4 10 10 4 3" xfId="21974"/>
    <cellStyle name="Normal 4 10 10 4 4" xfId="38428"/>
    <cellStyle name="Normal 4 10 10 5" xfId="7169"/>
    <cellStyle name="Normal 4 10 10 5 2" xfId="15394"/>
    <cellStyle name="Normal 4 10 10 5 2 2" xfId="31844"/>
    <cellStyle name="Normal 4 10 10 5 3" xfId="23619"/>
    <cellStyle name="Normal 4 10 10 5 4" xfId="40073"/>
    <cellStyle name="Normal 4 10 10 6" xfId="8814"/>
    <cellStyle name="Normal 4 10 10 6 2" xfId="25264"/>
    <cellStyle name="Normal 4 10 10 7" xfId="17038"/>
    <cellStyle name="Normal 4 10 10 8" xfId="33492"/>
    <cellStyle name="Normal 4 10 10 9" xfId="41719"/>
    <cellStyle name="Normal 4 10 11" xfId="774"/>
    <cellStyle name="Normal 4 10 11 2" xfId="2469"/>
    <cellStyle name="Normal 4 10 11 2 2" xfId="10694"/>
    <cellStyle name="Normal 4 10 11 2 2 2" xfId="27144"/>
    <cellStyle name="Normal 4 10 11 2 3" xfId="18919"/>
    <cellStyle name="Normal 4 10 11 2 4" xfId="35373"/>
    <cellStyle name="Normal 4 10 11 3" xfId="4114"/>
    <cellStyle name="Normal 4 10 11 3 2" xfId="12339"/>
    <cellStyle name="Normal 4 10 11 3 2 2" xfId="28789"/>
    <cellStyle name="Normal 4 10 11 3 3" xfId="20564"/>
    <cellStyle name="Normal 4 10 11 3 4" xfId="37018"/>
    <cellStyle name="Normal 4 10 11 4" xfId="5759"/>
    <cellStyle name="Normal 4 10 11 4 2" xfId="13984"/>
    <cellStyle name="Normal 4 10 11 4 2 2" xfId="30434"/>
    <cellStyle name="Normal 4 10 11 4 3" xfId="22209"/>
    <cellStyle name="Normal 4 10 11 4 4" xfId="38663"/>
    <cellStyle name="Normal 4 10 11 5" xfId="7404"/>
    <cellStyle name="Normal 4 10 11 5 2" xfId="15629"/>
    <cellStyle name="Normal 4 10 11 5 2 2" xfId="32079"/>
    <cellStyle name="Normal 4 10 11 5 3" xfId="23854"/>
    <cellStyle name="Normal 4 10 11 5 4" xfId="40308"/>
    <cellStyle name="Normal 4 10 11 6" xfId="9049"/>
    <cellStyle name="Normal 4 10 11 6 2" xfId="25499"/>
    <cellStyle name="Normal 4 10 11 7" xfId="17273"/>
    <cellStyle name="Normal 4 10 11 8" xfId="33727"/>
    <cellStyle name="Normal 4 10 11 9" xfId="41954"/>
    <cellStyle name="Normal 4 10 12" xfId="1009"/>
    <cellStyle name="Normal 4 10 12 2" xfId="2704"/>
    <cellStyle name="Normal 4 10 12 2 2" xfId="10929"/>
    <cellStyle name="Normal 4 10 12 2 2 2" xfId="27379"/>
    <cellStyle name="Normal 4 10 12 2 3" xfId="19154"/>
    <cellStyle name="Normal 4 10 12 2 4" xfId="35608"/>
    <cellStyle name="Normal 4 10 12 3" xfId="4349"/>
    <cellStyle name="Normal 4 10 12 3 2" xfId="12574"/>
    <cellStyle name="Normal 4 10 12 3 2 2" xfId="29024"/>
    <cellStyle name="Normal 4 10 12 3 3" xfId="20799"/>
    <cellStyle name="Normal 4 10 12 3 4" xfId="37253"/>
    <cellStyle name="Normal 4 10 12 4" xfId="5994"/>
    <cellStyle name="Normal 4 10 12 4 2" xfId="14219"/>
    <cellStyle name="Normal 4 10 12 4 2 2" xfId="30669"/>
    <cellStyle name="Normal 4 10 12 4 3" xfId="22444"/>
    <cellStyle name="Normal 4 10 12 4 4" xfId="38898"/>
    <cellStyle name="Normal 4 10 12 5" xfId="7639"/>
    <cellStyle name="Normal 4 10 12 5 2" xfId="15864"/>
    <cellStyle name="Normal 4 10 12 5 2 2" xfId="32314"/>
    <cellStyle name="Normal 4 10 12 5 3" xfId="24089"/>
    <cellStyle name="Normal 4 10 12 5 4" xfId="40543"/>
    <cellStyle name="Normal 4 10 12 6" xfId="9284"/>
    <cellStyle name="Normal 4 10 12 6 2" xfId="25734"/>
    <cellStyle name="Normal 4 10 12 7" xfId="17508"/>
    <cellStyle name="Normal 4 10 12 8" xfId="33962"/>
    <cellStyle name="Normal 4 10 12 9" xfId="42189"/>
    <cellStyle name="Normal 4 10 13" xfId="1289"/>
    <cellStyle name="Normal 4 10 13 2" xfId="2939"/>
    <cellStyle name="Normal 4 10 13 2 2" xfId="11164"/>
    <cellStyle name="Normal 4 10 13 2 2 2" xfId="27614"/>
    <cellStyle name="Normal 4 10 13 2 3" xfId="19389"/>
    <cellStyle name="Normal 4 10 13 2 4" xfId="35843"/>
    <cellStyle name="Normal 4 10 13 3" xfId="4584"/>
    <cellStyle name="Normal 4 10 13 3 2" xfId="12809"/>
    <cellStyle name="Normal 4 10 13 3 2 2" xfId="29259"/>
    <cellStyle name="Normal 4 10 13 3 3" xfId="21034"/>
    <cellStyle name="Normal 4 10 13 3 4" xfId="37488"/>
    <cellStyle name="Normal 4 10 13 4" xfId="6229"/>
    <cellStyle name="Normal 4 10 13 4 2" xfId="14454"/>
    <cellStyle name="Normal 4 10 13 4 2 2" xfId="30904"/>
    <cellStyle name="Normal 4 10 13 4 3" xfId="22679"/>
    <cellStyle name="Normal 4 10 13 4 4" xfId="39133"/>
    <cellStyle name="Normal 4 10 13 5" xfId="7874"/>
    <cellStyle name="Normal 4 10 13 5 2" xfId="16099"/>
    <cellStyle name="Normal 4 10 13 5 2 2" xfId="32549"/>
    <cellStyle name="Normal 4 10 13 5 3" xfId="24324"/>
    <cellStyle name="Normal 4 10 13 5 4" xfId="40778"/>
    <cellStyle name="Normal 4 10 13 6" xfId="9519"/>
    <cellStyle name="Normal 4 10 13 6 2" xfId="25969"/>
    <cellStyle name="Normal 4 10 13 7" xfId="17743"/>
    <cellStyle name="Normal 4 10 13 8" xfId="34197"/>
    <cellStyle name="Normal 4 10 14" xfId="1524"/>
    <cellStyle name="Normal 4 10 14 2" xfId="3174"/>
    <cellStyle name="Normal 4 10 14 2 2" xfId="11399"/>
    <cellStyle name="Normal 4 10 14 2 2 2" xfId="27849"/>
    <cellStyle name="Normal 4 10 14 2 3" xfId="19624"/>
    <cellStyle name="Normal 4 10 14 2 4" xfId="36078"/>
    <cellStyle name="Normal 4 10 14 3" xfId="4819"/>
    <cellStyle name="Normal 4 10 14 3 2" xfId="13044"/>
    <cellStyle name="Normal 4 10 14 3 2 2" xfId="29494"/>
    <cellStyle name="Normal 4 10 14 3 3" xfId="21269"/>
    <cellStyle name="Normal 4 10 14 3 4" xfId="37723"/>
    <cellStyle name="Normal 4 10 14 4" xfId="6464"/>
    <cellStyle name="Normal 4 10 14 4 2" xfId="14689"/>
    <cellStyle name="Normal 4 10 14 4 2 2" xfId="31139"/>
    <cellStyle name="Normal 4 10 14 4 3" xfId="22914"/>
    <cellStyle name="Normal 4 10 14 4 4" xfId="39368"/>
    <cellStyle name="Normal 4 10 14 5" xfId="8109"/>
    <cellStyle name="Normal 4 10 14 5 2" xfId="16334"/>
    <cellStyle name="Normal 4 10 14 5 2 2" xfId="32784"/>
    <cellStyle name="Normal 4 10 14 5 3" xfId="24559"/>
    <cellStyle name="Normal 4 10 14 5 4" xfId="41013"/>
    <cellStyle name="Normal 4 10 14 6" xfId="9754"/>
    <cellStyle name="Normal 4 10 14 6 2" xfId="26204"/>
    <cellStyle name="Normal 4 10 14 7" xfId="17978"/>
    <cellStyle name="Normal 4 10 14 8" xfId="34432"/>
    <cellStyle name="Normal 4 10 15" xfId="1759"/>
    <cellStyle name="Normal 4 10 15 2" xfId="9989"/>
    <cellStyle name="Normal 4 10 15 2 2" xfId="26439"/>
    <cellStyle name="Normal 4 10 15 3" xfId="18213"/>
    <cellStyle name="Normal 4 10 15 4" xfId="34667"/>
    <cellStyle name="Normal 4 10 16" xfId="3409"/>
    <cellStyle name="Normal 4 10 16 2" xfId="11634"/>
    <cellStyle name="Normal 4 10 16 2 2" xfId="28084"/>
    <cellStyle name="Normal 4 10 16 3" xfId="19859"/>
    <cellStyle name="Normal 4 10 16 4" xfId="36313"/>
    <cellStyle name="Normal 4 10 17" xfId="5054"/>
    <cellStyle name="Normal 4 10 17 2" xfId="13279"/>
    <cellStyle name="Normal 4 10 17 2 2" xfId="29729"/>
    <cellStyle name="Normal 4 10 17 3" xfId="21504"/>
    <cellStyle name="Normal 4 10 17 4" xfId="37958"/>
    <cellStyle name="Normal 4 10 18" xfId="6699"/>
    <cellStyle name="Normal 4 10 18 2" xfId="14924"/>
    <cellStyle name="Normal 4 10 18 2 2" xfId="31374"/>
    <cellStyle name="Normal 4 10 18 3" xfId="23149"/>
    <cellStyle name="Normal 4 10 18 4" xfId="39603"/>
    <cellStyle name="Normal 4 10 19" xfId="8344"/>
    <cellStyle name="Normal 4 10 19 2" xfId="24794"/>
    <cellStyle name="Normal 4 10 2" xfId="80"/>
    <cellStyle name="Normal 4 10 2 10" xfId="3434"/>
    <cellStyle name="Normal 4 10 2 10 2" xfId="11659"/>
    <cellStyle name="Normal 4 10 2 10 2 2" xfId="28109"/>
    <cellStyle name="Normal 4 10 2 10 3" xfId="19884"/>
    <cellStyle name="Normal 4 10 2 10 4" xfId="36338"/>
    <cellStyle name="Normal 4 10 2 11" xfId="5079"/>
    <cellStyle name="Normal 4 10 2 11 2" xfId="13304"/>
    <cellStyle name="Normal 4 10 2 11 2 2" xfId="29754"/>
    <cellStyle name="Normal 4 10 2 11 3" xfId="21529"/>
    <cellStyle name="Normal 4 10 2 11 4" xfId="37983"/>
    <cellStyle name="Normal 4 10 2 12" xfId="6724"/>
    <cellStyle name="Normal 4 10 2 12 2" xfId="14949"/>
    <cellStyle name="Normal 4 10 2 12 2 2" xfId="31399"/>
    <cellStyle name="Normal 4 10 2 12 3" xfId="23174"/>
    <cellStyle name="Normal 4 10 2 12 4" xfId="39628"/>
    <cellStyle name="Normal 4 10 2 13" xfId="8369"/>
    <cellStyle name="Normal 4 10 2 13 2" xfId="24819"/>
    <cellStyle name="Normal 4 10 2 14" xfId="16593"/>
    <cellStyle name="Normal 4 10 2 15" xfId="33046"/>
    <cellStyle name="Normal 4 10 2 16" xfId="41274"/>
    <cellStyle name="Normal 4 10 2 2" xfId="130"/>
    <cellStyle name="Normal 4 10 2 2 10" xfId="5129"/>
    <cellStyle name="Normal 4 10 2 2 10 2" xfId="13354"/>
    <cellStyle name="Normal 4 10 2 2 10 2 2" xfId="29804"/>
    <cellStyle name="Normal 4 10 2 2 10 3" xfId="21579"/>
    <cellStyle name="Normal 4 10 2 2 10 4" xfId="38033"/>
    <cellStyle name="Normal 4 10 2 2 11" xfId="6774"/>
    <cellStyle name="Normal 4 10 2 2 11 2" xfId="14999"/>
    <cellStyle name="Normal 4 10 2 2 11 2 2" xfId="31449"/>
    <cellStyle name="Normal 4 10 2 2 11 3" xfId="23224"/>
    <cellStyle name="Normal 4 10 2 2 11 4" xfId="39678"/>
    <cellStyle name="Normal 4 10 2 2 12" xfId="8419"/>
    <cellStyle name="Normal 4 10 2 2 12 2" xfId="24869"/>
    <cellStyle name="Normal 4 10 2 2 13" xfId="16643"/>
    <cellStyle name="Normal 4 10 2 2 14" xfId="33096"/>
    <cellStyle name="Normal 4 10 2 2 15" xfId="41324"/>
    <cellStyle name="Normal 4 10 2 2 2" xfId="373"/>
    <cellStyle name="Normal 4 10 2 2 2 2" xfId="2072"/>
    <cellStyle name="Normal 4 10 2 2 2 2 2" xfId="10299"/>
    <cellStyle name="Normal 4 10 2 2 2 2 2 2" xfId="26749"/>
    <cellStyle name="Normal 4 10 2 2 2 2 3" xfId="18524"/>
    <cellStyle name="Normal 4 10 2 2 2 2 4" xfId="34978"/>
    <cellStyle name="Normal 4 10 2 2 2 3" xfId="3719"/>
    <cellStyle name="Normal 4 10 2 2 2 3 2" xfId="11944"/>
    <cellStyle name="Normal 4 10 2 2 2 3 2 2" xfId="28394"/>
    <cellStyle name="Normal 4 10 2 2 2 3 3" xfId="20169"/>
    <cellStyle name="Normal 4 10 2 2 2 3 4" xfId="36623"/>
    <cellStyle name="Normal 4 10 2 2 2 4" xfId="5364"/>
    <cellStyle name="Normal 4 10 2 2 2 4 2" xfId="13589"/>
    <cellStyle name="Normal 4 10 2 2 2 4 2 2" xfId="30039"/>
    <cellStyle name="Normal 4 10 2 2 2 4 3" xfId="21814"/>
    <cellStyle name="Normal 4 10 2 2 2 4 4" xfId="38268"/>
    <cellStyle name="Normal 4 10 2 2 2 5" xfId="7009"/>
    <cellStyle name="Normal 4 10 2 2 2 5 2" xfId="15234"/>
    <cellStyle name="Normal 4 10 2 2 2 5 2 2" xfId="31684"/>
    <cellStyle name="Normal 4 10 2 2 2 5 3" xfId="23459"/>
    <cellStyle name="Normal 4 10 2 2 2 5 4" xfId="39913"/>
    <cellStyle name="Normal 4 10 2 2 2 6" xfId="8654"/>
    <cellStyle name="Normal 4 10 2 2 2 6 2" xfId="25104"/>
    <cellStyle name="Normal 4 10 2 2 2 7" xfId="16878"/>
    <cellStyle name="Normal 4 10 2 2 2 8" xfId="33332"/>
    <cellStyle name="Normal 4 10 2 2 2 9" xfId="41559"/>
    <cellStyle name="Normal 4 10 2 2 3" xfId="614"/>
    <cellStyle name="Normal 4 10 2 2 3 2" xfId="2309"/>
    <cellStyle name="Normal 4 10 2 2 3 2 2" xfId="10534"/>
    <cellStyle name="Normal 4 10 2 2 3 2 2 2" xfId="26984"/>
    <cellStyle name="Normal 4 10 2 2 3 2 3" xfId="18759"/>
    <cellStyle name="Normal 4 10 2 2 3 2 4" xfId="35213"/>
    <cellStyle name="Normal 4 10 2 2 3 3" xfId="3954"/>
    <cellStyle name="Normal 4 10 2 2 3 3 2" xfId="12179"/>
    <cellStyle name="Normal 4 10 2 2 3 3 2 2" xfId="28629"/>
    <cellStyle name="Normal 4 10 2 2 3 3 3" xfId="20404"/>
    <cellStyle name="Normal 4 10 2 2 3 3 4" xfId="36858"/>
    <cellStyle name="Normal 4 10 2 2 3 4" xfId="5599"/>
    <cellStyle name="Normal 4 10 2 2 3 4 2" xfId="13824"/>
    <cellStyle name="Normal 4 10 2 2 3 4 2 2" xfId="30274"/>
    <cellStyle name="Normal 4 10 2 2 3 4 3" xfId="22049"/>
    <cellStyle name="Normal 4 10 2 2 3 4 4" xfId="38503"/>
    <cellStyle name="Normal 4 10 2 2 3 5" xfId="7244"/>
    <cellStyle name="Normal 4 10 2 2 3 5 2" xfId="15469"/>
    <cellStyle name="Normal 4 10 2 2 3 5 2 2" xfId="31919"/>
    <cellStyle name="Normal 4 10 2 2 3 5 3" xfId="23694"/>
    <cellStyle name="Normal 4 10 2 2 3 5 4" xfId="40148"/>
    <cellStyle name="Normal 4 10 2 2 3 6" xfId="8889"/>
    <cellStyle name="Normal 4 10 2 2 3 6 2" xfId="25339"/>
    <cellStyle name="Normal 4 10 2 2 3 7" xfId="17113"/>
    <cellStyle name="Normal 4 10 2 2 3 8" xfId="33567"/>
    <cellStyle name="Normal 4 10 2 2 3 9" xfId="41794"/>
    <cellStyle name="Normal 4 10 2 2 4" xfId="849"/>
    <cellStyle name="Normal 4 10 2 2 4 2" xfId="2544"/>
    <cellStyle name="Normal 4 10 2 2 4 2 2" xfId="10769"/>
    <cellStyle name="Normal 4 10 2 2 4 2 2 2" xfId="27219"/>
    <cellStyle name="Normal 4 10 2 2 4 2 3" xfId="18994"/>
    <cellStyle name="Normal 4 10 2 2 4 2 4" xfId="35448"/>
    <cellStyle name="Normal 4 10 2 2 4 3" xfId="4189"/>
    <cellStyle name="Normal 4 10 2 2 4 3 2" xfId="12414"/>
    <cellStyle name="Normal 4 10 2 2 4 3 2 2" xfId="28864"/>
    <cellStyle name="Normal 4 10 2 2 4 3 3" xfId="20639"/>
    <cellStyle name="Normal 4 10 2 2 4 3 4" xfId="37093"/>
    <cellStyle name="Normal 4 10 2 2 4 4" xfId="5834"/>
    <cellStyle name="Normal 4 10 2 2 4 4 2" xfId="14059"/>
    <cellStyle name="Normal 4 10 2 2 4 4 2 2" xfId="30509"/>
    <cellStyle name="Normal 4 10 2 2 4 4 3" xfId="22284"/>
    <cellStyle name="Normal 4 10 2 2 4 4 4" xfId="38738"/>
    <cellStyle name="Normal 4 10 2 2 4 5" xfId="7479"/>
    <cellStyle name="Normal 4 10 2 2 4 5 2" xfId="15704"/>
    <cellStyle name="Normal 4 10 2 2 4 5 2 2" xfId="32154"/>
    <cellStyle name="Normal 4 10 2 2 4 5 3" xfId="23929"/>
    <cellStyle name="Normal 4 10 2 2 4 5 4" xfId="40383"/>
    <cellStyle name="Normal 4 10 2 2 4 6" xfId="9124"/>
    <cellStyle name="Normal 4 10 2 2 4 6 2" xfId="25574"/>
    <cellStyle name="Normal 4 10 2 2 4 7" xfId="17348"/>
    <cellStyle name="Normal 4 10 2 2 4 8" xfId="33802"/>
    <cellStyle name="Normal 4 10 2 2 4 9" xfId="42029"/>
    <cellStyle name="Normal 4 10 2 2 5" xfId="1084"/>
    <cellStyle name="Normal 4 10 2 2 5 2" xfId="2779"/>
    <cellStyle name="Normal 4 10 2 2 5 2 2" xfId="11004"/>
    <cellStyle name="Normal 4 10 2 2 5 2 2 2" xfId="27454"/>
    <cellStyle name="Normal 4 10 2 2 5 2 3" xfId="19229"/>
    <cellStyle name="Normal 4 10 2 2 5 2 4" xfId="35683"/>
    <cellStyle name="Normal 4 10 2 2 5 3" xfId="4424"/>
    <cellStyle name="Normal 4 10 2 2 5 3 2" xfId="12649"/>
    <cellStyle name="Normal 4 10 2 2 5 3 2 2" xfId="29099"/>
    <cellStyle name="Normal 4 10 2 2 5 3 3" xfId="20874"/>
    <cellStyle name="Normal 4 10 2 2 5 3 4" xfId="37328"/>
    <cellStyle name="Normal 4 10 2 2 5 4" xfId="6069"/>
    <cellStyle name="Normal 4 10 2 2 5 4 2" xfId="14294"/>
    <cellStyle name="Normal 4 10 2 2 5 4 2 2" xfId="30744"/>
    <cellStyle name="Normal 4 10 2 2 5 4 3" xfId="22519"/>
    <cellStyle name="Normal 4 10 2 2 5 4 4" xfId="38973"/>
    <cellStyle name="Normal 4 10 2 2 5 5" xfId="7714"/>
    <cellStyle name="Normal 4 10 2 2 5 5 2" xfId="15939"/>
    <cellStyle name="Normal 4 10 2 2 5 5 2 2" xfId="32389"/>
    <cellStyle name="Normal 4 10 2 2 5 5 3" xfId="24164"/>
    <cellStyle name="Normal 4 10 2 2 5 5 4" xfId="40618"/>
    <cellStyle name="Normal 4 10 2 2 5 6" xfId="9359"/>
    <cellStyle name="Normal 4 10 2 2 5 6 2" xfId="25809"/>
    <cellStyle name="Normal 4 10 2 2 5 7" xfId="17583"/>
    <cellStyle name="Normal 4 10 2 2 5 8" xfId="34037"/>
    <cellStyle name="Normal 4 10 2 2 5 9" xfId="42264"/>
    <cellStyle name="Normal 4 10 2 2 6" xfId="1364"/>
    <cellStyle name="Normal 4 10 2 2 6 2" xfId="3014"/>
    <cellStyle name="Normal 4 10 2 2 6 2 2" xfId="11239"/>
    <cellStyle name="Normal 4 10 2 2 6 2 2 2" xfId="27689"/>
    <cellStyle name="Normal 4 10 2 2 6 2 3" xfId="19464"/>
    <cellStyle name="Normal 4 10 2 2 6 2 4" xfId="35918"/>
    <cellStyle name="Normal 4 10 2 2 6 3" xfId="4659"/>
    <cellStyle name="Normal 4 10 2 2 6 3 2" xfId="12884"/>
    <cellStyle name="Normal 4 10 2 2 6 3 2 2" xfId="29334"/>
    <cellStyle name="Normal 4 10 2 2 6 3 3" xfId="21109"/>
    <cellStyle name="Normal 4 10 2 2 6 3 4" xfId="37563"/>
    <cellStyle name="Normal 4 10 2 2 6 4" xfId="6304"/>
    <cellStyle name="Normal 4 10 2 2 6 4 2" xfId="14529"/>
    <cellStyle name="Normal 4 10 2 2 6 4 2 2" xfId="30979"/>
    <cellStyle name="Normal 4 10 2 2 6 4 3" xfId="22754"/>
    <cellStyle name="Normal 4 10 2 2 6 4 4" xfId="39208"/>
    <cellStyle name="Normal 4 10 2 2 6 5" xfId="7949"/>
    <cellStyle name="Normal 4 10 2 2 6 5 2" xfId="16174"/>
    <cellStyle name="Normal 4 10 2 2 6 5 2 2" xfId="32624"/>
    <cellStyle name="Normal 4 10 2 2 6 5 3" xfId="24399"/>
    <cellStyle name="Normal 4 10 2 2 6 5 4" xfId="40853"/>
    <cellStyle name="Normal 4 10 2 2 6 6" xfId="9594"/>
    <cellStyle name="Normal 4 10 2 2 6 6 2" xfId="26044"/>
    <cellStyle name="Normal 4 10 2 2 6 7" xfId="17818"/>
    <cellStyle name="Normal 4 10 2 2 6 8" xfId="34272"/>
    <cellStyle name="Normal 4 10 2 2 7" xfId="1599"/>
    <cellStyle name="Normal 4 10 2 2 7 2" xfId="3249"/>
    <cellStyle name="Normal 4 10 2 2 7 2 2" xfId="11474"/>
    <cellStyle name="Normal 4 10 2 2 7 2 2 2" xfId="27924"/>
    <cellStyle name="Normal 4 10 2 2 7 2 3" xfId="19699"/>
    <cellStyle name="Normal 4 10 2 2 7 2 4" xfId="36153"/>
    <cellStyle name="Normal 4 10 2 2 7 3" xfId="4894"/>
    <cellStyle name="Normal 4 10 2 2 7 3 2" xfId="13119"/>
    <cellStyle name="Normal 4 10 2 2 7 3 2 2" xfId="29569"/>
    <cellStyle name="Normal 4 10 2 2 7 3 3" xfId="21344"/>
    <cellStyle name="Normal 4 10 2 2 7 3 4" xfId="37798"/>
    <cellStyle name="Normal 4 10 2 2 7 4" xfId="6539"/>
    <cellStyle name="Normal 4 10 2 2 7 4 2" xfId="14764"/>
    <cellStyle name="Normal 4 10 2 2 7 4 2 2" xfId="31214"/>
    <cellStyle name="Normal 4 10 2 2 7 4 3" xfId="22989"/>
    <cellStyle name="Normal 4 10 2 2 7 4 4" xfId="39443"/>
    <cellStyle name="Normal 4 10 2 2 7 5" xfId="8184"/>
    <cellStyle name="Normal 4 10 2 2 7 5 2" xfId="16409"/>
    <cellStyle name="Normal 4 10 2 2 7 5 2 2" xfId="32859"/>
    <cellStyle name="Normal 4 10 2 2 7 5 3" xfId="24634"/>
    <cellStyle name="Normal 4 10 2 2 7 5 4" xfId="41088"/>
    <cellStyle name="Normal 4 10 2 2 7 6" xfId="9829"/>
    <cellStyle name="Normal 4 10 2 2 7 6 2" xfId="26279"/>
    <cellStyle name="Normal 4 10 2 2 7 7" xfId="18053"/>
    <cellStyle name="Normal 4 10 2 2 7 8" xfId="34507"/>
    <cellStyle name="Normal 4 10 2 2 8" xfId="1834"/>
    <cellStyle name="Normal 4 10 2 2 8 2" xfId="10064"/>
    <cellStyle name="Normal 4 10 2 2 8 2 2" xfId="26514"/>
    <cellStyle name="Normal 4 10 2 2 8 3" xfId="18288"/>
    <cellStyle name="Normal 4 10 2 2 8 4" xfId="34742"/>
    <cellStyle name="Normal 4 10 2 2 9" xfId="3484"/>
    <cellStyle name="Normal 4 10 2 2 9 2" xfId="11709"/>
    <cellStyle name="Normal 4 10 2 2 9 2 2" xfId="28159"/>
    <cellStyle name="Normal 4 10 2 2 9 3" xfId="19934"/>
    <cellStyle name="Normal 4 10 2 2 9 4" xfId="36388"/>
    <cellStyle name="Normal 4 10 2 3" xfId="323"/>
    <cellStyle name="Normal 4 10 2 3 2" xfId="2022"/>
    <cellStyle name="Normal 4 10 2 3 2 2" xfId="10249"/>
    <cellStyle name="Normal 4 10 2 3 2 2 2" xfId="26699"/>
    <cellStyle name="Normal 4 10 2 3 2 3" xfId="18474"/>
    <cellStyle name="Normal 4 10 2 3 2 4" xfId="34928"/>
    <cellStyle name="Normal 4 10 2 3 3" xfId="3669"/>
    <cellStyle name="Normal 4 10 2 3 3 2" xfId="11894"/>
    <cellStyle name="Normal 4 10 2 3 3 2 2" xfId="28344"/>
    <cellStyle name="Normal 4 10 2 3 3 3" xfId="20119"/>
    <cellStyle name="Normal 4 10 2 3 3 4" xfId="36573"/>
    <cellStyle name="Normal 4 10 2 3 4" xfId="5314"/>
    <cellStyle name="Normal 4 10 2 3 4 2" xfId="13539"/>
    <cellStyle name="Normal 4 10 2 3 4 2 2" xfId="29989"/>
    <cellStyle name="Normal 4 10 2 3 4 3" xfId="21764"/>
    <cellStyle name="Normal 4 10 2 3 4 4" xfId="38218"/>
    <cellStyle name="Normal 4 10 2 3 5" xfId="6959"/>
    <cellStyle name="Normal 4 10 2 3 5 2" xfId="15184"/>
    <cellStyle name="Normal 4 10 2 3 5 2 2" xfId="31634"/>
    <cellStyle name="Normal 4 10 2 3 5 3" xfId="23409"/>
    <cellStyle name="Normal 4 10 2 3 5 4" xfId="39863"/>
    <cellStyle name="Normal 4 10 2 3 6" xfId="8604"/>
    <cellStyle name="Normal 4 10 2 3 6 2" xfId="25054"/>
    <cellStyle name="Normal 4 10 2 3 7" xfId="16828"/>
    <cellStyle name="Normal 4 10 2 3 8" xfId="33282"/>
    <cellStyle name="Normal 4 10 2 3 9" xfId="41509"/>
    <cellStyle name="Normal 4 10 2 4" xfId="564"/>
    <cellStyle name="Normal 4 10 2 4 2" xfId="2259"/>
    <cellStyle name="Normal 4 10 2 4 2 2" xfId="10484"/>
    <cellStyle name="Normal 4 10 2 4 2 2 2" xfId="26934"/>
    <cellStyle name="Normal 4 10 2 4 2 3" xfId="18709"/>
    <cellStyle name="Normal 4 10 2 4 2 4" xfId="35163"/>
    <cellStyle name="Normal 4 10 2 4 3" xfId="3904"/>
    <cellStyle name="Normal 4 10 2 4 3 2" xfId="12129"/>
    <cellStyle name="Normal 4 10 2 4 3 2 2" xfId="28579"/>
    <cellStyle name="Normal 4 10 2 4 3 3" xfId="20354"/>
    <cellStyle name="Normal 4 10 2 4 3 4" xfId="36808"/>
    <cellStyle name="Normal 4 10 2 4 4" xfId="5549"/>
    <cellStyle name="Normal 4 10 2 4 4 2" xfId="13774"/>
    <cellStyle name="Normal 4 10 2 4 4 2 2" xfId="30224"/>
    <cellStyle name="Normal 4 10 2 4 4 3" xfId="21999"/>
    <cellStyle name="Normal 4 10 2 4 4 4" xfId="38453"/>
    <cellStyle name="Normal 4 10 2 4 5" xfId="7194"/>
    <cellStyle name="Normal 4 10 2 4 5 2" xfId="15419"/>
    <cellStyle name="Normal 4 10 2 4 5 2 2" xfId="31869"/>
    <cellStyle name="Normal 4 10 2 4 5 3" xfId="23644"/>
    <cellStyle name="Normal 4 10 2 4 5 4" xfId="40098"/>
    <cellStyle name="Normal 4 10 2 4 6" xfId="8839"/>
    <cellStyle name="Normal 4 10 2 4 6 2" xfId="25289"/>
    <cellStyle name="Normal 4 10 2 4 7" xfId="17063"/>
    <cellStyle name="Normal 4 10 2 4 8" xfId="33517"/>
    <cellStyle name="Normal 4 10 2 4 9" xfId="41744"/>
    <cellStyle name="Normal 4 10 2 5" xfId="799"/>
    <cellStyle name="Normal 4 10 2 5 2" xfId="2494"/>
    <cellStyle name="Normal 4 10 2 5 2 2" xfId="10719"/>
    <cellStyle name="Normal 4 10 2 5 2 2 2" xfId="27169"/>
    <cellStyle name="Normal 4 10 2 5 2 3" xfId="18944"/>
    <cellStyle name="Normal 4 10 2 5 2 4" xfId="35398"/>
    <cellStyle name="Normal 4 10 2 5 3" xfId="4139"/>
    <cellStyle name="Normal 4 10 2 5 3 2" xfId="12364"/>
    <cellStyle name="Normal 4 10 2 5 3 2 2" xfId="28814"/>
    <cellStyle name="Normal 4 10 2 5 3 3" xfId="20589"/>
    <cellStyle name="Normal 4 10 2 5 3 4" xfId="37043"/>
    <cellStyle name="Normal 4 10 2 5 4" xfId="5784"/>
    <cellStyle name="Normal 4 10 2 5 4 2" xfId="14009"/>
    <cellStyle name="Normal 4 10 2 5 4 2 2" xfId="30459"/>
    <cellStyle name="Normal 4 10 2 5 4 3" xfId="22234"/>
    <cellStyle name="Normal 4 10 2 5 4 4" xfId="38688"/>
    <cellStyle name="Normal 4 10 2 5 5" xfId="7429"/>
    <cellStyle name="Normal 4 10 2 5 5 2" xfId="15654"/>
    <cellStyle name="Normal 4 10 2 5 5 2 2" xfId="32104"/>
    <cellStyle name="Normal 4 10 2 5 5 3" xfId="23879"/>
    <cellStyle name="Normal 4 10 2 5 5 4" xfId="40333"/>
    <cellStyle name="Normal 4 10 2 5 6" xfId="9074"/>
    <cellStyle name="Normal 4 10 2 5 6 2" xfId="25524"/>
    <cellStyle name="Normal 4 10 2 5 7" xfId="17298"/>
    <cellStyle name="Normal 4 10 2 5 8" xfId="33752"/>
    <cellStyle name="Normal 4 10 2 5 9" xfId="41979"/>
    <cellStyle name="Normal 4 10 2 6" xfId="1034"/>
    <cellStyle name="Normal 4 10 2 6 2" xfId="2729"/>
    <cellStyle name="Normal 4 10 2 6 2 2" xfId="10954"/>
    <cellStyle name="Normal 4 10 2 6 2 2 2" xfId="27404"/>
    <cellStyle name="Normal 4 10 2 6 2 3" xfId="19179"/>
    <cellStyle name="Normal 4 10 2 6 2 4" xfId="35633"/>
    <cellStyle name="Normal 4 10 2 6 3" xfId="4374"/>
    <cellStyle name="Normal 4 10 2 6 3 2" xfId="12599"/>
    <cellStyle name="Normal 4 10 2 6 3 2 2" xfId="29049"/>
    <cellStyle name="Normal 4 10 2 6 3 3" xfId="20824"/>
    <cellStyle name="Normal 4 10 2 6 3 4" xfId="37278"/>
    <cellStyle name="Normal 4 10 2 6 4" xfId="6019"/>
    <cellStyle name="Normal 4 10 2 6 4 2" xfId="14244"/>
    <cellStyle name="Normal 4 10 2 6 4 2 2" xfId="30694"/>
    <cellStyle name="Normal 4 10 2 6 4 3" xfId="22469"/>
    <cellStyle name="Normal 4 10 2 6 4 4" xfId="38923"/>
    <cellStyle name="Normal 4 10 2 6 5" xfId="7664"/>
    <cellStyle name="Normal 4 10 2 6 5 2" xfId="15889"/>
    <cellStyle name="Normal 4 10 2 6 5 2 2" xfId="32339"/>
    <cellStyle name="Normal 4 10 2 6 5 3" xfId="24114"/>
    <cellStyle name="Normal 4 10 2 6 5 4" xfId="40568"/>
    <cellStyle name="Normal 4 10 2 6 6" xfId="9309"/>
    <cellStyle name="Normal 4 10 2 6 6 2" xfId="25759"/>
    <cellStyle name="Normal 4 10 2 6 7" xfId="17533"/>
    <cellStyle name="Normal 4 10 2 6 8" xfId="33987"/>
    <cellStyle name="Normal 4 10 2 6 9" xfId="42214"/>
    <cellStyle name="Normal 4 10 2 7" xfId="1314"/>
    <cellStyle name="Normal 4 10 2 7 2" xfId="2964"/>
    <cellStyle name="Normal 4 10 2 7 2 2" xfId="11189"/>
    <cellStyle name="Normal 4 10 2 7 2 2 2" xfId="27639"/>
    <cellStyle name="Normal 4 10 2 7 2 3" xfId="19414"/>
    <cellStyle name="Normal 4 10 2 7 2 4" xfId="35868"/>
    <cellStyle name="Normal 4 10 2 7 3" xfId="4609"/>
    <cellStyle name="Normal 4 10 2 7 3 2" xfId="12834"/>
    <cellStyle name="Normal 4 10 2 7 3 2 2" xfId="29284"/>
    <cellStyle name="Normal 4 10 2 7 3 3" xfId="21059"/>
    <cellStyle name="Normal 4 10 2 7 3 4" xfId="37513"/>
    <cellStyle name="Normal 4 10 2 7 4" xfId="6254"/>
    <cellStyle name="Normal 4 10 2 7 4 2" xfId="14479"/>
    <cellStyle name="Normal 4 10 2 7 4 2 2" xfId="30929"/>
    <cellStyle name="Normal 4 10 2 7 4 3" xfId="22704"/>
    <cellStyle name="Normal 4 10 2 7 4 4" xfId="39158"/>
    <cellStyle name="Normal 4 10 2 7 5" xfId="7899"/>
    <cellStyle name="Normal 4 10 2 7 5 2" xfId="16124"/>
    <cellStyle name="Normal 4 10 2 7 5 2 2" xfId="32574"/>
    <cellStyle name="Normal 4 10 2 7 5 3" xfId="24349"/>
    <cellStyle name="Normal 4 10 2 7 5 4" xfId="40803"/>
    <cellStyle name="Normal 4 10 2 7 6" xfId="9544"/>
    <cellStyle name="Normal 4 10 2 7 6 2" xfId="25994"/>
    <cellStyle name="Normal 4 10 2 7 7" xfId="17768"/>
    <cellStyle name="Normal 4 10 2 7 8" xfId="34222"/>
    <cellStyle name="Normal 4 10 2 8" xfId="1549"/>
    <cellStyle name="Normal 4 10 2 8 2" xfId="3199"/>
    <cellStyle name="Normal 4 10 2 8 2 2" xfId="11424"/>
    <cellStyle name="Normal 4 10 2 8 2 2 2" xfId="27874"/>
    <cellStyle name="Normal 4 10 2 8 2 3" xfId="19649"/>
    <cellStyle name="Normal 4 10 2 8 2 4" xfId="36103"/>
    <cellStyle name="Normal 4 10 2 8 3" xfId="4844"/>
    <cellStyle name="Normal 4 10 2 8 3 2" xfId="13069"/>
    <cellStyle name="Normal 4 10 2 8 3 2 2" xfId="29519"/>
    <cellStyle name="Normal 4 10 2 8 3 3" xfId="21294"/>
    <cellStyle name="Normal 4 10 2 8 3 4" xfId="37748"/>
    <cellStyle name="Normal 4 10 2 8 4" xfId="6489"/>
    <cellStyle name="Normal 4 10 2 8 4 2" xfId="14714"/>
    <cellStyle name="Normal 4 10 2 8 4 2 2" xfId="31164"/>
    <cellStyle name="Normal 4 10 2 8 4 3" xfId="22939"/>
    <cellStyle name="Normal 4 10 2 8 4 4" xfId="39393"/>
    <cellStyle name="Normal 4 10 2 8 5" xfId="8134"/>
    <cellStyle name="Normal 4 10 2 8 5 2" xfId="16359"/>
    <cellStyle name="Normal 4 10 2 8 5 2 2" xfId="32809"/>
    <cellStyle name="Normal 4 10 2 8 5 3" xfId="24584"/>
    <cellStyle name="Normal 4 10 2 8 5 4" xfId="41038"/>
    <cellStyle name="Normal 4 10 2 8 6" xfId="9779"/>
    <cellStyle name="Normal 4 10 2 8 6 2" xfId="26229"/>
    <cellStyle name="Normal 4 10 2 8 7" xfId="18003"/>
    <cellStyle name="Normal 4 10 2 8 8" xfId="34457"/>
    <cellStyle name="Normal 4 10 2 9" xfId="1784"/>
    <cellStyle name="Normal 4 10 2 9 2" xfId="10014"/>
    <cellStyle name="Normal 4 10 2 9 2 2" xfId="26464"/>
    <cellStyle name="Normal 4 10 2 9 3" xfId="18238"/>
    <cellStyle name="Normal 4 10 2 9 4" xfId="34692"/>
    <cellStyle name="Normal 4 10 20" xfId="16568"/>
    <cellStyle name="Normal 4 10 21" xfId="33021"/>
    <cellStyle name="Normal 4 10 22" xfId="41249"/>
    <cellStyle name="Normal 4 10 3" xfId="105"/>
    <cellStyle name="Normal 4 10 3 10" xfId="5104"/>
    <cellStyle name="Normal 4 10 3 10 2" xfId="13329"/>
    <cellStyle name="Normal 4 10 3 10 2 2" xfId="29779"/>
    <cellStyle name="Normal 4 10 3 10 3" xfId="21554"/>
    <cellStyle name="Normal 4 10 3 10 4" xfId="38008"/>
    <cellStyle name="Normal 4 10 3 11" xfId="6749"/>
    <cellStyle name="Normal 4 10 3 11 2" xfId="14974"/>
    <cellStyle name="Normal 4 10 3 11 2 2" xfId="31424"/>
    <cellStyle name="Normal 4 10 3 11 3" xfId="23199"/>
    <cellStyle name="Normal 4 10 3 11 4" xfId="39653"/>
    <cellStyle name="Normal 4 10 3 12" xfId="8394"/>
    <cellStyle name="Normal 4 10 3 12 2" xfId="24844"/>
    <cellStyle name="Normal 4 10 3 13" xfId="16618"/>
    <cellStyle name="Normal 4 10 3 14" xfId="33071"/>
    <cellStyle name="Normal 4 10 3 15" xfId="41299"/>
    <cellStyle name="Normal 4 10 3 2" xfId="348"/>
    <cellStyle name="Normal 4 10 3 2 2" xfId="2047"/>
    <cellStyle name="Normal 4 10 3 2 2 2" xfId="10274"/>
    <cellStyle name="Normal 4 10 3 2 2 2 2" xfId="26724"/>
    <cellStyle name="Normal 4 10 3 2 2 3" xfId="18499"/>
    <cellStyle name="Normal 4 10 3 2 2 4" xfId="34953"/>
    <cellStyle name="Normal 4 10 3 2 3" xfId="3694"/>
    <cellStyle name="Normal 4 10 3 2 3 2" xfId="11919"/>
    <cellStyle name="Normal 4 10 3 2 3 2 2" xfId="28369"/>
    <cellStyle name="Normal 4 10 3 2 3 3" xfId="20144"/>
    <cellStyle name="Normal 4 10 3 2 3 4" xfId="36598"/>
    <cellStyle name="Normal 4 10 3 2 4" xfId="5339"/>
    <cellStyle name="Normal 4 10 3 2 4 2" xfId="13564"/>
    <cellStyle name="Normal 4 10 3 2 4 2 2" xfId="30014"/>
    <cellStyle name="Normal 4 10 3 2 4 3" xfId="21789"/>
    <cellStyle name="Normal 4 10 3 2 4 4" xfId="38243"/>
    <cellStyle name="Normal 4 10 3 2 5" xfId="6984"/>
    <cellStyle name="Normal 4 10 3 2 5 2" xfId="15209"/>
    <cellStyle name="Normal 4 10 3 2 5 2 2" xfId="31659"/>
    <cellStyle name="Normal 4 10 3 2 5 3" xfId="23434"/>
    <cellStyle name="Normal 4 10 3 2 5 4" xfId="39888"/>
    <cellStyle name="Normal 4 10 3 2 6" xfId="8629"/>
    <cellStyle name="Normal 4 10 3 2 6 2" xfId="25079"/>
    <cellStyle name="Normal 4 10 3 2 7" xfId="16853"/>
    <cellStyle name="Normal 4 10 3 2 8" xfId="33307"/>
    <cellStyle name="Normal 4 10 3 2 9" xfId="41534"/>
    <cellStyle name="Normal 4 10 3 3" xfId="589"/>
    <cellStyle name="Normal 4 10 3 3 2" xfId="2284"/>
    <cellStyle name="Normal 4 10 3 3 2 2" xfId="10509"/>
    <cellStyle name="Normal 4 10 3 3 2 2 2" xfId="26959"/>
    <cellStyle name="Normal 4 10 3 3 2 3" xfId="18734"/>
    <cellStyle name="Normal 4 10 3 3 2 4" xfId="35188"/>
    <cellStyle name="Normal 4 10 3 3 3" xfId="3929"/>
    <cellStyle name="Normal 4 10 3 3 3 2" xfId="12154"/>
    <cellStyle name="Normal 4 10 3 3 3 2 2" xfId="28604"/>
    <cellStyle name="Normal 4 10 3 3 3 3" xfId="20379"/>
    <cellStyle name="Normal 4 10 3 3 3 4" xfId="36833"/>
    <cellStyle name="Normal 4 10 3 3 4" xfId="5574"/>
    <cellStyle name="Normal 4 10 3 3 4 2" xfId="13799"/>
    <cellStyle name="Normal 4 10 3 3 4 2 2" xfId="30249"/>
    <cellStyle name="Normal 4 10 3 3 4 3" xfId="22024"/>
    <cellStyle name="Normal 4 10 3 3 4 4" xfId="38478"/>
    <cellStyle name="Normal 4 10 3 3 5" xfId="7219"/>
    <cellStyle name="Normal 4 10 3 3 5 2" xfId="15444"/>
    <cellStyle name="Normal 4 10 3 3 5 2 2" xfId="31894"/>
    <cellStyle name="Normal 4 10 3 3 5 3" xfId="23669"/>
    <cellStyle name="Normal 4 10 3 3 5 4" xfId="40123"/>
    <cellStyle name="Normal 4 10 3 3 6" xfId="8864"/>
    <cellStyle name="Normal 4 10 3 3 6 2" xfId="25314"/>
    <cellStyle name="Normal 4 10 3 3 7" xfId="17088"/>
    <cellStyle name="Normal 4 10 3 3 8" xfId="33542"/>
    <cellStyle name="Normal 4 10 3 3 9" xfId="41769"/>
    <cellStyle name="Normal 4 10 3 4" xfId="824"/>
    <cellStyle name="Normal 4 10 3 4 2" xfId="2519"/>
    <cellStyle name="Normal 4 10 3 4 2 2" xfId="10744"/>
    <cellStyle name="Normal 4 10 3 4 2 2 2" xfId="27194"/>
    <cellStyle name="Normal 4 10 3 4 2 3" xfId="18969"/>
    <cellStyle name="Normal 4 10 3 4 2 4" xfId="35423"/>
    <cellStyle name="Normal 4 10 3 4 3" xfId="4164"/>
    <cellStyle name="Normal 4 10 3 4 3 2" xfId="12389"/>
    <cellStyle name="Normal 4 10 3 4 3 2 2" xfId="28839"/>
    <cellStyle name="Normal 4 10 3 4 3 3" xfId="20614"/>
    <cellStyle name="Normal 4 10 3 4 3 4" xfId="37068"/>
    <cellStyle name="Normal 4 10 3 4 4" xfId="5809"/>
    <cellStyle name="Normal 4 10 3 4 4 2" xfId="14034"/>
    <cellStyle name="Normal 4 10 3 4 4 2 2" xfId="30484"/>
    <cellStyle name="Normal 4 10 3 4 4 3" xfId="22259"/>
    <cellStyle name="Normal 4 10 3 4 4 4" xfId="38713"/>
    <cellStyle name="Normal 4 10 3 4 5" xfId="7454"/>
    <cellStyle name="Normal 4 10 3 4 5 2" xfId="15679"/>
    <cellStyle name="Normal 4 10 3 4 5 2 2" xfId="32129"/>
    <cellStyle name="Normal 4 10 3 4 5 3" xfId="23904"/>
    <cellStyle name="Normal 4 10 3 4 5 4" xfId="40358"/>
    <cellStyle name="Normal 4 10 3 4 6" xfId="9099"/>
    <cellStyle name="Normal 4 10 3 4 6 2" xfId="25549"/>
    <cellStyle name="Normal 4 10 3 4 7" xfId="17323"/>
    <cellStyle name="Normal 4 10 3 4 8" xfId="33777"/>
    <cellStyle name="Normal 4 10 3 4 9" xfId="42004"/>
    <cellStyle name="Normal 4 10 3 5" xfId="1059"/>
    <cellStyle name="Normal 4 10 3 5 2" xfId="2754"/>
    <cellStyle name="Normal 4 10 3 5 2 2" xfId="10979"/>
    <cellStyle name="Normal 4 10 3 5 2 2 2" xfId="27429"/>
    <cellStyle name="Normal 4 10 3 5 2 3" xfId="19204"/>
    <cellStyle name="Normal 4 10 3 5 2 4" xfId="35658"/>
    <cellStyle name="Normal 4 10 3 5 3" xfId="4399"/>
    <cellStyle name="Normal 4 10 3 5 3 2" xfId="12624"/>
    <cellStyle name="Normal 4 10 3 5 3 2 2" xfId="29074"/>
    <cellStyle name="Normal 4 10 3 5 3 3" xfId="20849"/>
    <cellStyle name="Normal 4 10 3 5 3 4" xfId="37303"/>
    <cellStyle name="Normal 4 10 3 5 4" xfId="6044"/>
    <cellStyle name="Normal 4 10 3 5 4 2" xfId="14269"/>
    <cellStyle name="Normal 4 10 3 5 4 2 2" xfId="30719"/>
    <cellStyle name="Normal 4 10 3 5 4 3" xfId="22494"/>
    <cellStyle name="Normal 4 10 3 5 4 4" xfId="38948"/>
    <cellStyle name="Normal 4 10 3 5 5" xfId="7689"/>
    <cellStyle name="Normal 4 10 3 5 5 2" xfId="15914"/>
    <cellStyle name="Normal 4 10 3 5 5 2 2" xfId="32364"/>
    <cellStyle name="Normal 4 10 3 5 5 3" xfId="24139"/>
    <cellStyle name="Normal 4 10 3 5 5 4" xfId="40593"/>
    <cellStyle name="Normal 4 10 3 5 6" xfId="9334"/>
    <cellStyle name="Normal 4 10 3 5 6 2" xfId="25784"/>
    <cellStyle name="Normal 4 10 3 5 7" xfId="17558"/>
    <cellStyle name="Normal 4 10 3 5 8" xfId="34012"/>
    <cellStyle name="Normal 4 10 3 5 9" xfId="42239"/>
    <cellStyle name="Normal 4 10 3 6" xfId="1339"/>
    <cellStyle name="Normal 4 10 3 6 2" xfId="2989"/>
    <cellStyle name="Normal 4 10 3 6 2 2" xfId="11214"/>
    <cellStyle name="Normal 4 10 3 6 2 2 2" xfId="27664"/>
    <cellStyle name="Normal 4 10 3 6 2 3" xfId="19439"/>
    <cellStyle name="Normal 4 10 3 6 2 4" xfId="35893"/>
    <cellStyle name="Normal 4 10 3 6 3" xfId="4634"/>
    <cellStyle name="Normal 4 10 3 6 3 2" xfId="12859"/>
    <cellStyle name="Normal 4 10 3 6 3 2 2" xfId="29309"/>
    <cellStyle name="Normal 4 10 3 6 3 3" xfId="21084"/>
    <cellStyle name="Normal 4 10 3 6 3 4" xfId="37538"/>
    <cellStyle name="Normal 4 10 3 6 4" xfId="6279"/>
    <cellStyle name="Normal 4 10 3 6 4 2" xfId="14504"/>
    <cellStyle name="Normal 4 10 3 6 4 2 2" xfId="30954"/>
    <cellStyle name="Normal 4 10 3 6 4 3" xfId="22729"/>
    <cellStyle name="Normal 4 10 3 6 4 4" xfId="39183"/>
    <cellStyle name="Normal 4 10 3 6 5" xfId="7924"/>
    <cellStyle name="Normal 4 10 3 6 5 2" xfId="16149"/>
    <cellStyle name="Normal 4 10 3 6 5 2 2" xfId="32599"/>
    <cellStyle name="Normal 4 10 3 6 5 3" xfId="24374"/>
    <cellStyle name="Normal 4 10 3 6 5 4" xfId="40828"/>
    <cellStyle name="Normal 4 10 3 6 6" xfId="9569"/>
    <cellStyle name="Normal 4 10 3 6 6 2" xfId="26019"/>
    <cellStyle name="Normal 4 10 3 6 7" xfId="17793"/>
    <cellStyle name="Normal 4 10 3 6 8" xfId="34247"/>
    <cellStyle name="Normal 4 10 3 7" xfId="1574"/>
    <cellStyle name="Normal 4 10 3 7 2" xfId="3224"/>
    <cellStyle name="Normal 4 10 3 7 2 2" xfId="11449"/>
    <cellStyle name="Normal 4 10 3 7 2 2 2" xfId="27899"/>
    <cellStyle name="Normal 4 10 3 7 2 3" xfId="19674"/>
    <cellStyle name="Normal 4 10 3 7 2 4" xfId="36128"/>
    <cellStyle name="Normal 4 10 3 7 3" xfId="4869"/>
    <cellStyle name="Normal 4 10 3 7 3 2" xfId="13094"/>
    <cellStyle name="Normal 4 10 3 7 3 2 2" xfId="29544"/>
    <cellStyle name="Normal 4 10 3 7 3 3" xfId="21319"/>
    <cellStyle name="Normal 4 10 3 7 3 4" xfId="37773"/>
    <cellStyle name="Normal 4 10 3 7 4" xfId="6514"/>
    <cellStyle name="Normal 4 10 3 7 4 2" xfId="14739"/>
    <cellStyle name="Normal 4 10 3 7 4 2 2" xfId="31189"/>
    <cellStyle name="Normal 4 10 3 7 4 3" xfId="22964"/>
    <cellStyle name="Normal 4 10 3 7 4 4" xfId="39418"/>
    <cellStyle name="Normal 4 10 3 7 5" xfId="8159"/>
    <cellStyle name="Normal 4 10 3 7 5 2" xfId="16384"/>
    <cellStyle name="Normal 4 10 3 7 5 2 2" xfId="32834"/>
    <cellStyle name="Normal 4 10 3 7 5 3" xfId="24609"/>
    <cellStyle name="Normal 4 10 3 7 5 4" xfId="41063"/>
    <cellStyle name="Normal 4 10 3 7 6" xfId="9804"/>
    <cellStyle name="Normal 4 10 3 7 6 2" xfId="26254"/>
    <cellStyle name="Normal 4 10 3 7 7" xfId="18028"/>
    <cellStyle name="Normal 4 10 3 7 8" xfId="34482"/>
    <cellStyle name="Normal 4 10 3 8" xfId="1809"/>
    <cellStyle name="Normal 4 10 3 8 2" xfId="10039"/>
    <cellStyle name="Normal 4 10 3 8 2 2" xfId="26489"/>
    <cellStyle name="Normal 4 10 3 8 3" xfId="18263"/>
    <cellStyle name="Normal 4 10 3 8 4" xfId="34717"/>
    <cellStyle name="Normal 4 10 3 9" xfId="3459"/>
    <cellStyle name="Normal 4 10 3 9 2" xfId="11684"/>
    <cellStyle name="Normal 4 10 3 9 2 2" xfId="28134"/>
    <cellStyle name="Normal 4 10 3 9 3" xfId="19909"/>
    <cellStyle name="Normal 4 10 3 9 4" xfId="36363"/>
    <cellStyle name="Normal 4 10 4" xfId="155"/>
    <cellStyle name="Normal 4 10 4 10" xfId="5154"/>
    <cellStyle name="Normal 4 10 4 10 2" xfId="13379"/>
    <cellStyle name="Normal 4 10 4 10 2 2" xfId="29829"/>
    <cellStyle name="Normal 4 10 4 10 3" xfId="21604"/>
    <cellStyle name="Normal 4 10 4 10 4" xfId="38058"/>
    <cellStyle name="Normal 4 10 4 11" xfId="6799"/>
    <cellStyle name="Normal 4 10 4 11 2" xfId="15024"/>
    <cellStyle name="Normal 4 10 4 11 2 2" xfId="31474"/>
    <cellStyle name="Normal 4 10 4 11 3" xfId="23249"/>
    <cellStyle name="Normal 4 10 4 11 4" xfId="39703"/>
    <cellStyle name="Normal 4 10 4 12" xfId="8444"/>
    <cellStyle name="Normal 4 10 4 12 2" xfId="24894"/>
    <cellStyle name="Normal 4 10 4 13" xfId="16668"/>
    <cellStyle name="Normal 4 10 4 14" xfId="33121"/>
    <cellStyle name="Normal 4 10 4 15" xfId="41349"/>
    <cellStyle name="Normal 4 10 4 2" xfId="398"/>
    <cellStyle name="Normal 4 10 4 2 2" xfId="2097"/>
    <cellStyle name="Normal 4 10 4 2 2 2" xfId="10324"/>
    <cellStyle name="Normal 4 10 4 2 2 2 2" xfId="26774"/>
    <cellStyle name="Normal 4 10 4 2 2 3" xfId="18549"/>
    <cellStyle name="Normal 4 10 4 2 2 4" xfId="35003"/>
    <cellStyle name="Normal 4 10 4 2 3" xfId="3744"/>
    <cellStyle name="Normal 4 10 4 2 3 2" xfId="11969"/>
    <cellStyle name="Normal 4 10 4 2 3 2 2" xfId="28419"/>
    <cellStyle name="Normal 4 10 4 2 3 3" xfId="20194"/>
    <cellStyle name="Normal 4 10 4 2 3 4" xfId="36648"/>
    <cellStyle name="Normal 4 10 4 2 4" xfId="5389"/>
    <cellStyle name="Normal 4 10 4 2 4 2" xfId="13614"/>
    <cellStyle name="Normal 4 10 4 2 4 2 2" xfId="30064"/>
    <cellStyle name="Normal 4 10 4 2 4 3" xfId="21839"/>
    <cellStyle name="Normal 4 10 4 2 4 4" xfId="38293"/>
    <cellStyle name="Normal 4 10 4 2 5" xfId="7034"/>
    <cellStyle name="Normal 4 10 4 2 5 2" xfId="15259"/>
    <cellStyle name="Normal 4 10 4 2 5 2 2" xfId="31709"/>
    <cellStyle name="Normal 4 10 4 2 5 3" xfId="23484"/>
    <cellStyle name="Normal 4 10 4 2 5 4" xfId="39938"/>
    <cellStyle name="Normal 4 10 4 2 6" xfId="8679"/>
    <cellStyle name="Normal 4 10 4 2 6 2" xfId="25129"/>
    <cellStyle name="Normal 4 10 4 2 7" xfId="16903"/>
    <cellStyle name="Normal 4 10 4 2 8" xfId="33357"/>
    <cellStyle name="Normal 4 10 4 2 9" xfId="41584"/>
    <cellStyle name="Normal 4 10 4 3" xfId="639"/>
    <cellStyle name="Normal 4 10 4 3 2" xfId="2334"/>
    <cellStyle name="Normal 4 10 4 3 2 2" xfId="10559"/>
    <cellStyle name="Normal 4 10 4 3 2 2 2" xfId="27009"/>
    <cellStyle name="Normal 4 10 4 3 2 3" xfId="18784"/>
    <cellStyle name="Normal 4 10 4 3 2 4" xfId="35238"/>
    <cellStyle name="Normal 4 10 4 3 3" xfId="3979"/>
    <cellStyle name="Normal 4 10 4 3 3 2" xfId="12204"/>
    <cellStyle name="Normal 4 10 4 3 3 2 2" xfId="28654"/>
    <cellStyle name="Normal 4 10 4 3 3 3" xfId="20429"/>
    <cellStyle name="Normal 4 10 4 3 3 4" xfId="36883"/>
    <cellStyle name="Normal 4 10 4 3 4" xfId="5624"/>
    <cellStyle name="Normal 4 10 4 3 4 2" xfId="13849"/>
    <cellStyle name="Normal 4 10 4 3 4 2 2" xfId="30299"/>
    <cellStyle name="Normal 4 10 4 3 4 3" xfId="22074"/>
    <cellStyle name="Normal 4 10 4 3 4 4" xfId="38528"/>
    <cellStyle name="Normal 4 10 4 3 5" xfId="7269"/>
    <cellStyle name="Normal 4 10 4 3 5 2" xfId="15494"/>
    <cellStyle name="Normal 4 10 4 3 5 2 2" xfId="31944"/>
    <cellStyle name="Normal 4 10 4 3 5 3" xfId="23719"/>
    <cellStyle name="Normal 4 10 4 3 5 4" xfId="40173"/>
    <cellStyle name="Normal 4 10 4 3 6" xfId="8914"/>
    <cellStyle name="Normal 4 10 4 3 6 2" xfId="25364"/>
    <cellStyle name="Normal 4 10 4 3 7" xfId="17138"/>
    <cellStyle name="Normal 4 10 4 3 8" xfId="33592"/>
    <cellStyle name="Normal 4 10 4 3 9" xfId="41819"/>
    <cellStyle name="Normal 4 10 4 4" xfId="874"/>
    <cellStyle name="Normal 4 10 4 4 2" xfId="2569"/>
    <cellStyle name="Normal 4 10 4 4 2 2" xfId="10794"/>
    <cellStyle name="Normal 4 10 4 4 2 2 2" xfId="27244"/>
    <cellStyle name="Normal 4 10 4 4 2 3" xfId="19019"/>
    <cellStyle name="Normal 4 10 4 4 2 4" xfId="35473"/>
    <cellStyle name="Normal 4 10 4 4 3" xfId="4214"/>
    <cellStyle name="Normal 4 10 4 4 3 2" xfId="12439"/>
    <cellStyle name="Normal 4 10 4 4 3 2 2" xfId="28889"/>
    <cellStyle name="Normal 4 10 4 4 3 3" xfId="20664"/>
    <cellStyle name="Normal 4 10 4 4 3 4" xfId="37118"/>
    <cellStyle name="Normal 4 10 4 4 4" xfId="5859"/>
    <cellStyle name="Normal 4 10 4 4 4 2" xfId="14084"/>
    <cellStyle name="Normal 4 10 4 4 4 2 2" xfId="30534"/>
    <cellStyle name="Normal 4 10 4 4 4 3" xfId="22309"/>
    <cellStyle name="Normal 4 10 4 4 4 4" xfId="38763"/>
    <cellStyle name="Normal 4 10 4 4 5" xfId="7504"/>
    <cellStyle name="Normal 4 10 4 4 5 2" xfId="15729"/>
    <cellStyle name="Normal 4 10 4 4 5 2 2" xfId="32179"/>
    <cellStyle name="Normal 4 10 4 4 5 3" xfId="23954"/>
    <cellStyle name="Normal 4 10 4 4 5 4" xfId="40408"/>
    <cellStyle name="Normal 4 10 4 4 6" xfId="9149"/>
    <cellStyle name="Normal 4 10 4 4 6 2" xfId="25599"/>
    <cellStyle name="Normal 4 10 4 4 7" xfId="17373"/>
    <cellStyle name="Normal 4 10 4 4 8" xfId="33827"/>
    <cellStyle name="Normal 4 10 4 4 9" xfId="42054"/>
    <cellStyle name="Normal 4 10 4 5" xfId="1109"/>
    <cellStyle name="Normal 4 10 4 5 2" xfId="2804"/>
    <cellStyle name="Normal 4 10 4 5 2 2" xfId="11029"/>
    <cellStyle name="Normal 4 10 4 5 2 2 2" xfId="27479"/>
    <cellStyle name="Normal 4 10 4 5 2 3" xfId="19254"/>
    <cellStyle name="Normal 4 10 4 5 2 4" xfId="35708"/>
    <cellStyle name="Normal 4 10 4 5 3" xfId="4449"/>
    <cellStyle name="Normal 4 10 4 5 3 2" xfId="12674"/>
    <cellStyle name="Normal 4 10 4 5 3 2 2" xfId="29124"/>
    <cellStyle name="Normal 4 10 4 5 3 3" xfId="20899"/>
    <cellStyle name="Normal 4 10 4 5 3 4" xfId="37353"/>
    <cellStyle name="Normal 4 10 4 5 4" xfId="6094"/>
    <cellStyle name="Normal 4 10 4 5 4 2" xfId="14319"/>
    <cellStyle name="Normal 4 10 4 5 4 2 2" xfId="30769"/>
    <cellStyle name="Normal 4 10 4 5 4 3" xfId="22544"/>
    <cellStyle name="Normal 4 10 4 5 4 4" xfId="38998"/>
    <cellStyle name="Normal 4 10 4 5 5" xfId="7739"/>
    <cellStyle name="Normal 4 10 4 5 5 2" xfId="15964"/>
    <cellStyle name="Normal 4 10 4 5 5 2 2" xfId="32414"/>
    <cellStyle name="Normal 4 10 4 5 5 3" xfId="24189"/>
    <cellStyle name="Normal 4 10 4 5 5 4" xfId="40643"/>
    <cellStyle name="Normal 4 10 4 5 6" xfId="9384"/>
    <cellStyle name="Normal 4 10 4 5 6 2" xfId="25834"/>
    <cellStyle name="Normal 4 10 4 5 7" xfId="17608"/>
    <cellStyle name="Normal 4 10 4 5 8" xfId="34062"/>
    <cellStyle name="Normal 4 10 4 5 9" xfId="42289"/>
    <cellStyle name="Normal 4 10 4 6" xfId="1389"/>
    <cellStyle name="Normal 4 10 4 6 2" xfId="3039"/>
    <cellStyle name="Normal 4 10 4 6 2 2" xfId="11264"/>
    <cellStyle name="Normal 4 10 4 6 2 2 2" xfId="27714"/>
    <cellStyle name="Normal 4 10 4 6 2 3" xfId="19489"/>
    <cellStyle name="Normal 4 10 4 6 2 4" xfId="35943"/>
    <cellStyle name="Normal 4 10 4 6 3" xfId="4684"/>
    <cellStyle name="Normal 4 10 4 6 3 2" xfId="12909"/>
    <cellStyle name="Normal 4 10 4 6 3 2 2" xfId="29359"/>
    <cellStyle name="Normal 4 10 4 6 3 3" xfId="21134"/>
    <cellStyle name="Normal 4 10 4 6 3 4" xfId="37588"/>
    <cellStyle name="Normal 4 10 4 6 4" xfId="6329"/>
    <cellStyle name="Normal 4 10 4 6 4 2" xfId="14554"/>
    <cellStyle name="Normal 4 10 4 6 4 2 2" xfId="31004"/>
    <cellStyle name="Normal 4 10 4 6 4 3" xfId="22779"/>
    <cellStyle name="Normal 4 10 4 6 4 4" xfId="39233"/>
    <cellStyle name="Normal 4 10 4 6 5" xfId="7974"/>
    <cellStyle name="Normal 4 10 4 6 5 2" xfId="16199"/>
    <cellStyle name="Normal 4 10 4 6 5 2 2" xfId="32649"/>
    <cellStyle name="Normal 4 10 4 6 5 3" xfId="24424"/>
    <cellStyle name="Normal 4 10 4 6 5 4" xfId="40878"/>
    <cellStyle name="Normal 4 10 4 6 6" xfId="9619"/>
    <cellStyle name="Normal 4 10 4 6 6 2" xfId="26069"/>
    <cellStyle name="Normal 4 10 4 6 7" xfId="17843"/>
    <cellStyle name="Normal 4 10 4 6 8" xfId="34297"/>
    <cellStyle name="Normal 4 10 4 7" xfId="1624"/>
    <cellStyle name="Normal 4 10 4 7 2" xfId="3274"/>
    <cellStyle name="Normal 4 10 4 7 2 2" xfId="11499"/>
    <cellStyle name="Normal 4 10 4 7 2 2 2" xfId="27949"/>
    <cellStyle name="Normal 4 10 4 7 2 3" xfId="19724"/>
    <cellStyle name="Normal 4 10 4 7 2 4" xfId="36178"/>
    <cellStyle name="Normal 4 10 4 7 3" xfId="4919"/>
    <cellStyle name="Normal 4 10 4 7 3 2" xfId="13144"/>
    <cellStyle name="Normal 4 10 4 7 3 2 2" xfId="29594"/>
    <cellStyle name="Normal 4 10 4 7 3 3" xfId="21369"/>
    <cellStyle name="Normal 4 10 4 7 3 4" xfId="37823"/>
    <cellStyle name="Normal 4 10 4 7 4" xfId="6564"/>
    <cellStyle name="Normal 4 10 4 7 4 2" xfId="14789"/>
    <cellStyle name="Normal 4 10 4 7 4 2 2" xfId="31239"/>
    <cellStyle name="Normal 4 10 4 7 4 3" xfId="23014"/>
    <cellStyle name="Normal 4 10 4 7 4 4" xfId="39468"/>
    <cellStyle name="Normal 4 10 4 7 5" xfId="8209"/>
    <cellStyle name="Normal 4 10 4 7 5 2" xfId="16434"/>
    <cellStyle name="Normal 4 10 4 7 5 2 2" xfId="32884"/>
    <cellStyle name="Normal 4 10 4 7 5 3" xfId="24659"/>
    <cellStyle name="Normal 4 10 4 7 5 4" xfId="41113"/>
    <cellStyle name="Normal 4 10 4 7 6" xfId="9854"/>
    <cellStyle name="Normal 4 10 4 7 6 2" xfId="26304"/>
    <cellStyle name="Normal 4 10 4 7 7" xfId="18078"/>
    <cellStyle name="Normal 4 10 4 7 8" xfId="34532"/>
    <cellStyle name="Normal 4 10 4 8" xfId="1859"/>
    <cellStyle name="Normal 4 10 4 8 2" xfId="10089"/>
    <cellStyle name="Normal 4 10 4 8 2 2" xfId="26539"/>
    <cellStyle name="Normal 4 10 4 8 3" xfId="18313"/>
    <cellStyle name="Normal 4 10 4 8 4" xfId="34767"/>
    <cellStyle name="Normal 4 10 4 9" xfId="3509"/>
    <cellStyle name="Normal 4 10 4 9 2" xfId="11734"/>
    <cellStyle name="Normal 4 10 4 9 2 2" xfId="28184"/>
    <cellStyle name="Normal 4 10 4 9 3" xfId="19959"/>
    <cellStyle name="Normal 4 10 4 9 4" xfId="36413"/>
    <cellStyle name="Normal 4 10 5" xfId="182"/>
    <cellStyle name="Normal 4 10 5 10" xfId="5181"/>
    <cellStyle name="Normal 4 10 5 10 2" xfId="13406"/>
    <cellStyle name="Normal 4 10 5 10 2 2" xfId="29856"/>
    <cellStyle name="Normal 4 10 5 10 3" xfId="21631"/>
    <cellStyle name="Normal 4 10 5 10 4" xfId="38085"/>
    <cellStyle name="Normal 4 10 5 11" xfId="6826"/>
    <cellStyle name="Normal 4 10 5 11 2" xfId="15051"/>
    <cellStyle name="Normal 4 10 5 11 2 2" xfId="31501"/>
    <cellStyle name="Normal 4 10 5 11 3" xfId="23276"/>
    <cellStyle name="Normal 4 10 5 11 4" xfId="39730"/>
    <cellStyle name="Normal 4 10 5 12" xfId="8471"/>
    <cellStyle name="Normal 4 10 5 12 2" xfId="24921"/>
    <cellStyle name="Normal 4 10 5 13" xfId="16695"/>
    <cellStyle name="Normal 4 10 5 14" xfId="33148"/>
    <cellStyle name="Normal 4 10 5 15" xfId="41376"/>
    <cellStyle name="Normal 4 10 5 2" xfId="425"/>
    <cellStyle name="Normal 4 10 5 2 2" xfId="2124"/>
    <cellStyle name="Normal 4 10 5 2 2 2" xfId="10351"/>
    <cellStyle name="Normal 4 10 5 2 2 2 2" xfId="26801"/>
    <cellStyle name="Normal 4 10 5 2 2 3" xfId="18576"/>
    <cellStyle name="Normal 4 10 5 2 2 4" xfId="35030"/>
    <cellStyle name="Normal 4 10 5 2 3" xfId="3771"/>
    <cellStyle name="Normal 4 10 5 2 3 2" xfId="11996"/>
    <cellStyle name="Normal 4 10 5 2 3 2 2" xfId="28446"/>
    <cellStyle name="Normal 4 10 5 2 3 3" xfId="20221"/>
    <cellStyle name="Normal 4 10 5 2 3 4" xfId="36675"/>
    <cellStyle name="Normal 4 10 5 2 4" xfId="5416"/>
    <cellStyle name="Normal 4 10 5 2 4 2" xfId="13641"/>
    <cellStyle name="Normal 4 10 5 2 4 2 2" xfId="30091"/>
    <cellStyle name="Normal 4 10 5 2 4 3" xfId="21866"/>
    <cellStyle name="Normal 4 10 5 2 4 4" xfId="38320"/>
    <cellStyle name="Normal 4 10 5 2 5" xfId="7061"/>
    <cellStyle name="Normal 4 10 5 2 5 2" xfId="15286"/>
    <cellStyle name="Normal 4 10 5 2 5 2 2" xfId="31736"/>
    <cellStyle name="Normal 4 10 5 2 5 3" xfId="23511"/>
    <cellStyle name="Normal 4 10 5 2 5 4" xfId="39965"/>
    <cellStyle name="Normal 4 10 5 2 6" xfId="8706"/>
    <cellStyle name="Normal 4 10 5 2 6 2" xfId="25156"/>
    <cellStyle name="Normal 4 10 5 2 7" xfId="16930"/>
    <cellStyle name="Normal 4 10 5 2 8" xfId="33384"/>
    <cellStyle name="Normal 4 10 5 2 9" xfId="41611"/>
    <cellStyle name="Normal 4 10 5 3" xfId="666"/>
    <cellStyle name="Normal 4 10 5 3 2" xfId="2361"/>
    <cellStyle name="Normal 4 10 5 3 2 2" xfId="10586"/>
    <cellStyle name="Normal 4 10 5 3 2 2 2" xfId="27036"/>
    <cellStyle name="Normal 4 10 5 3 2 3" xfId="18811"/>
    <cellStyle name="Normal 4 10 5 3 2 4" xfId="35265"/>
    <cellStyle name="Normal 4 10 5 3 3" xfId="4006"/>
    <cellStyle name="Normal 4 10 5 3 3 2" xfId="12231"/>
    <cellStyle name="Normal 4 10 5 3 3 2 2" xfId="28681"/>
    <cellStyle name="Normal 4 10 5 3 3 3" xfId="20456"/>
    <cellStyle name="Normal 4 10 5 3 3 4" xfId="36910"/>
    <cellStyle name="Normal 4 10 5 3 4" xfId="5651"/>
    <cellStyle name="Normal 4 10 5 3 4 2" xfId="13876"/>
    <cellStyle name="Normal 4 10 5 3 4 2 2" xfId="30326"/>
    <cellStyle name="Normal 4 10 5 3 4 3" xfId="22101"/>
    <cellStyle name="Normal 4 10 5 3 4 4" xfId="38555"/>
    <cellStyle name="Normal 4 10 5 3 5" xfId="7296"/>
    <cellStyle name="Normal 4 10 5 3 5 2" xfId="15521"/>
    <cellStyle name="Normal 4 10 5 3 5 2 2" xfId="31971"/>
    <cellStyle name="Normal 4 10 5 3 5 3" xfId="23746"/>
    <cellStyle name="Normal 4 10 5 3 5 4" xfId="40200"/>
    <cellStyle name="Normal 4 10 5 3 6" xfId="8941"/>
    <cellStyle name="Normal 4 10 5 3 6 2" xfId="25391"/>
    <cellStyle name="Normal 4 10 5 3 7" xfId="17165"/>
    <cellStyle name="Normal 4 10 5 3 8" xfId="33619"/>
    <cellStyle name="Normal 4 10 5 3 9" xfId="41846"/>
    <cellStyle name="Normal 4 10 5 4" xfId="901"/>
    <cellStyle name="Normal 4 10 5 4 2" xfId="2596"/>
    <cellStyle name="Normal 4 10 5 4 2 2" xfId="10821"/>
    <cellStyle name="Normal 4 10 5 4 2 2 2" xfId="27271"/>
    <cellStyle name="Normal 4 10 5 4 2 3" xfId="19046"/>
    <cellStyle name="Normal 4 10 5 4 2 4" xfId="35500"/>
    <cellStyle name="Normal 4 10 5 4 3" xfId="4241"/>
    <cellStyle name="Normal 4 10 5 4 3 2" xfId="12466"/>
    <cellStyle name="Normal 4 10 5 4 3 2 2" xfId="28916"/>
    <cellStyle name="Normal 4 10 5 4 3 3" xfId="20691"/>
    <cellStyle name="Normal 4 10 5 4 3 4" xfId="37145"/>
    <cellStyle name="Normal 4 10 5 4 4" xfId="5886"/>
    <cellStyle name="Normal 4 10 5 4 4 2" xfId="14111"/>
    <cellStyle name="Normal 4 10 5 4 4 2 2" xfId="30561"/>
    <cellStyle name="Normal 4 10 5 4 4 3" xfId="22336"/>
    <cellStyle name="Normal 4 10 5 4 4 4" xfId="38790"/>
    <cellStyle name="Normal 4 10 5 4 5" xfId="7531"/>
    <cellStyle name="Normal 4 10 5 4 5 2" xfId="15756"/>
    <cellStyle name="Normal 4 10 5 4 5 2 2" xfId="32206"/>
    <cellStyle name="Normal 4 10 5 4 5 3" xfId="23981"/>
    <cellStyle name="Normal 4 10 5 4 5 4" xfId="40435"/>
    <cellStyle name="Normal 4 10 5 4 6" xfId="9176"/>
    <cellStyle name="Normal 4 10 5 4 6 2" xfId="25626"/>
    <cellStyle name="Normal 4 10 5 4 7" xfId="17400"/>
    <cellStyle name="Normal 4 10 5 4 8" xfId="33854"/>
    <cellStyle name="Normal 4 10 5 4 9" xfId="42081"/>
    <cellStyle name="Normal 4 10 5 5" xfId="1136"/>
    <cellStyle name="Normal 4 10 5 5 2" xfId="2831"/>
    <cellStyle name="Normal 4 10 5 5 2 2" xfId="11056"/>
    <cellStyle name="Normal 4 10 5 5 2 2 2" xfId="27506"/>
    <cellStyle name="Normal 4 10 5 5 2 3" xfId="19281"/>
    <cellStyle name="Normal 4 10 5 5 2 4" xfId="35735"/>
    <cellStyle name="Normal 4 10 5 5 3" xfId="4476"/>
    <cellStyle name="Normal 4 10 5 5 3 2" xfId="12701"/>
    <cellStyle name="Normal 4 10 5 5 3 2 2" xfId="29151"/>
    <cellStyle name="Normal 4 10 5 5 3 3" xfId="20926"/>
    <cellStyle name="Normal 4 10 5 5 3 4" xfId="37380"/>
    <cellStyle name="Normal 4 10 5 5 4" xfId="6121"/>
    <cellStyle name="Normal 4 10 5 5 4 2" xfId="14346"/>
    <cellStyle name="Normal 4 10 5 5 4 2 2" xfId="30796"/>
    <cellStyle name="Normal 4 10 5 5 4 3" xfId="22571"/>
    <cellStyle name="Normal 4 10 5 5 4 4" xfId="39025"/>
    <cellStyle name="Normal 4 10 5 5 5" xfId="7766"/>
    <cellStyle name="Normal 4 10 5 5 5 2" xfId="15991"/>
    <cellStyle name="Normal 4 10 5 5 5 2 2" xfId="32441"/>
    <cellStyle name="Normal 4 10 5 5 5 3" xfId="24216"/>
    <cellStyle name="Normal 4 10 5 5 5 4" xfId="40670"/>
    <cellStyle name="Normal 4 10 5 5 6" xfId="9411"/>
    <cellStyle name="Normal 4 10 5 5 6 2" xfId="25861"/>
    <cellStyle name="Normal 4 10 5 5 7" xfId="17635"/>
    <cellStyle name="Normal 4 10 5 5 8" xfId="34089"/>
    <cellStyle name="Normal 4 10 5 5 9" xfId="42316"/>
    <cellStyle name="Normal 4 10 5 6" xfId="1416"/>
    <cellStyle name="Normal 4 10 5 6 2" xfId="3066"/>
    <cellStyle name="Normal 4 10 5 6 2 2" xfId="11291"/>
    <cellStyle name="Normal 4 10 5 6 2 2 2" xfId="27741"/>
    <cellStyle name="Normal 4 10 5 6 2 3" xfId="19516"/>
    <cellStyle name="Normal 4 10 5 6 2 4" xfId="35970"/>
    <cellStyle name="Normal 4 10 5 6 3" xfId="4711"/>
    <cellStyle name="Normal 4 10 5 6 3 2" xfId="12936"/>
    <cellStyle name="Normal 4 10 5 6 3 2 2" xfId="29386"/>
    <cellStyle name="Normal 4 10 5 6 3 3" xfId="21161"/>
    <cellStyle name="Normal 4 10 5 6 3 4" xfId="37615"/>
    <cellStyle name="Normal 4 10 5 6 4" xfId="6356"/>
    <cellStyle name="Normal 4 10 5 6 4 2" xfId="14581"/>
    <cellStyle name="Normal 4 10 5 6 4 2 2" xfId="31031"/>
    <cellStyle name="Normal 4 10 5 6 4 3" xfId="22806"/>
    <cellStyle name="Normal 4 10 5 6 4 4" xfId="39260"/>
    <cellStyle name="Normal 4 10 5 6 5" xfId="8001"/>
    <cellStyle name="Normal 4 10 5 6 5 2" xfId="16226"/>
    <cellStyle name="Normal 4 10 5 6 5 2 2" xfId="32676"/>
    <cellStyle name="Normal 4 10 5 6 5 3" xfId="24451"/>
    <cellStyle name="Normal 4 10 5 6 5 4" xfId="40905"/>
    <cellStyle name="Normal 4 10 5 6 6" xfId="9646"/>
    <cellStyle name="Normal 4 10 5 6 6 2" xfId="26096"/>
    <cellStyle name="Normal 4 10 5 6 7" xfId="17870"/>
    <cellStyle name="Normal 4 10 5 6 8" xfId="34324"/>
    <cellStyle name="Normal 4 10 5 7" xfId="1651"/>
    <cellStyle name="Normal 4 10 5 7 2" xfId="3301"/>
    <cellStyle name="Normal 4 10 5 7 2 2" xfId="11526"/>
    <cellStyle name="Normal 4 10 5 7 2 2 2" xfId="27976"/>
    <cellStyle name="Normal 4 10 5 7 2 3" xfId="19751"/>
    <cellStyle name="Normal 4 10 5 7 2 4" xfId="36205"/>
    <cellStyle name="Normal 4 10 5 7 3" xfId="4946"/>
    <cellStyle name="Normal 4 10 5 7 3 2" xfId="13171"/>
    <cellStyle name="Normal 4 10 5 7 3 2 2" xfId="29621"/>
    <cellStyle name="Normal 4 10 5 7 3 3" xfId="21396"/>
    <cellStyle name="Normal 4 10 5 7 3 4" xfId="37850"/>
    <cellStyle name="Normal 4 10 5 7 4" xfId="6591"/>
    <cellStyle name="Normal 4 10 5 7 4 2" xfId="14816"/>
    <cellStyle name="Normal 4 10 5 7 4 2 2" xfId="31266"/>
    <cellStyle name="Normal 4 10 5 7 4 3" xfId="23041"/>
    <cellStyle name="Normal 4 10 5 7 4 4" xfId="39495"/>
    <cellStyle name="Normal 4 10 5 7 5" xfId="8236"/>
    <cellStyle name="Normal 4 10 5 7 5 2" xfId="16461"/>
    <cellStyle name="Normal 4 10 5 7 5 2 2" xfId="32911"/>
    <cellStyle name="Normal 4 10 5 7 5 3" xfId="24686"/>
    <cellStyle name="Normal 4 10 5 7 5 4" xfId="41140"/>
    <cellStyle name="Normal 4 10 5 7 6" xfId="9881"/>
    <cellStyle name="Normal 4 10 5 7 6 2" xfId="26331"/>
    <cellStyle name="Normal 4 10 5 7 7" xfId="18105"/>
    <cellStyle name="Normal 4 10 5 7 8" xfId="34559"/>
    <cellStyle name="Normal 4 10 5 8" xfId="1886"/>
    <cellStyle name="Normal 4 10 5 8 2" xfId="10116"/>
    <cellStyle name="Normal 4 10 5 8 2 2" xfId="26566"/>
    <cellStyle name="Normal 4 10 5 8 3" xfId="18340"/>
    <cellStyle name="Normal 4 10 5 8 4" xfId="34794"/>
    <cellStyle name="Normal 4 10 5 9" xfId="3536"/>
    <cellStyle name="Normal 4 10 5 9 2" xfId="11761"/>
    <cellStyle name="Normal 4 10 5 9 2 2" xfId="28211"/>
    <cellStyle name="Normal 4 10 5 9 3" xfId="19986"/>
    <cellStyle name="Normal 4 10 5 9 4" xfId="36440"/>
    <cellStyle name="Normal 4 10 6" xfId="211"/>
    <cellStyle name="Normal 4 10 6 10" xfId="5208"/>
    <cellStyle name="Normal 4 10 6 10 2" xfId="13433"/>
    <cellStyle name="Normal 4 10 6 10 2 2" xfId="29883"/>
    <cellStyle name="Normal 4 10 6 10 3" xfId="21658"/>
    <cellStyle name="Normal 4 10 6 10 4" xfId="38112"/>
    <cellStyle name="Normal 4 10 6 11" xfId="6853"/>
    <cellStyle name="Normal 4 10 6 11 2" xfId="15078"/>
    <cellStyle name="Normal 4 10 6 11 2 2" xfId="31528"/>
    <cellStyle name="Normal 4 10 6 11 3" xfId="23303"/>
    <cellStyle name="Normal 4 10 6 11 4" xfId="39757"/>
    <cellStyle name="Normal 4 10 6 12" xfId="8498"/>
    <cellStyle name="Normal 4 10 6 12 2" xfId="24948"/>
    <cellStyle name="Normal 4 10 6 13" xfId="16722"/>
    <cellStyle name="Normal 4 10 6 14" xfId="33175"/>
    <cellStyle name="Normal 4 10 6 15" xfId="41403"/>
    <cellStyle name="Normal 4 10 6 2" xfId="454"/>
    <cellStyle name="Normal 4 10 6 2 2" xfId="2151"/>
    <cellStyle name="Normal 4 10 6 2 2 2" xfId="10378"/>
    <cellStyle name="Normal 4 10 6 2 2 2 2" xfId="26828"/>
    <cellStyle name="Normal 4 10 6 2 2 3" xfId="18603"/>
    <cellStyle name="Normal 4 10 6 2 2 4" xfId="35057"/>
    <cellStyle name="Normal 4 10 6 2 3" xfId="3798"/>
    <cellStyle name="Normal 4 10 6 2 3 2" xfId="12023"/>
    <cellStyle name="Normal 4 10 6 2 3 2 2" xfId="28473"/>
    <cellStyle name="Normal 4 10 6 2 3 3" xfId="20248"/>
    <cellStyle name="Normal 4 10 6 2 3 4" xfId="36702"/>
    <cellStyle name="Normal 4 10 6 2 4" xfId="5443"/>
    <cellStyle name="Normal 4 10 6 2 4 2" xfId="13668"/>
    <cellStyle name="Normal 4 10 6 2 4 2 2" xfId="30118"/>
    <cellStyle name="Normal 4 10 6 2 4 3" xfId="21893"/>
    <cellStyle name="Normal 4 10 6 2 4 4" xfId="38347"/>
    <cellStyle name="Normal 4 10 6 2 5" xfId="7088"/>
    <cellStyle name="Normal 4 10 6 2 5 2" xfId="15313"/>
    <cellStyle name="Normal 4 10 6 2 5 2 2" xfId="31763"/>
    <cellStyle name="Normal 4 10 6 2 5 3" xfId="23538"/>
    <cellStyle name="Normal 4 10 6 2 5 4" xfId="39992"/>
    <cellStyle name="Normal 4 10 6 2 6" xfId="8733"/>
    <cellStyle name="Normal 4 10 6 2 6 2" xfId="25183"/>
    <cellStyle name="Normal 4 10 6 2 7" xfId="16957"/>
    <cellStyle name="Normal 4 10 6 2 8" xfId="33411"/>
    <cellStyle name="Normal 4 10 6 2 9" xfId="41638"/>
    <cellStyle name="Normal 4 10 6 3" xfId="693"/>
    <cellStyle name="Normal 4 10 6 3 2" xfId="2388"/>
    <cellStyle name="Normal 4 10 6 3 2 2" xfId="10613"/>
    <cellStyle name="Normal 4 10 6 3 2 2 2" xfId="27063"/>
    <cellStyle name="Normal 4 10 6 3 2 3" xfId="18838"/>
    <cellStyle name="Normal 4 10 6 3 2 4" xfId="35292"/>
    <cellStyle name="Normal 4 10 6 3 3" xfId="4033"/>
    <cellStyle name="Normal 4 10 6 3 3 2" xfId="12258"/>
    <cellStyle name="Normal 4 10 6 3 3 2 2" xfId="28708"/>
    <cellStyle name="Normal 4 10 6 3 3 3" xfId="20483"/>
    <cellStyle name="Normal 4 10 6 3 3 4" xfId="36937"/>
    <cellStyle name="Normal 4 10 6 3 4" xfId="5678"/>
    <cellStyle name="Normal 4 10 6 3 4 2" xfId="13903"/>
    <cellStyle name="Normal 4 10 6 3 4 2 2" xfId="30353"/>
    <cellStyle name="Normal 4 10 6 3 4 3" xfId="22128"/>
    <cellStyle name="Normal 4 10 6 3 4 4" xfId="38582"/>
    <cellStyle name="Normal 4 10 6 3 5" xfId="7323"/>
    <cellStyle name="Normal 4 10 6 3 5 2" xfId="15548"/>
    <cellStyle name="Normal 4 10 6 3 5 2 2" xfId="31998"/>
    <cellStyle name="Normal 4 10 6 3 5 3" xfId="23773"/>
    <cellStyle name="Normal 4 10 6 3 5 4" xfId="40227"/>
    <cellStyle name="Normal 4 10 6 3 6" xfId="8968"/>
    <cellStyle name="Normal 4 10 6 3 6 2" xfId="25418"/>
    <cellStyle name="Normal 4 10 6 3 7" xfId="17192"/>
    <cellStyle name="Normal 4 10 6 3 8" xfId="33646"/>
    <cellStyle name="Normal 4 10 6 3 9" xfId="41873"/>
    <cellStyle name="Normal 4 10 6 4" xfId="928"/>
    <cellStyle name="Normal 4 10 6 4 2" xfId="2623"/>
    <cellStyle name="Normal 4 10 6 4 2 2" xfId="10848"/>
    <cellStyle name="Normal 4 10 6 4 2 2 2" xfId="27298"/>
    <cellStyle name="Normal 4 10 6 4 2 3" xfId="19073"/>
    <cellStyle name="Normal 4 10 6 4 2 4" xfId="35527"/>
    <cellStyle name="Normal 4 10 6 4 3" xfId="4268"/>
    <cellStyle name="Normal 4 10 6 4 3 2" xfId="12493"/>
    <cellStyle name="Normal 4 10 6 4 3 2 2" xfId="28943"/>
    <cellStyle name="Normal 4 10 6 4 3 3" xfId="20718"/>
    <cellStyle name="Normal 4 10 6 4 3 4" xfId="37172"/>
    <cellStyle name="Normal 4 10 6 4 4" xfId="5913"/>
    <cellStyle name="Normal 4 10 6 4 4 2" xfId="14138"/>
    <cellStyle name="Normal 4 10 6 4 4 2 2" xfId="30588"/>
    <cellStyle name="Normal 4 10 6 4 4 3" xfId="22363"/>
    <cellStyle name="Normal 4 10 6 4 4 4" xfId="38817"/>
    <cellStyle name="Normal 4 10 6 4 5" xfId="7558"/>
    <cellStyle name="Normal 4 10 6 4 5 2" xfId="15783"/>
    <cellStyle name="Normal 4 10 6 4 5 2 2" xfId="32233"/>
    <cellStyle name="Normal 4 10 6 4 5 3" xfId="24008"/>
    <cellStyle name="Normal 4 10 6 4 5 4" xfId="40462"/>
    <cellStyle name="Normal 4 10 6 4 6" xfId="9203"/>
    <cellStyle name="Normal 4 10 6 4 6 2" xfId="25653"/>
    <cellStyle name="Normal 4 10 6 4 7" xfId="17427"/>
    <cellStyle name="Normal 4 10 6 4 8" xfId="33881"/>
    <cellStyle name="Normal 4 10 6 4 9" xfId="42108"/>
    <cellStyle name="Normal 4 10 6 5" xfId="1163"/>
    <cellStyle name="Normal 4 10 6 5 2" xfId="2858"/>
    <cellStyle name="Normal 4 10 6 5 2 2" xfId="11083"/>
    <cellStyle name="Normal 4 10 6 5 2 2 2" xfId="27533"/>
    <cellStyle name="Normal 4 10 6 5 2 3" xfId="19308"/>
    <cellStyle name="Normal 4 10 6 5 2 4" xfId="35762"/>
    <cellStyle name="Normal 4 10 6 5 3" xfId="4503"/>
    <cellStyle name="Normal 4 10 6 5 3 2" xfId="12728"/>
    <cellStyle name="Normal 4 10 6 5 3 2 2" xfId="29178"/>
    <cellStyle name="Normal 4 10 6 5 3 3" xfId="20953"/>
    <cellStyle name="Normal 4 10 6 5 3 4" xfId="37407"/>
    <cellStyle name="Normal 4 10 6 5 4" xfId="6148"/>
    <cellStyle name="Normal 4 10 6 5 4 2" xfId="14373"/>
    <cellStyle name="Normal 4 10 6 5 4 2 2" xfId="30823"/>
    <cellStyle name="Normal 4 10 6 5 4 3" xfId="22598"/>
    <cellStyle name="Normal 4 10 6 5 4 4" xfId="39052"/>
    <cellStyle name="Normal 4 10 6 5 5" xfId="7793"/>
    <cellStyle name="Normal 4 10 6 5 5 2" xfId="16018"/>
    <cellStyle name="Normal 4 10 6 5 5 2 2" xfId="32468"/>
    <cellStyle name="Normal 4 10 6 5 5 3" xfId="24243"/>
    <cellStyle name="Normal 4 10 6 5 5 4" xfId="40697"/>
    <cellStyle name="Normal 4 10 6 5 6" xfId="9438"/>
    <cellStyle name="Normal 4 10 6 5 6 2" xfId="25888"/>
    <cellStyle name="Normal 4 10 6 5 7" xfId="17662"/>
    <cellStyle name="Normal 4 10 6 5 8" xfId="34116"/>
    <cellStyle name="Normal 4 10 6 5 9" xfId="42343"/>
    <cellStyle name="Normal 4 10 6 6" xfId="1443"/>
    <cellStyle name="Normal 4 10 6 6 2" xfId="3093"/>
    <cellStyle name="Normal 4 10 6 6 2 2" xfId="11318"/>
    <cellStyle name="Normal 4 10 6 6 2 2 2" xfId="27768"/>
    <cellStyle name="Normal 4 10 6 6 2 3" xfId="19543"/>
    <cellStyle name="Normal 4 10 6 6 2 4" xfId="35997"/>
    <cellStyle name="Normal 4 10 6 6 3" xfId="4738"/>
    <cellStyle name="Normal 4 10 6 6 3 2" xfId="12963"/>
    <cellStyle name="Normal 4 10 6 6 3 2 2" xfId="29413"/>
    <cellStyle name="Normal 4 10 6 6 3 3" xfId="21188"/>
    <cellStyle name="Normal 4 10 6 6 3 4" xfId="37642"/>
    <cellStyle name="Normal 4 10 6 6 4" xfId="6383"/>
    <cellStyle name="Normal 4 10 6 6 4 2" xfId="14608"/>
    <cellStyle name="Normal 4 10 6 6 4 2 2" xfId="31058"/>
    <cellStyle name="Normal 4 10 6 6 4 3" xfId="22833"/>
    <cellStyle name="Normal 4 10 6 6 4 4" xfId="39287"/>
    <cellStyle name="Normal 4 10 6 6 5" xfId="8028"/>
    <cellStyle name="Normal 4 10 6 6 5 2" xfId="16253"/>
    <cellStyle name="Normal 4 10 6 6 5 2 2" xfId="32703"/>
    <cellStyle name="Normal 4 10 6 6 5 3" xfId="24478"/>
    <cellStyle name="Normal 4 10 6 6 5 4" xfId="40932"/>
    <cellStyle name="Normal 4 10 6 6 6" xfId="9673"/>
    <cellStyle name="Normal 4 10 6 6 6 2" xfId="26123"/>
    <cellStyle name="Normal 4 10 6 6 7" xfId="17897"/>
    <cellStyle name="Normal 4 10 6 6 8" xfId="34351"/>
    <cellStyle name="Normal 4 10 6 7" xfId="1678"/>
    <cellStyle name="Normal 4 10 6 7 2" xfId="3328"/>
    <cellStyle name="Normal 4 10 6 7 2 2" xfId="11553"/>
    <cellStyle name="Normal 4 10 6 7 2 2 2" xfId="28003"/>
    <cellStyle name="Normal 4 10 6 7 2 3" xfId="19778"/>
    <cellStyle name="Normal 4 10 6 7 2 4" xfId="36232"/>
    <cellStyle name="Normal 4 10 6 7 3" xfId="4973"/>
    <cellStyle name="Normal 4 10 6 7 3 2" xfId="13198"/>
    <cellStyle name="Normal 4 10 6 7 3 2 2" xfId="29648"/>
    <cellStyle name="Normal 4 10 6 7 3 3" xfId="21423"/>
    <cellStyle name="Normal 4 10 6 7 3 4" xfId="37877"/>
    <cellStyle name="Normal 4 10 6 7 4" xfId="6618"/>
    <cellStyle name="Normal 4 10 6 7 4 2" xfId="14843"/>
    <cellStyle name="Normal 4 10 6 7 4 2 2" xfId="31293"/>
    <cellStyle name="Normal 4 10 6 7 4 3" xfId="23068"/>
    <cellStyle name="Normal 4 10 6 7 4 4" xfId="39522"/>
    <cellStyle name="Normal 4 10 6 7 5" xfId="8263"/>
    <cellStyle name="Normal 4 10 6 7 5 2" xfId="16488"/>
    <cellStyle name="Normal 4 10 6 7 5 2 2" xfId="32938"/>
    <cellStyle name="Normal 4 10 6 7 5 3" xfId="24713"/>
    <cellStyle name="Normal 4 10 6 7 5 4" xfId="41167"/>
    <cellStyle name="Normal 4 10 6 7 6" xfId="9908"/>
    <cellStyle name="Normal 4 10 6 7 6 2" xfId="26358"/>
    <cellStyle name="Normal 4 10 6 7 7" xfId="18132"/>
    <cellStyle name="Normal 4 10 6 7 8" xfId="34586"/>
    <cellStyle name="Normal 4 10 6 8" xfId="1913"/>
    <cellStyle name="Normal 4 10 6 8 2" xfId="10143"/>
    <cellStyle name="Normal 4 10 6 8 2 2" xfId="26593"/>
    <cellStyle name="Normal 4 10 6 8 3" xfId="18367"/>
    <cellStyle name="Normal 4 10 6 8 4" xfId="34821"/>
    <cellStyle name="Normal 4 10 6 9" xfId="3563"/>
    <cellStyle name="Normal 4 10 6 9 2" xfId="11788"/>
    <cellStyle name="Normal 4 10 6 9 2 2" xfId="28238"/>
    <cellStyle name="Normal 4 10 6 9 3" xfId="20013"/>
    <cellStyle name="Normal 4 10 6 9 4" xfId="36467"/>
    <cellStyle name="Normal 4 10 7" xfId="238"/>
    <cellStyle name="Normal 4 10 7 10" xfId="5235"/>
    <cellStyle name="Normal 4 10 7 10 2" xfId="13460"/>
    <cellStyle name="Normal 4 10 7 10 2 2" xfId="29910"/>
    <cellStyle name="Normal 4 10 7 10 3" xfId="21685"/>
    <cellStyle name="Normal 4 10 7 10 4" xfId="38139"/>
    <cellStyle name="Normal 4 10 7 11" xfId="6880"/>
    <cellStyle name="Normal 4 10 7 11 2" xfId="15105"/>
    <cellStyle name="Normal 4 10 7 11 2 2" xfId="31555"/>
    <cellStyle name="Normal 4 10 7 11 3" xfId="23330"/>
    <cellStyle name="Normal 4 10 7 11 4" xfId="39784"/>
    <cellStyle name="Normal 4 10 7 12" xfId="8525"/>
    <cellStyle name="Normal 4 10 7 12 2" xfId="24975"/>
    <cellStyle name="Normal 4 10 7 13" xfId="16749"/>
    <cellStyle name="Normal 4 10 7 14" xfId="33202"/>
    <cellStyle name="Normal 4 10 7 15" xfId="41430"/>
    <cellStyle name="Normal 4 10 7 2" xfId="481"/>
    <cellStyle name="Normal 4 10 7 2 2" xfId="2178"/>
    <cellStyle name="Normal 4 10 7 2 2 2" xfId="10405"/>
    <cellStyle name="Normal 4 10 7 2 2 2 2" xfId="26855"/>
    <cellStyle name="Normal 4 10 7 2 2 3" xfId="18630"/>
    <cellStyle name="Normal 4 10 7 2 2 4" xfId="35084"/>
    <cellStyle name="Normal 4 10 7 2 3" xfId="3825"/>
    <cellStyle name="Normal 4 10 7 2 3 2" xfId="12050"/>
    <cellStyle name="Normal 4 10 7 2 3 2 2" xfId="28500"/>
    <cellStyle name="Normal 4 10 7 2 3 3" xfId="20275"/>
    <cellStyle name="Normal 4 10 7 2 3 4" xfId="36729"/>
    <cellStyle name="Normal 4 10 7 2 4" xfId="5470"/>
    <cellStyle name="Normal 4 10 7 2 4 2" xfId="13695"/>
    <cellStyle name="Normal 4 10 7 2 4 2 2" xfId="30145"/>
    <cellStyle name="Normal 4 10 7 2 4 3" xfId="21920"/>
    <cellStyle name="Normal 4 10 7 2 4 4" xfId="38374"/>
    <cellStyle name="Normal 4 10 7 2 5" xfId="7115"/>
    <cellStyle name="Normal 4 10 7 2 5 2" xfId="15340"/>
    <cellStyle name="Normal 4 10 7 2 5 2 2" xfId="31790"/>
    <cellStyle name="Normal 4 10 7 2 5 3" xfId="23565"/>
    <cellStyle name="Normal 4 10 7 2 5 4" xfId="40019"/>
    <cellStyle name="Normal 4 10 7 2 6" xfId="8760"/>
    <cellStyle name="Normal 4 10 7 2 6 2" xfId="25210"/>
    <cellStyle name="Normal 4 10 7 2 7" xfId="16984"/>
    <cellStyle name="Normal 4 10 7 2 8" xfId="33438"/>
    <cellStyle name="Normal 4 10 7 2 9" xfId="41665"/>
    <cellStyle name="Normal 4 10 7 3" xfId="720"/>
    <cellStyle name="Normal 4 10 7 3 2" xfId="2415"/>
    <cellStyle name="Normal 4 10 7 3 2 2" xfId="10640"/>
    <cellStyle name="Normal 4 10 7 3 2 2 2" xfId="27090"/>
    <cellStyle name="Normal 4 10 7 3 2 3" xfId="18865"/>
    <cellStyle name="Normal 4 10 7 3 2 4" xfId="35319"/>
    <cellStyle name="Normal 4 10 7 3 3" xfId="4060"/>
    <cellStyle name="Normal 4 10 7 3 3 2" xfId="12285"/>
    <cellStyle name="Normal 4 10 7 3 3 2 2" xfId="28735"/>
    <cellStyle name="Normal 4 10 7 3 3 3" xfId="20510"/>
    <cellStyle name="Normal 4 10 7 3 3 4" xfId="36964"/>
    <cellStyle name="Normal 4 10 7 3 4" xfId="5705"/>
    <cellStyle name="Normal 4 10 7 3 4 2" xfId="13930"/>
    <cellStyle name="Normal 4 10 7 3 4 2 2" xfId="30380"/>
    <cellStyle name="Normal 4 10 7 3 4 3" xfId="22155"/>
    <cellStyle name="Normal 4 10 7 3 4 4" xfId="38609"/>
    <cellStyle name="Normal 4 10 7 3 5" xfId="7350"/>
    <cellStyle name="Normal 4 10 7 3 5 2" xfId="15575"/>
    <cellStyle name="Normal 4 10 7 3 5 2 2" xfId="32025"/>
    <cellStyle name="Normal 4 10 7 3 5 3" xfId="23800"/>
    <cellStyle name="Normal 4 10 7 3 5 4" xfId="40254"/>
    <cellStyle name="Normal 4 10 7 3 6" xfId="8995"/>
    <cellStyle name="Normal 4 10 7 3 6 2" xfId="25445"/>
    <cellStyle name="Normal 4 10 7 3 7" xfId="17219"/>
    <cellStyle name="Normal 4 10 7 3 8" xfId="33673"/>
    <cellStyle name="Normal 4 10 7 3 9" xfId="41900"/>
    <cellStyle name="Normal 4 10 7 4" xfId="955"/>
    <cellStyle name="Normal 4 10 7 4 2" xfId="2650"/>
    <cellStyle name="Normal 4 10 7 4 2 2" xfId="10875"/>
    <cellStyle name="Normal 4 10 7 4 2 2 2" xfId="27325"/>
    <cellStyle name="Normal 4 10 7 4 2 3" xfId="19100"/>
    <cellStyle name="Normal 4 10 7 4 2 4" xfId="35554"/>
    <cellStyle name="Normal 4 10 7 4 3" xfId="4295"/>
    <cellStyle name="Normal 4 10 7 4 3 2" xfId="12520"/>
    <cellStyle name="Normal 4 10 7 4 3 2 2" xfId="28970"/>
    <cellStyle name="Normal 4 10 7 4 3 3" xfId="20745"/>
    <cellStyle name="Normal 4 10 7 4 3 4" xfId="37199"/>
    <cellStyle name="Normal 4 10 7 4 4" xfId="5940"/>
    <cellStyle name="Normal 4 10 7 4 4 2" xfId="14165"/>
    <cellStyle name="Normal 4 10 7 4 4 2 2" xfId="30615"/>
    <cellStyle name="Normal 4 10 7 4 4 3" xfId="22390"/>
    <cellStyle name="Normal 4 10 7 4 4 4" xfId="38844"/>
    <cellStyle name="Normal 4 10 7 4 5" xfId="7585"/>
    <cellStyle name="Normal 4 10 7 4 5 2" xfId="15810"/>
    <cellStyle name="Normal 4 10 7 4 5 2 2" xfId="32260"/>
    <cellStyle name="Normal 4 10 7 4 5 3" xfId="24035"/>
    <cellStyle name="Normal 4 10 7 4 5 4" xfId="40489"/>
    <cellStyle name="Normal 4 10 7 4 6" xfId="9230"/>
    <cellStyle name="Normal 4 10 7 4 6 2" xfId="25680"/>
    <cellStyle name="Normal 4 10 7 4 7" xfId="17454"/>
    <cellStyle name="Normal 4 10 7 4 8" xfId="33908"/>
    <cellStyle name="Normal 4 10 7 4 9" xfId="42135"/>
    <cellStyle name="Normal 4 10 7 5" xfId="1190"/>
    <cellStyle name="Normal 4 10 7 5 2" xfId="2885"/>
    <cellStyle name="Normal 4 10 7 5 2 2" xfId="11110"/>
    <cellStyle name="Normal 4 10 7 5 2 2 2" xfId="27560"/>
    <cellStyle name="Normal 4 10 7 5 2 3" xfId="19335"/>
    <cellStyle name="Normal 4 10 7 5 2 4" xfId="35789"/>
    <cellStyle name="Normal 4 10 7 5 3" xfId="4530"/>
    <cellStyle name="Normal 4 10 7 5 3 2" xfId="12755"/>
    <cellStyle name="Normal 4 10 7 5 3 2 2" xfId="29205"/>
    <cellStyle name="Normal 4 10 7 5 3 3" xfId="20980"/>
    <cellStyle name="Normal 4 10 7 5 3 4" xfId="37434"/>
    <cellStyle name="Normal 4 10 7 5 4" xfId="6175"/>
    <cellStyle name="Normal 4 10 7 5 4 2" xfId="14400"/>
    <cellStyle name="Normal 4 10 7 5 4 2 2" xfId="30850"/>
    <cellStyle name="Normal 4 10 7 5 4 3" xfId="22625"/>
    <cellStyle name="Normal 4 10 7 5 4 4" xfId="39079"/>
    <cellStyle name="Normal 4 10 7 5 5" xfId="7820"/>
    <cellStyle name="Normal 4 10 7 5 5 2" xfId="16045"/>
    <cellStyle name="Normal 4 10 7 5 5 2 2" xfId="32495"/>
    <cellStyle name="Normal 4 10 7 5 5 3" xfId="24270"/>
    <cellStyle name="Normal 4 10 7 5 5 4" xfId="40724"/>
    <cellStyle name="Normal 4 10 7 5 6" xfId="9465"/>
    <cellStyle name="Normal 4 10 7 5 6 2" xfId="25915"/>
    <cellStyle name="Normal 4 10 7 5 7" xfId="17689"/>
    <cellStyle name="Normal 4 10 7 5 8" xfId="34143"/>
    <cellStyle name="Normal 4 10 7 5 9" xfId="42370"/>
    <cellStyle name="Normal 4 10 7 6" xfId="1470"/>
    <cellStyle name="Normal 4 10 7 6 2" xfId="3120"/>
    <cellStyle name="Normal 4 10 7 6 2 2" xfId="11345"/>
    <cellStyle name="Normal 4 10 7 6 2 2 2" xfId="27795"/>
    <cellStyle name="Normal 4 10 7 6 2 3" xfId="19570"/>
    <cellStyle name="Normal 4 10 7 6 2 4" xfId="36024"/>
    <cellStyle name="Normal 4 10 7 6 3" xfId="4765"/>
    <cellStyle name="Normal 4 10 7 6 3 2" xfId="12990"/>
    <cellStyle name="Normal 4 10 7 6 3 2 2" xfId="29440"/>
    <cellStyle name="Normal 4 10 7 6 3 3" xfId="21215"/>
    <cellStyle name="Normal 4 10 7 6 3 4" xfId="37669"/>
    <cellStyle name="Normal 4 10 7 6 4" xfId="6410"/>
    <cellStyle name="Normal 4 10 7 6 4 2" xfId="14635"/>
    <cellStyle name="Normal 4 10 7 6 4 2 2" xfId="31085"/>
    <cellStyle name="Normal 4 10 7 6 4 3" xfId="22860"/>
    <cellStyle name="Normal 4 10 7 6 4 4" xfId="39314"/>
    <cellStyle name="Normal 4 10 7 6 5" xfId="8055"/>
    <cellStyle name="Normal 4 10 7 6 5 2" xfId="16280"/>
    <cellStyle name="Normal 4 10 7 6 5 2 2" xfId="32730"/>
    <cellStyle name="Normal 4 10 7 6 5 3" xfId="24505"/>
    <cellStyle name="Normal 4 10 7 6 5 4" xfId="40959"/>
    <cellStyle name="Normal 4 10 7 6 6" xfId="9700"/>
    <cellStyle name="Normal 4 10 7 6 6 2" xfId="26150"/>
    <cellStyle name="Normal 4 10 7 6 7" xfId="17924"/>
    <cellStyle name="Normal 4 10 7 6 8" xfId="34378"/>
    <cellStyle name="Normal 4 10 7 7" xfId="1705"/>
    <cellStyle name="Normal 4 10 7 7 2" xfId="3355"/>
    <cellStyle name="Normal 4 10 7 7 2 2" xfId="11580"/>
    <cellStyle name="Normal 4 10 7 7 2 2 2" xfId="28030"/>
    <cellStyle name="Normal 4 10 7 7 2 3" xfId="19805"/>
    <cellStyle name="Normal 4 10 7 7 2 4" xfId="36259"/>
    <cellStyle name="Normal 4 10 7 7 3" xfId="5000"/>
    <cellStyle name="Normal 4 10 7 7 3 2" xfId="13225"/>
    <cellStyle name="Normal 4 10 7 7 3 2 2" xfId="29675"/>
    <cellStyle name="Normal 4 10 7 7 3 3" xfId="21450"/>
    <cellStyle name="Normal 4 10 7 7 3 4" xfId="37904"/>
    <cellStyle name="Normal 4 10 7 7 4" xfId="6645"/>
    <cellStyle name="Normal 4 10 7 7 4 2" xfId="14870"/>
    <cellStyle name="Normal 4 10 7 7 4 2 2" xfId="31320"/>
    <cellStyle name="Normal 4 10 7 7 4 3" xfId="23095"/>
    <cellStyle name="Normal 4 10 7 7 4 4" xfId="39549"/>
    <cellStyle name="Normal 4 10 7 7 5" xfId="8290"/>
    <cellStyle name="Normal 4 10 7 7 5 2" xfId="16515"/>
    <cellStyle name="Normal 4 10 7 7 5 2 2" xfId="32965"/>
    <cellStyle name="Normal 4 10 7 7 5 3" xfId="24740"/>
    <cellStyle name="Normal 4 10 7 7 5 4" xfId="41194"/>
    <cellStyle name="Normal 4 10 7 7 6" xfId="9935"/>
    <cellStyle name="Normal 4 10 7 7 6 2" xfId="26385"/>
    <cellStyle name="Normal 4 10 7 7 7" xfId="18159"/>
    <cellStyle name="Normal 4 10 7 7 8" xfId="34613"/>
    <cellStyle name="Normal 4 10 7 8" xfId="1940"/>
    <cellStyle name="Normal 4 10 7 8 2" xfId="10170"/>
    <cellStyle name="Normal 4 10 7 8 2 2" xfId="26620"/>
    <cellStyle name="Normal 4 10 7 8 3" xfId="18394"/>
    <cellStyle name="Normal 4 10 7 8 4" xfId="34848"/>
    <cellStyle name="Normal 4 10 7 9" xfId="3590"/>
    <cellStyle name="Normal 4 10 7 9 2" xfId="11815"/>
    <cellStyle name="Normal 4 10 7 9 2 2" xfId="28265"/>
    <cellStyle name="Normal 4 10 7 9 3" xfId="20040"/>
    <cellStyle name="Normal 4 10 7 9 4" xfId="36494"/>
    <cellStyle name="Normal 4 10 8" xfId="267"/>
    <cellStyle name="Normal 4 10 8 10" xfId="5262"/>
    <cellStyle name="Normal 4 10 8 10 2" xfId="13487"/>
    <cellStyle name="Normal 4 10 8 10 2 2" xfId="29937"/>
    <cellStyle name="Normal 4 10 8 10 3" xfId="21712"/>
    <cellStyle name="Normal 4 10 8 10 4" xfId="38166"/>
    <cellStyle name="Normal 4 10 8 11" xfId="6907"/>
    <cellStyle name="Normal 4 10 8 11 2" xfId="15132"/>
    <cellStyle name="Normal 4 10 8 11 2 2" xfId="31582"/>
    <cellStyle name="Normal 4 10 8 11 3" xfId="23357"/>
    <cellStyle name="Normal 4 10 8 11 4" xfId="39811"/>
    <cellStyle name="Normal 4 10 8 12" xfId="8552"/>
    <cellStyle name="Normal 4 10 8 12 2" xfId="25002"/>
    <cellStyle name="Normal 4 10 8 13" xfId="16776"/>
    <cellStyle name="Normal 4 10 8 14" xfId="33229"/>
    <cellStyle name="Normal 4 10 8 15" xfId="41457"/>
    <cellStyle name="Normal 4 10 8 2" xfId="510"/>
    <cellStyle name="Normal 4 10 8 2 2" xfId="2205"/>
    <cellStyle name="Normal 4 10 8 2 2 2" xfId="10432"/>
    <cellStyle name="Normal 4 10 8 2 2 2 2" xfId="26882"/>
    <cellStyle name="Normal 4 10 8 2 2 3" xfId="18657"/>
    <cellStyle name="Normal 4 10 8 2 2 4" xfId="35111"/>
    <cellStyle name="Normal 4 10 8 2 3" xfId="3852"/>
    <cellStyle name="Normal 4 10 8 2 3 2" xfId="12077"/>
    <cellStyle name="Normal 4 10 8 2 3 2 2" xfId="28527"/>
    <cellStyle name="Normal 4 10 8 2 3 3" xfId="20302"/>
    <cellStyle name="Normal 4 10 8 2 3 4" xfId="36756"/>
    <cellStyle name="Normal 4 10 8 2 4" xfId="5497"/>
    <cellStyle name="Normal 4 10 8 2 4 2" xfId="13722"/>
    <cellStyle name="Normal 4 10 8 2 4 2 2" xfId="30172"/>
    <cellStyle name="Normal 4 10 8 2 4 3" xfId="21947"/>
    <cellStyle name="Normal 4 10 8 2 4 4" xfId="38401"/>
    <cellStyle name="Normal 4 10 8 2 5" xfId="7142"/>
    <cellStyle name="Normal 4 10 8 2 5 2" xfId="15367"/>
    <cellStyle name="Normal 4 10 8 2 5 2 2" xfId="31817"/>
    <cellStyle name="Normal 4 10 8 2 5 3" xfId="23592"/>
    <cellStyle name="Normal 4 10 8 2 5 4" xfId="40046"/>
    <cellStyle name="Normal 4 10 8 2 6" xfId="8787"/>
    <cellStyle name="Normal 4 10 8 2 6 2" xfId="25237"/>
    <cellStyle name="Normal 4 10 8 2 7" xfId="17011"/>
    <cellStyle name="Normal 4 10 8 2 8" xfId="33465"/>
    <cellStyle name="Normal 4 10 8 2 9" xfId="41692"/>
    <cellStyle name="Normal 4 10 8 3" xfId="747"/>
    <cellStyle name="Normal 4 10 8 3 2" xfId="2442"/>
    <cellStyle name="Normal 4 10 8 3 2 2" xfId="10667"/>
    <cellStyle name="Normal 4 10 8 3 2 2 2" xfId="27117"/>
    <cellStyle name="Normal 4 10 8 3 2 3" xfId="18892"/>
    <cellStyle name="Normal 4 10 8 3 2 4" xfId="35346"/>
    <cellStyle name="Normal 4 10 8 3 3" xfId="4087"/>
    <cellStyle name="Normal 4 10 8 3 3 2" xfId="12312"/>
    <cellStyle name="Normal 4 10 8 3 3 2 2" xfId="28762"/>
    <cellStyle name="Normal 4 10 8 3 3 3" xfId="20537"/>
    <cellStyle name="Normal 4 10 8 3 3 4" xfId="36991"/>
    <cellStyle name="Normal 4 10 8 3 4" xfId="5732"/>
    <cellStyle name="Normal 4 10 8 3 4 2" xfId="13957"/>
    <cellStyle name="Normal 4 10 8 3 4 2 2" xfId="30407"/>
    <cellStyle name="Normal 4 10 8 3 4 3" xfId="22182"/>
    <cellStyle name="Normal 4 10 8 3 4 4" xfId="38636"/>
    <cellStyle name="Normal 4 10 8 3 5" xfId="7377"/>
    <cellStyle name="Normal 4 10 8 3 5 2" xfId="15602"/>
    <cellStyle name="Normal 4 10 8 3 5 2 2" xfId="32052"/>
    <cellStyle name="Normal 4 10 8 3 5 3" xfId="23827"/>
    <cellStyle name="Normal 4 10 8 3 5 4" xfId="40281"/>
    <cellStyle name="Normal 4 10 8 3 6" xfId="9022"/>
    <cellStyle name="Normal 4 10 8 3 6 2" xfId="25472"/>
    <cellStyle name="Normal 4 10 8 3 7" xfId="17246"/>
    <cellStyle name="Normal 4 10 8 3 8" xfId="33700"/>
    <cellStyle name="Normal 4 10 8 3 9" xfId="41927"/>
    <cellStyle name="Normal 4 10 8 4" xfId="982"/>
    <cellStyle name="Normal 4 10 8 4 2" xfId="2677"/>
    <cellStyle name="Normal 4 10 8 4 2 2" xfId="10902"/>
    <cellStyle name="Normal 4 10 8 4 2 2 2" xfId="27352"/>
    <cellStyle name="Normal 4 10 8 4 2 3" xfId="19127"/>
    <cellStyle name="Normal 4 10 8 4 2 4" xfId="35581"/>
    <cellStyle name="Normal 4 10 8 4 3" xfId="4322"/>
    <cellStyle name="Normal 4 10 8 4 3 2" xfId="12547"/>
    <cellStyle name="Normal 4 10 8 4 3 2 2" xfId="28997"/>
    <cellStyle name="Normal 4 10 8 4 3 3" xfId="20772"/>
    <cellStyle name="Normal 4 10 8 4 3 4" xfId="37226"/>
    <cellStyle name="Normal 4 10 8 4 4" xfId="5967"/>
    <cellStyle name="Normal 4 10 8 4 4 2" xfId="14192"/>
    <cellStyle name="Normal 4 10 8 4 4 2 2" xfId="30642"/>
    <cellStyle name="Normal 4 10 8 4 4 3" xfId="22417"/>
    <cellStyle name="Normal 4 10 8 4 4 4" xfId="38871"/>
    <cellStyle name="Normal 4 10 8 4 5" xfId="7612"/>
    <cellStyle name="Normal 4 10 8 4 5 2" xfId="15837"/>
    <cellStyle name="Normal 4 10 8 4 5 2 2" xfId="32287"/>
    <cellStyle name="Normal 4 10 8 4 5 3" xfId="24062"/>
    <cellStyle name="Normal 4 10 8 4 5 4" xfId="40516"/>
    <cellStyle name="Normal 4 10 8 4 6" xfId="9257"/>
    <cellStyle name="Normal 4 10 8 4 6 2" xfId="25707"/>
    <cellStyle name="Normal 4 10 8 4 7" xfId="17481"/>
    <cellStyle name="Normal 4 10 8 4 8" xfId="33935"/>
    <cellStyle name="Normal 4 10 8 4 9" xfId="42162"/>
    <cellStyle name="Normal 4 10 8 5" xfId="1217"/>
    <cellStyle name="Normal 4 10 8 5 2" xfId="2912"/>
    <cellStyle name="Normal 4 10 8 5 2 2" xfId="11137"/>
    <cellStyle name="Normal 4 10 8 5 2 2 2" xfId="27587"/>
    <cellStyle name="Normal 4 10 8 5 2 3" xfId="19362"/>
    <cellStyle name="Normal 4 10 8 5 2 4" xfId="35816"/>
    <cellStyle name="Normal 4 10 8 5 3" xfId="4557"/>
    <cellStyle name="Normal 4 10 8 5 3 2" xfId="12782"/>
    <cellStyle name="Normal 4 10 8 5 3 2 2" xfId="29232"/>
    <cellStyle name="Normal 4 10 8 5 3 3" xfId="21007"/>
    <cellStyle name="Normal 4 10 8 5 3 4" xfId="37461"/>
    <cellStyle name="Normal 4 10 8 5 4" xfId="6202"/>
    <cellStyle name="Normal 4 10 8 5 4 2" xfId="14427"/>
    <cellStyle name="Normal 4 10 8 5 4 2 2" xfId="30877"/>
    <cellStyle name="Normal 4 10 8 5 4 3" xfId="22652"/>
    <cellStyle name="Normal 4 10 8 5 4 4" xfId="39106"/>
    <cellStyle name="Normal 4 10 8 5 5" xfId="7847"/>
    <cellStyle name="Normal 4 10 8 5 5 2" xfId="16072"/>
    <cellStyle name="Normal 4 10 8 5 5 2 2" xfId="32522"/>
    <cellStyle name="Normal 4 10 8 5 5 3" xfId="24297"/>
    <cellStyle name="Normal 4 10 8 5 5 4" xfId="40751"/>
    <cellStyle name="Normal 4 10 8 5 6" xfId="9492"/>
    <cellStyle name="Normal 4 10 8 5 6 2" xfId="25942"/>
    <cellStyle name="Normal 4 10 8 5 7" xfId="17716"/>
    <cellStyle name="Normal 4 10 8 5 8" xfId="34170"/>
    <cellStyle name="Normal 4 10 8 5 9" xfId="42397"/>
    <cellStyle name="Normal 4 10 8 6" xfId="1497"/>
    <cellStyle name="Normal 4 10 8 6 2" xfId="3147"/>
    <cellStyle name="Normal 4 10 8 6 2 2" xfId="11372"/>
    <cellStyle name="Normal 4 10 8 6 2 2 2" xfId="27822"/>
    <cellStyle name="Normal 4 10 8 6 2 3" xfId="19597"/>
    <cellStyle name="Normal 4 10 8 6 2 4" xfId="36051"/>
    <cellStyle name="Normal 4 10 8 6 3" xfId="4792"/>
    <cellStyle name="Normal 4 10 8 6 3 2" xfId="13017"/>
    <cellStyle name="Normal 4 10 8 6 3 2 2" xfId="29467"/>
    <cellStyle name="Normal 4 10 8 6 3 3" xfId="21242"/>
    <cellStyle name="Normal 4 10 8 6 3 4" xfId="37696"/>
    <cellStyle name="Normal 4 10 8 6 4" xfId="6437"/>
    <cellStyle name="Normal 4 10 8 6 4 2" xfId="14662"/>
    <cellStyle name="Normal 4 10 8 6 4 2 2" xfId="31112"/>
    <cellStyle name="Normal 4 10 8 6 4 3" xfId="22887"/>
    <cellStyle name="Normal 4 10 8 6 4 4" xfId="39341"/>
    <cellStyle name="Normal 4 10 8 6 5" xfId="8082"/>
    <cellStyle name="Normal 4 10 8 6 5 2" xfId="16307"/>
    <cellStyle name="Normal 4 10 8 6 5 2 2" xfId="32757"/>
    <cellStyle name="Normal 4 10 8 6 5 3" xfId="24532"/>
    <cellStyle name="Normal 4 10 8 6 5 4" xfId="40986"/>
    <cellStyle name="Normal 4 10 8 6 6" xfId="9727"/>
    <cellStyle name="Normal 4 10 8 6 6 2" xfId="26177"/>
    <cellStyle name="Normal 4 10 8 6 7" xfId="17951"/>
    <cellStyle name="Normal 4 10 8 6 8" xfId="34405"/>
    <cellStyle name="Normal 4 10 8 7" xfId="1732"/>
    <cellStyle name="Normal 4 10 8 7 2" xfId="3382"/>
    <cellStyle name="Normal 4 10 8 7 2 2" xfId="11607"/>
    <cellStyle name="Normal 4 10 8 7 2 2 2" xfId="28057"/>
    <cellStyle name="Normal 4 10 8 7 2 3" xfId="19832"/>
    <cellStyle name="Normal 4 10 8 7 2 4" xfId="36286"/>
    <cellStyle name="Normal 4 10 8 7 3" xfId="5027"/>
    <cellStyle name="Normal 4 10 8 7 3 2" xfId="13252"/>
    <cellStyle name="Normal 4 10 8 7 3 2 2" xfId="29702"/>
    <cellStyle name="Normal 4 10 8 7 3 3" xfId="21477"/>
    <cellStyle name="Normal 4 10 8 7 3 4" xfId="37931"/>
    <cellStyle name="Normal 4 10 8 7 4" xfId="6672"/>
    <cellStyle name="Normal 4 10 8 7 4 2" xfId="14897"/>
    <cellStyle name="Normal 4 10 8 7 4 2 2" xfId="31347"/>
    <cellStyle name="Normal 4 10 8 7 4 3" xfId="23122"/>
    <cellStyle name="Normal 4 10 8 7 4 4" xfId="39576"/>
    <cellStyle name="Normal 4 10 8 7 5" xfId="8317"/>
    <cellStyle name="Normal 4 10 8 7 5 2" xfId="16542"/>
    <cellStyle name="Normal 4 10 8 7 5 2 2" xfId="32992"/>
    <cellStyle name="Normal 4 10 8 7 5 3" xfId="24767"/>
    <cellStyle name="Normal 4 10 8 7 5 4" xfId="41221"/>
    <cellStyle name="Normal 4 10 8 7 6" xfId="9962"/>
    <cellStyle name="Normal 4 10 8 7 6 2" xfId="26412"/>
    <cellStyle name="Normal 4 10 8 7 7" xfId="18186"/>
    <cellStyle name="Normal 4 10 8 7 8" xfId="34640"/>
    <cellStyle name="Normal 4 10 8 8" xfId="1967"/>
    <cellStyle name="Normal 4 10 8 8 2" xfId="10197"/>
    <cellStyle name="Normal 4 10 8 8 2 2" xfId="26647"/>
    <cellStyle name="Normal 4 10 8 8 3" xfId="18421"/>
    <cellStyle name="Normal 4 10 8 8 4" xfId="34875"/>
    <cellStyle name="Normal 4 10 8 9" xfId="3617"/>
    <cellStyle name="Normal 4 10 8 9 2" xfId="11842"/>
    <cellStyle name="Normal 4 10 8 9 2 2" xfId="28292"/>
    <cellStyle name="Normal 4 10 8 9 3" xfId="20067"/>
    <cellStyle name="Normal 4 10 8 9 4" xfId="36521"/>
    <cellStyle name="Normal 4 10 9" xfId="296"/>
    <cellStyle name="Normal 4 10 9 2" xfId="1997"/>
    <cellStyle name="Normal 4 10 9 2 2" xfId="10224"/>
    <cellStyle name="Normal 4 10 9 2 2 2" xfId="26674"/>
    <cellStyle name="Normal 4 10 9 2 3" xfId="18449"/>
    <cellStyle name="Normal 4 10 9 2 4" xfId="34903"/>
    <cellStyle name="Normal 4 10 9 3" xfId="3644"/>
    <cellStyle name="Normal 4 10 9 3 2" xfId="11869"/>
    <cellStyle name="Normal 4 10 9 3 2 2" xfId="28319"/>
    <cellStyle name="Normal 4 10 9 3 3" xfId="20094"/>
    <cellStyle name="Normal 4 10 9 3 4" xfId="36548"/>
    <cellStyle name="Normal 4 10 9 4" xfId="5289"/>
    <cellStyle name="Normal 4 10 9 4 2" xfId="13514"/>
    <cellStyle name="Normal 4 10 9 4 2 2" xfId="29964"/>
    <cellStyle name="Normal 4 10 9 4 3" xfId="21739"/>
    <cellStyle name="Normal 4 10 9 4 4" xfId="38193"/>
    <cellStyle name="Normal 4 10 9 5" xfId="6934"/>
    <cellStyle name="Normal 4 10 9 5 2" xfId="15159"/>
    <cellStyle name="Normal 4 10 9 5 2 2" xfId="31609"/>
    <cellStyle name="Normal 4 10 9 5 3" xfId="23384"/>
    <cellStyle name="Normal 4 10 9 5 4" xfId="39838"/>
    <cellStyle name="Normal 4 10 9 6" xfId="8579"/>
    <cellStyle name="Normal 4 10 9 6 2" xfId="25029"/>
    <cellStyle name="Normal 4 10 9 7" xfId="16803"/>
    <cellStyle name="Normal 4 10 9 8" xfId="33257"/>
    <cellStyle name="Normal 4 10 9 9" xfId="41484"/>
    <cellStyle name="Normal 4 11" xfId="55"/>
    <cellStyle name="Normal 4 11 10" xfId="776"/>
    <cellStyle name="Normal 4 11 10 2" xfId="2471"/>
    <cellStyle name="Normal 4 11 10 2 2" xfId="10696"/>
    <cellStyle name="Normal 4 11 10 2 2 2" xfId="27146"/>
    <cellStyle name="Normal 4 11 10 2 3" xfId="18921"/>
    <cellStyle name="Normal 4 11 10 2 4" xfId="35375"/>
    <cellStyle name="Normal 4 11 10 3" xfId="4116"/>
    <cellStyle name="Normal 4 11 10 3 2" xfId="12341"/>
    <cellStyle name="Normal 4 11 10 3 2 2" xfId="28791"/>
    <cellStyle name="Normal 4 11 10 3 3" xfId="20566"/>
    <cellStyle name="Normal 4 11 10 3 4" xfId="37020"/>
    <cellStyle name="Normal 4 11 10 4" xfId="5761"/>
    <cellStyle name="Normal 4 11 10 4 2" xfId="13986"/>
    <cellStyle name="Normal 4 11 10 4 2 2" xfId="30436"/>
    <cellStyle name="Normal 4 11 10 4 3" xfId="22211"/>
    <cellStyle name="Normal 4 11 10 4 4" xfId="38665"/>
    <cellStyle name="Normal 4 11 10 5" xfId="7406"/>
    <cellStyle name="Normal 4 11 10 5 2" xfId="15631"/>
    <cellStyle name="Normal 4 11 10 5 2 2" xfId="32081"/>
    <cellStyle name="Normal 4 11 10 5 3" xfId="23856"/>
    <cellStyle name="Normal 4 11 10 5 4" xfId="40310"/>
    <cellStyle name="Normal 4 11 10 6" xfId="9051"/>
    <cellStyle name="Normal 4 11 10 6 2" xfId="25501"/>
    <cellStyle name="Normal 4 11 10 7" xfId="17275"/>
    <cellStyle name="Normal 4 11 10 8" xfId="33729"/>
    <cellStyle name="Normal 4 11 10 9" xfId="41956"/>
    <cellStyle name="Normal 4 11 11" xfId="1011"/>
    <cellStyle name="Normal 4 11 11 2" xfId="2706"/>
    <cellStyle name="Normal 4 11 11 2 2" xfId="10931"/>
    <cellStyle name="Normal 4 11 11 2 2 2" xfId="27381"/>
    <cellStyle name="Normal 4 11 11 2 3" xfId="19156"/>
    <cellStyle name="Normal 4 11 11 2 4" xfId="35610"/>
    <cellStyle name="Normal 4 11 11 3" xfId="4351"/>
    <cellStyle name="Normal 4 11 11 3 2" xfId="12576"/>
    <cellStyle name="Normal 4 11 11 3 2 2" xfId="29026"/>
    <cellStyle name="Normal 4 11 11 3 3" xfId="20801"/>
    <cellStyle name="Normal 4 11 11 3 4" xfId="37255"/>
    <cellStyle name="Normal 4 11 11 4" xfId="5996"/>
    <cellStyle name="Normal 4 11 11 4 2" xfId="14221"/>
    <cellStyle name="Normal 4 11 11 4 2 2" xfId="30671"/>
    <cellStyle name="Normal 4 11 11 4 3" xfId="22446"/>
    <cellStyle name="Normal 4 11 11 4 4" xfId="38900"/>
    <cellStyle name="Normal 4 11 11 5" xfId="7641"/>
    <cellStyle name="Normal 4 11 11 5 2" xfId="15866"/>
    <cellStyle name="Normal 4 11 11 5 2 2" xfId="32316"/>
    <cellStyle name="Normal 4 11 11 5 3" xfId="24091"/>
    <cellStyle name="Normal 4 11 11 5 4" xfId="40545"/>
    <cellStyle name="Normal 4 11 11 6" xfId="9286"/>
    <cellStyle name="Normal 4 11 11 6 2" xfId="25736"/>
    <cellStyle name="Normal 4 11 11 7" xfId="17510"/>
    <cellStyle name="Normal 4 11 11 8" xfId="33964"/>
    <cellStyle name="Normal 4 11 11 9" xfId="42191"/>
    <cellStyle name="Normal 4 11 12" xfId="1291"/>
    <cellStyle name="Normal 4 11 12 2" xfId="2941"/>
    <cellStyle name="Normal 4 11 12 2 2" xfId="11166"/>
    <cellStyle name="Normal 4 11 12 2 2 2" xfId="27616"/>
    <cellStyle name="Normal 4 11 12 2 3" xfId="19391"/>
    <cellStyle name="Normal 4 11 12 2 4" xfId="35845"/>
    <cellStyle name="Normal 4 11 12 3" xfId="4586"/>
    <cellStyle name="Normal 4 11 12 3 2" xfId="12811"/>
    <cellStyle name="Normal 4 11 12 3 2 2" xfId="29261"/>
    <cellStyle name="Normal 4 11 12 3 3" xfId="21036"/>
    <cellStyle name="Normal 4 11 12 3 4" xfId="37490"/>
    <cellStyle name="Normal 4 11 12 4" xfId="6231"/>
    <cellStyle name="Normal 4 11 12 4 2" xfId="14456"/>
    <cellStyle name="Normal 4 11 12 4 2 2" xfId="30906"/>
    <cellStyle name="Normal 4 11 12 4 3" xfId="22681"/>
    <cellStyle name="Normal 4 11 12 4 4" xfId="39135"/>
    <cellStyle name="Normal 4 11 12 5" xfId="7876"/>
    <cellStyle name="Normal 4 11 12 5 2" xfId="16101"/>
    <cellStyle name="Normal 4 11 12 5 2 2" xfId="32551"/>
    <cellStyle name="Normal 4 11 12 5 3" xfId="24326"/>
    <cellStyle name="Normal 4 11 12 5 4" xfId="40780"/>
    <cellStyle name="Normal 4 11 12 6" xfId="9521"/>
    <cellStyle name="Normal 4 11 12 6 2" xfId="25971"/>
    <cellStyle name="Normal 4 11 12 7" xfId="17745"/>
    <cellStyle name="Normal 4 11 12 8" xfId="34199"/>
    <cellStyle name="Normal 4 11 13" xfId="1526"/>
    <cellStyle name="Normal 4 11 13 2" xfId="3176"/>
    <cellStyle name="Normal 4 11 13 2 2" xfId="11401"/>
    <cellStyle name="Normal 4 11 13 2 2 2" xfId="27851"/>
    <cellStyle name="Normal 4 11 13 2 3" xfId="19626"/>
    <cellStyle name="Normal 4 11 13 2 4" xfId="36080"/>
    <cellStyle name="Normal 4 11 13 3" xfId="4821"/>
    <cellStyle name="Normal 4 11 13 3 2" xfId="13046"/>
    <cellStyle name="Normal 4 11 13 3 2 2" xfId="29496"/>
    <cellStyle name="Normal 4 11 13 3 3" xfId="21271"/>
    <cellStyle name="Normal 4 11 13 3 4" xfId="37725"/>
    <cellStyle name="Normal 4 11 13 4" xfId="6466"/>
    <cellStyle name="Normal 4 11 13 4 2" xfId="14691"/>
    <cellStyle name="Normal 4 11 13 4 2 2" xfId="31141"/>
    <cellStyle name="Normal 4 11 13 4 3" xfId="22916"/>
    <cellStyle name="Normal 4 11 13 4 4" xfId="39370"/>
    <cellStyle name="Normal 4 11 13 5" xfId="8111"/>
    <cellStyle name="Normal 4 11 13 5 2" xfId="16336"/>
    <cellStyle name="Normal 4 11 13 5 2 2" xfId="32786"/>
    <cellStyle name="Normal 4 11 13 5 3" xfId="24561"/>
    <cellStyle name="Normal 4 11 13 5 4" xfId="41015"/>
    <cellStyle name="Normal 4 11 13 6" xfId="9756"/>
    <cellStyle name="Normal 4 11 13 6 2" xfId="26206"/>
    <cellStyle name="Normal 4 11 13 7" xfId="17980"/>
    <cellStyle name="Normal 4 11 13 8" xfId="34434"/>
    <cellStyle name="Normal 4 11 14" xfId="1761"/>
    <cellStyle name="Normal 4 11 14 2" xfId="9991"/>
    <cellStyle name="Normal 4 11 14 2 2" xfId="26441"/>
    <cellStyle name="Normal 4 11 14 3" xfId="18215"/>
    <cellStyle name="Normal 4 11 14 4" xfId="34669"/>
    <cellStyle name="Normal 4 11 15" xfId="3411"/>
    <cellStyle name="Normal 4 11 15 2" xfId="11636"/>
    <cellStyle name="Normal 4 11 15 2 2" xfId="28086"/>
    <cellStyle name="Normal 4 11 15 3" xfId="19861"/>
    <cellStyle name="Normal 4 11 15 4" xfId="36315"/>
    <cellStyle name="Normal 4 11 16" xfId="5056"/>
    <cellStyle name="Normal 4 11 16 2" xfId="13281"/>
    <cellStyle name="Normal 4 11 16 2 2" xfId="29731"/>
    <cellStyle name="Normal 4 11 16 3" xfId="21506"/>
    <cellStyle name="Normal 4 11 16 4" xfId="37960"/>
    <cellStyle name="Normal 4 11 17" xfId="6701"/>
    <cellStyle name="Normal 4 11 17 2" xfId="14926"/>
    <cellStyle name="Normal 4 11 17 2 2" xfId="31376"/>
    <cellStyle name="Normal 4 11 17 3" xfId="23151"/>
    <cellStyle name="Normal 4 11 17 4" xfId="39605"/>
    <cellStyle name="Normal 4 11 18" xfId="8346"/>
    <cellStyle name="Normal 4 11 18 2" xfId="24796"/>
    <cellStyle name="Normal 4 11 19" xfId="16570"/>
    <cellStyle name="Normal 4 11 2" xfId="107"/>
    <cellStyle name="Normal 4 11 2 10" xfId="5106"/>
    <cellStyle name="Normal 4 11 2 10 2" xfId="13331"/>
    <cellStyle name="Normal 4 11 2 10 2 2" xfId="29781"/>
    <cellStyle name="Normal 4 11 2 10 3" xfId="21556"/>
    <cellStyle name="Normal 4 11 2 10 4" xfId="38010"/>
    <cellStyle name="Normal 4 11 2 11" xfId="6751"/>
    <cellStyle name="Normal 4 11 2 11 2" xfId="14976"/>
    <cellStyle name="Normal 4 11 2 11 2 2" xfId="31426"/>
    <cellStyle name="Normal 4 11 2 11 3" xfId="23201"/>
    <cellStyle name="Normal 4 11 2 11 4" xfId="39655"/>
    <cellStyle name="Normal 4 11 2 12" xfId="8396"/>
    <cellStyle name="Normal 4 11 2 12 2" xfId="24846"/>
    <cellStyle name="Normal 4 11 2 13" xfId="16620"/>
    <cellStyle name="Normal 4 11 2 14" xfId="33073"/>
    <cellStyle name="Normal 4 11 2 15" xfId="41301"/>
    <cellStyle name="Normal 4 11 2 2" xfId="350"/>
    <cellStyle name="Normal 4 11 2 2 2" xfId="2049"/>
    <cellStyle name="Normal 4 11 2 2 2 2" xfId="10276"/>
    <cellStyle name="Normal 4 11 2 2 2 2 2" xfId="26726"/>
    <cellStyle name="Normal 4 11 2 2 2 3" xfId="18501"/>
    <cellStyle name="Normal 4 11 2 2 2 4" xfId="34955"/>
    <cellStyle name="Normal 4 11 2 2 3" xfId="3696"/>
    <cellStyle name="Normal 4 11 2 2 3 2" xfId="11921"/>
    <cellStyle name="Normal 4 11 2 2 3 2 2" xfId="28371"/>
    <cellStyle name="Normal 4 11 2 2 3 3" xfId="20146"/>
    <cellStyle name="Normal 4 11 2 2 3 4" xfId="36600"/>
    <cellStyle name="Normal 4 11 2 2 4" xfId="5341"/>
    <cellStyle name="Normal 4 11 2 2 4 2" xfId="13566"/>
    <cellStyle name="Normal 4 11 2 2 4 2 2" xfId="30016"/>
    <cellStyle name="Normal 4 11 2 2 4 3" xfId="21791"/>
    <cellStyle name="Normal 4 11 2 2 4 4" xfId="38245"/>
    <cellStyle name="Normal 4 11 2 2 5" xfId="6986"/>
    <cellStyle name="Normal 4 11 2 2 5 2" xfId="15211"/>
    <cellStyle name="Normal 4 11 2 2 5 2 2" xfId="31661"/>
    <cellStyle name="Normal 4 11 2 2 5 3" xfId="23436"/>
    <cellStyle name="Normal 4 11 2 2 5 4" xfId="39890"/>
    <cellStyle name="Normal 4 11 2 2 6" xfId="8631"/>
    <cellStyle name="Normal 4 11 2 2 6 2" xfId="25081"/>
    <cellStyle name="Normal 4 11 2 2 7" xfId="16855"/>
    <cellStyle name="Normal 4 11 2 2 8" xfId="33309"/>
    <cellStyle name="Normal 4 11 2 2 9" xfId="41536"/>
    <cellStyle name="Normal 4 11 2 3" xfId="591"/>
    <cellStyle name="Normal 4 11 2 3 2" xfId="2286"/>
    <cellStyle name="Normal 4 11 2 3 2 2" xfId="10511"/>
    <cellStyle name="Normal 4 11 2 3 2 2 2" xfId="26961"/>
    <cellStyle name="Normal 4 11 2 3 2 3" xfId="18736"/>
    <cellStyle name="Normal 4 11 2 3 2 4" xfId="35190"/>
    <cellStyle name="Normal 4 11 2 3 3" xfId="3931"/>
    <cellStyle name="Normal 4 11 2 3 3 2" xfId="12156"/>
    <cellStyle name="Normal 4 11 2 3 3 2 2" xfId="28606"/>
    <cellStyle name="Normal 4 11 2 3 3 3" xfId="20381"/>
    <cellStyle name="Normal 4 11 2 3 3 4" xfId="36835"/>
    <cellStyle name="Normal 4 11 2 3 4" xfId="5576"/>
    <cellStyle name="Normal 4 11 2 3 4 2" xfId="13801"/>
    <cellStyle name="Normal 4 11 2 3 4 2 2" xfId="30251"/>
    <cellStyle name="Normal 4 11 2 3 4 3" xfId="22026"/>
    <cellStyle name="Normal 4 11 2 3 4 4" xfId="38480"/>
    <cellStyle name="Normal 4 11 2 3 5" xfId="7221"/>
    <cellStyle name="Normal 4 11 2 3 5 2" xfId="15446"/>
    <cellStyle name="Normal 4 11 2 3 5 2 2" xfId="31896"/>
    <cellStyle name="Normal 4 11 2 3 5 3" xfId="23671"/>
    <cellStyle name="Normal 4 11 2 3 5 4" xfId="40125"/>
    <cellStyle name="Normal 4 11 2 3 6" xfId="8866"/>
    <cellStyle name="Normal 4 11 2 3 6 2" xfId="25316"/>
    <cellStyle name="Normal 4 11 2 3 7" xfId="17090"/>
    <cellStyle name="Normal 4 11 2 3 8" xfId="33544"/>
    <cellStyle name="Normal 4 11 2 3 9" xfId="41771"/>
    <cellStyle name="Normal 4 11 2 4" xfId="826"/>
    <cellStyle name="Normal 4 11 2 4 2" xfId="2521"/>
    <cellStyle name="Normal 4 11 2 4 2 2" xfId="10746"/>
    <cellStyle name="Normal 4 11 2 4 2 2 2" xfId="27196"/>
    <cellStyle name="Normal 4 11 2 4 2 3" xfId="18971"/>
    <cellStyle name="Normal 4 11 2 4 2 4" xfId="35425"/>
    <cellStyle name="Normal 4 11 2 4 3" xfId="4166"/>
    <cellStyle name="Normal 4 11 2 4 3 2" xfId="12391"/>
    <cellStyle name="Normal 4 11 2 4 3 2 2" xfId="28841"/>
    <cellStyle name="Normal 4 11 2 4 3 3" xfId="20616"/>
    <cellStyle name="Normal 4 11 2 4 3 4" xfId="37070"/>
    <cellStyle name="Normal 4 11 2 4 4" xfId="5811"/>
    <cellStyle name="Normal 4 11 2 4 4 2" xfId="14036"/>
    <cellStyle name="Normal 4 11 2 4 4 2 2" xfId="30486"/>
    <cellStyle name="Normal 4 11 2 4 4 3" xfId="22261"/>
    <cellStyle name="Normal 4 11 2 4 4 4" xfId="38715"/>
    <cellStyle name="Normal 4 11 2 4 5" xfId="7456"/>
    <cellStyle name="Normal 4 11 2 4 5 2" xfId="15681"/>
    <cellStyle name="Normal 4 11 2 4 5 2 2" xfId="32131"/>
    <cellStyle name="Normal 4 11 2 4 5 3" xfId="23906"/>
    <cellStyle name="Normal 4 11 2 4 5 4" xfId="40360"/>
    <cellStyle name="Normal 4 11 2 4 6" xfId="9101"/>
    <cellStyle name="Normal 4 11 2 4 6 2" xfId="25551"/>
    <cellStyle name="Normal 4 11 2 4 7" xfId="17325"/>
    <cellStyle name="Normal 4 11 2 4 8" xfId="33779"/>
    <cellStyle name="Normal 4 11 2 4 9" xfId="42006"/>
    <cellStyle name="Normal 4 11 2 5" xfId="1061"/>
    <cellStyle name="Normal 4 11 2 5 2" xfId="2756"/>
    <cellStyle name="Normal 4 11 2 5 2 2" xfId="10981"/>
    <cellStyle name="Normal 4 11 2 5 2 2 2" xfId="27431"/>
    <cellStyle name="Normal 4 11 2 5 2 3" xfId="19206"/>
    <cellStyle name="Normal 4 11 2 5 2 4" xfId="35660"/>
    <cellStyle name="Normal 4 11 2 5 3" xfId="4401"/>
    <cellStyle name="Normal 4 11 2 5 3 2" xfId="12626"/>
    <cellStyle name="Normal 4 11 2 5 3 2 2" xfId="29076"/>
    <cellStyle name="Normal 4 11 2 5 3 3" xfId="20851"/>
    <cellStyle name="Normal 4 11 2 5 3 4" xfId="37305"/>
    <cellStyle name="Normal 4 11 2 5 4" xfId="6046"/>
    <cellStyle name="Normal 4 11 2 5 4 2" xfId="14271"/>
    <cellStyle name="Normal 4 11 2 5 4 2 2" xfId="30721"/>
    <cellStyle name="Normal 4 11 2 5 4 3" xfId="22496"/>
    <cellStyle name="Normal 4 11 2 5 4 4" xfId="38950"/>
    <cellStyle name="Normal 4 11 2 5 5" xfId="7691"/>
    <cellStyle name="Normal 4 11 2 5 5 2" xfId="15916"/>
    <cellStyle name="Normal 4 11 2 5 5 2 2" xfId="32366"/>
    <cellStyle name="Normal 4 11 2 5 5 3" xfId="24141"/>
    <cellStyle name="Normal 4 11 2 5 5 4" xfId="40595"/>
    <cellStyle name="Normal 4 11 2 5 6" xfId="9336"/>
    <cellStyle name="Normal 4 11 2 5 6 2" xfId="25786"/>
    <cellStyle name="Normal 4 11 2 5 7" xfId="17560"/>
    <cellStyle name="Normal 4 11 2 5 8" xfId="34014"/>
    <cellStyle name="Normal 4 11 2 5 9" xfId="42241"/>
    <cellStyle name="Normal 4 11 2 6" xfId="1341"/>
    <cellStyle name="Normal 4 11 2 6 2" xfId="2991"/>
    <cellStyle name="Normal 4 11 2 6 2 2" xfId="11216"/>
    <cellStyle name="Normal 4 11 2 6 2 2 2" xfId="27666"/>
    <cellStyle name="Normal 4 11 2 6 2 3" xfId="19441"/>
    <cellStyle name="Normal 4 11 2 6 2 4" xfId="35895"/>
    <cellStyle name="Normal 4 11 2 6 3" xfId="4636"/>
    <cellStyle name="Normal 4 11 2 6 3 2" xfId="12861"/>
    <cellStyle name="Normal 4 11 2 6 3 2 2" xfId="29311"/>
    <cellStyle name="Normal 4 11 2 6 3 3" xfId="21086"/>
    <cellStyle name="Normal 4 11 2 6 3 4" xfId="37540"/>
    <cellStyle name="Normal 4 11 2 6 4" xfId="6281"/>
    <cellStyle name="Normal 4 11 2 6 4 2" xfId="14506"/>
    <cellStyle name="Normal 4 11 2 6 4 2 2" xfId="30956"/>
    <cellStyle name="Normal 4 11 2 6 4 3" xfId="22731"/>
    <cellStyle name="Normal 4 11 2 6 4 4" xfId="39185"/>
    <cellStyle name="Normal 4 11 2 6 5" xfId="7926"/>
    <cellStyle name="Normal 4 11 2 6 5 2" xfId="16151"/>
    <cellStyle name="Normal 4 11 2 6 5 2 2" xfId="32601"/>
    <cellStyle name="Normal 4 11 2 6 5 3" xfId="24376"/>
    <cellStyle name="Normal 4 11 2 6 5 4" xfId="40830"/>
    <cellStyle name="Normal 4 11 2 6 6" xfId="9571"/>
    <cellStyle name="Normal 4 11 2 6 6 2" xfId="26021"/>
    <cellStyle name="Normal 4 11 2 6 7" xfId="17795"/>
    <cellStyle name="Normal 4 11 2 6 8" xfId="34249"/>
    <cellStyle name="Normal 4 11 2 7" xfId="1576"/>
    <cellStyle name="Normal 4 11 2 7 2" xfId="3226"/>
    <cellStyle name="Normal 4 11 2 7 2 2" xfId="11451"/>
    <cellStyle name="Normal 4 11 2 7 2 2 2" xfId="27901"/>
    <cellStyle name="Normal 4 11 2 7 2 3" xfId="19676"/>
    <cellStyle name="Normal 4 11 2 7 2 4" xfId="36130"/>
    <cellStyle name="Normal 4 11 2 7 3" xfId="4871"/>
    <cellStyle name="Normal 4 11 2 7 3 2" xfId="13096"/>
    <cellStyle name="Normal 4 11 2 7 3 2 2" xfId="29546"/>
    <cellStyle name="Normal 4 11 2 7 3 3" xfId="21321"/>
    <cellStyle name="Normal 4 11 2 7 3 4" xfId="37775"/>
    <cellStyle name="Normal 4 11 2 7 4" xfId="6516"/>
    <cellStyle name="Normal 4 11 2 7 4 2" xfId="14741"/>
    <cellStyle name="Normal 4 11 2 7 4 2 2" xfId="31191"/>
    <cellStyle name="Normal 4 11 2 7 4 3" xfId="22966"/>
    <cellStyle name="Normal 4 11 2 7 4 4" xfId="39420"/>
    <cellStyle name="Normal 4 11 2 7 5" xfId="8161"/>
    <cellStyle name="Normal 4 11 2 7 5 2" xfId="16386"/>
    <cellStyle name="Normal 4 11 2 7 5 2 2" xfId="32836"/>
    <cellStyle name="Normal 4 11 2 7 5 3" xfId="24611"/>
    <cellStyle name="Normal 4 11 2 7 5 4" xfId="41065"/>
    <cellStyle name="Normal 4 11 2 7 6" xfId="9806"/>
    <cellStyle name="Normal 4 11 2 7 6 2" xfId="26256"/>
    <cellStyle name="Normal 4 11 2 7 7" xfId="18030"/>
    <cellStyle name="Normal 4 11 2 7 8" xfId="34484"/>
    <cellStyle name="Normal 4 11 2 8" xfId="1811"/>
    <cellStyle name="Normal 4 11 2 8 2" xfId="10041"/>
    <cellStyle name="Normal 4 11 2 8 2 2" xfId="26491"/>
    <cellStyle name="Normal 4 11 2 8 3" xfId="18265"/>
    <cellStyle name="Normal 4 11 2 8 4" xfId="34719"/>
    <cellStyle name="Normal 4 11 2 9" xfId="3461"/>
    <cellStyle name="Normal 4 11 2 9 2" xfId="11686"/>
    <cellStyle name="Normal 4 11 2 9 2 2" xfId="28136"/>
    <cellStyle name="Normal 4 11 2 9 3" xfId="19911"/>
    <cellStyle name="Normal 4 11 2 9 4" xfId="36365"/>
    <cellStyle name="Normal 4 11 20" xfId="33023"/>
    <cellStyle name="Normal 4 11 21" xfId="41251"/>
    <cellStyle name="Normal 4 11 3" xfId="157"/>
    <cellStyle name="Normal 4 11 3 10" xfId="5156"/>
    <cellStyle name="Normal 4 11 3 10 2" xfId="13381"/>
    <cellStyle name="Normal 4 11 3 10 2 2" xfId="29831"/>
    <cellStyle name="Normal 4 11 3 10 3" xfId="21606"/>
    <cellStyle name="Normal 4 11 3 10 4" xfId="38060"/>
    <cellStyle name="Normal 4 11 3 11" xfId="6801"/>
    <cellStyle name="Normal 4 11 3 11 2" xfId="15026"/>
    <cellStyle name="Normal 4 11 3 11 2 2" xfId="31476"/>
    <cellStyle name="Normal 4 11 3 11 3" xfId="23251"/>
    <cellStyle name="Normal 4 11 3 11 4" xfId="39705"/>
    <cellStyle name="Normal 4 11 3 12" xfId="8446"/>
    <cellStyle name="Normal 4 11 3 12 2" xfId="24896"/>
    <cellStyle name="Normal 4 11 3 13" xfId="16670"/>
    <cellStyle name="Normal 4 11 3 14" xfId="33123"/>
    <cellStyle name="Normal 4 11 3 15" xfId="41351"/>
    <cellStyle name="Normal 4 11 3 2" xfId="400"/>
    <cellStyle name="Normal 4 11 3 2 2" xfId="2099"/>
    <cellStyle name="Normal 4 11 3 2 2 2" xfId="10326"/>
    <cellStyle name="Normal 4 11 3 2 2 2 2" xfId="26776"/>
    <cellStyle name="Normal 4 11 3 2 2 3" xfId="18551"/>
    <cellStyle name="Normal 4 11 3 2 2 4" xfId="35005"/>
    <cellStyle name="Normal 4 11 3 2 3" xfId="3746"/>
    <cellStyle name="Normal 4 11 3 2 3 2" xfId="11971"/>
    <cellStyle name="Normal 4 11 3 2 3 2 2" xfId="28421"/>
    <cellStyle name="Normal 4 11 3 2 3 3" xfId="20196"/>
    <cellStyle name="Normal 4 11 3 2 3 4" xfId="36650"/>
    <cellStyle name="Normal 4 11 3 2 4" xfId="5391"/>
    <cellStyle name="Normal 4 11 3 2 4 2" xfId="13616"/>
    <cellStyle name="Normal 4 11 3 2 4 2 2" xfId="30066"/>
    <cellStyle name="Normal 4 11 3 2 4 3" xfId="21841"/>
    <cellStyle name="Normal 4 11 3 2 4 4" xfId="38295"/>
    <cellStyle name="Normal 4 11 3 2 5" xfId="7036"/>
    <cellStyle name="Normal 4 11 3 2 5 2" xfId="15261"/>
    <cellStyle name="Normal 4 11 3 2 5 2 2" xfId="31711"/>
    <cellStyle name="Normal 4 11 3 2 5 3" xfId="23486"/>
    <cellStyle name="Normal 4 11 3 2 5 4" xfId="39940"/>
    <cellStyle name="Normal 4 11 3 2 6" xfId="8681"/>
    <cellStyle name="Normal 4 11 3 2 6 2" xfId="25131"/>
    <cellStyle name="Normal 4 11 3 2 7" xfId="16905"/>
    <cellStyle name="Normal 4 11 3 2 8" xfId="33359"/>
    <cellStyle name="Normal 4 11 3 2 9" xfId="41586"/>
    <cellStyle name="Normal 4 11 3 3" xfId="641"/>
    <cellStyle name="Normal 4 11 3 3 2" xfId="2336"/>
    <cellStyle name="Normal 4 11 3 3 2 2" xfId="10561"/>
    <cellStyle name="Normal 4 11 3 3 2 2 2" xfId="27011"/>
    <cellStyle name="Normal 4 11 3 3 2 3" xfId="18786"/>
    <cellStyle name="Normal 4 11 3 3 2 4" xfId="35240"/>
    <cellStyle name="Normal 4 11 3 3 3" xfId="3981"/>
    <cellStyle name="Normal 4 11 3 3 3 2" xfId="12206"/>
    <cellStyle name="Normal 4 11 3 3 3 2 2" xfId="28656"/>
    <cellStyle name="Normal 4 11 3 3 3 3" xfId="20431"/>
    <cellStyle name="Normal 4 11 3 3 3 4" xfId="36885"/>
    <cellStyle name="Normal 4 11 3 3 4" xfId="5626"/>
    <cellStyle name="Normal 4 11 3 3 4 2" xfId="13851"/>
    <cellStyle name="Normal 4 11 3 3 4 2 2" xfId="30301"/>
    <cellStyle name="Normal 4 11 3 3 4 3" xfId="22076"/>
    <cellStyle name="Normal 4 11 3 3 4 4" xfId="38530"/>
    <cellStyle name="Normal 4 11 3 3 5" xfId="7271"/>
    <cellStyle name="Normal 4 11 3 3 5 2" xfId="15496"/>
    <cellStyle name="Normal 4 11 3 3 5 2 2" xfId="31946"/>
    <cellStyle name="Normal 4 11 3 3 5 3" xfId="23721"/>
    <cellStyle name="Normal 4 11 3 3 5 4" xfId="40175"/>
    <cellStyle name="Normal 4 11 3 3 6" xfId="8916"/>
    <cellStyle name="Normal 4 11 3 3 6 2" xfId="25366"/>
    <cellStyle name="Normal 4 11 3 3 7" xfId="17140"/>
    <cellStyle name="Normal 4 11 3 3 8" xfId="33594"/>
    <cellStyle name="Normal 4 11 3 3 9" xfId="41821"/>
    <cellStyle name="Normal 4 11 3 4" xfId="876"/>
    <cellStyle name="Normal 4 11 3 4 2" xfId="2571"/>
    <cellStyle name="Normal 4 11 3 4 2 2" xfId="10796"/>
    <cellStyle name="Normal 4 11 3 4 2 2 2" xfId="27246"/>
    <cellStyle name="Normal 4 11 3 4 2 3" xfId="19021"/>
    <cellStyle name="Normal 4 11 3 4 2 4" xfId="35475"/>
    <cellStyle name="Normal 4 11 3 4 3" xfId="4216"/>
    <cellStyle name="Normal 4 11 3 4 3 2" xfId="12441"/>
    <cellStyle name="Normal 4 11 3 4 3 2 2" xfId="28891"/>
    <cellStyle name="Normal 4 11 3 4 3 3" xfId="20666"/>
    <cellStyle name="Normal 4 11 3 4 3 4" xfId="37120"/>
    <cellStyle name="Normal 4 11 3 4 4" xfId="5861"/>
    <cellStyle name="Normal 4 11 3 4 4 2" xfId="14086"/>
    <cellStyle name="Normal 4 11 3 4 4 2 2" xfId="30536"/>
    <cellStyle name="Normal 4 11 3 4 4 3" xfId="22311"/>
    <cellStyle name="Normal 4 11 3 4 4 4" xfId="38765"/>
    <cellStyle name="Normal 4 11 3 4 5" xfId="7506"/>
    <cellStyle name="Normal 4 11 3 4 5 2" xfId="15731"/>
    <cellStyle name="Normal 4 11 3 4 5 2 2" xfId="32181"/>
    <cellStyle name="Normal 4 11 3 4 5 3" xfId="23956"/>
    <cellStyle name="Normal 4 11 3 4 5 4" xfId="40410"/>
    <cellStyle name="Normal 4 11 3 4 6" xfId="9151"/>
    <cellStyle name="Normal 4 11 3 4 6 2" xfId="25601"/>
    <cellStyle name="Normal 4 11 3 4 7" xfId="17375"/>
    <cellStyle name="Normal 4 11 3 4 8" xfId="33829"/>
    <cellStyle name="Normal 4 11 3 4 9" xfId="42056"/>
    <cellStyle name="Normal 4 11 3 5" xfId="1111"/>
    <cellStyle name="Normal 4 11 3 5 2" xfId="2806"/>
    <cellStyle name="Normal 4 11 3 5 2 2" xfId="11031"/>
    <cellStyle name="Normal 4 11 3 5 2 2 2" xfId="27481"/>
    <cellStyle name="Normal 4 11 3 5 2 3" xfId="19256"/>
    <cellStyle name="Normal 4 11 3 5 2 4" xfId="35710"/>
    <cellStyle name="Normal 4 11 3 5 3" xfId="4451"/>
    <cellStyle name="Normal 4 11 3 5 3 2" xfId="12676"/>
    <cellStyle name="Normal 4 11 3 5 3 2 2" xfId="29126"/>
    <cellStyle name="Normal 4 11 3 5 3 3" xfId="20901"/>
    <cellStyle name="Normal 4 11 3 5 3 4" xfId="37355"/>
    <cellStyle name="Normal 4 11 3 5 4" xfId="6096"/>
    <cellStyle name="Normal 4 11 3 5 4 2" xfId="14321"/>
    <cellStyle name="Normal 4 11 3 5 4 2 2" xfId="30771"/>
    <cellStyle name="Normal 4 11 3 5 4 3" xfId="22546"/>
    <cellStyle name="Normal 4 11 3 5 4 4" xfId="39000"/>
    <cellStyle name="Normal 4 11 3 5 5" xfId="7741"/>
    <cellStyle name="Normal 4 11 3 5 5 2" xfId="15966"/>
    <cellStyle name="Normal 4 11 3 5 5 2 2" xfId="32416"/>
    <cellStyle name="Normal 4 11 3 5 5 3" xfId="24191"/>
    <cellStyle name="Normal 4 11 3 5 5 4" xfId="40645"/>
    <cellStyle name="Normal 4 11 3 5 6" xfId="9386"/>
    <cellStyle name="Normal 4 11 3 5 6 2" xfId="25836"/>
    <cellStyle name="Normal 4 11 3 5 7" xfId="17610"/>
    <cellStyle name="Normal 4 11 3 5 8" xfId="34064"/>
    <cellStyle name="Normal 4 11 3 5 9" xfId="42291"/>
    <cellStyle name="Normal 4 11 3 6" xfId="1391"/>
    <cellStyle name="Normal 4 11 3 6 2" xfId="3041"/>
    <cellStyle name="Normal 4 11 3 6 2 2" xfId="11266"/>
    <cellStyle name="Normal 4 11 3 6 2 2 2" xfId="27716"/>
    <cellStyle name="Normal 4 11 3 6 2 3" xfId="19491"/>
    <cellStyle name="Normal 4 11 3 6 2 4" xfId="35945"/>
    <cellStyle name="Normal 4 11 3 6 3" xfId="4686"/>
    <cellStyle name="Normal 4 11 3 6 3 2" xfId="12911"/>
    <cellStyle name="Normal 4 11 3 6 3 2 2" xfId="29361"/>
    <cellStyle name="Normal 4 11 3 6 3 3" xfId="21136"/>
    <cellStyle name="Normal 4 11 3 6 3 4" xfId="37590"/>
    <cellStyle name="Normal 4 11 3 6 4" xfId="6331"/>
    <cellStyle name="Normal 4 11 3 6 4 2" xfId="14556"/>
    <cellStyle name="Normal 4 11 3 6 4 2 2" xfId="31006"/>
    <cellStyle name="Normal 4 11 3 6 4 3" xfId="22781"/>
    <cellStyle name="Normal 4 11 3 6 4 4" xfId="39235"/>
    <cellStyle name="Normal 4 11 3 6 5" xfId="7976"/>
    <cellStyle name="Normal 4 11 3 6 5 2" xfId="16201"/>
    <cellStyle name="Normal 4 11 3 6 5 2 2" xfId="32651"/>
    <cellStyle name="Normal 4 11 3 6 5 3" xfId="24426"/>
    <cellStyle name="Normal 4 11 3 6 5 4" xfId="40880"/>
    <cellStyle name="Normal 4 11 3 6 6" xfId="9621"/>
    <cellStyle name="Normal 4 11 3 6 6 2" xfId="26071"/>
    <cellStyle name="Normal 4 11 3 6 7" xfId="17845"/>
    <cellStyle name="Normal 4 11 3 6 8" xfId="34299"/>
    <cellStyle name="Normal 4 11 3 7" xfId="1626"/>
    <cellStyle name="Normal 4 11 3 7 2" xfId="3276"/>
    <cellStyle name="Normal 4 11 3 7 2 2" xfId="11501"/>
    <cellStyle name="Normal 4 11 3 7 2 2 2" xfId="27951"/>
    <cellStyle name="Normal 4 11 3 7 2 3" xfId="19726"/>
    <cellStyle name="Normal 4 11 3 7 2 4" xfId="36180"/>
    <cellStyle name="Normal 4 11 3 7 3" xfId="4921"/>
    <cellStyle name="Normal 4 11 3 7 3 2" xfId="13146"/>
    <cellStyle name="Normal 4 11 3 7 3 2 2" xfId="29596"/>
    <cellStyle name="Normal 4 11 3 7 3 3" xfId="21371"/>
    <cellStyle name="Normal 4 11 3 7 3 4" xfId="37825"/>
    <cellStyle name="Normal 4 11 3 7 4" xfId="6566"/>
    <cellStyle name="Normal 4 11 3 7 4 2" xfId="14791"/>
    <cellStyle name="Normal 4 11 3 7 4 2 2" xfId="31241"/>
    <cellStyle name="Normal 4 11 3 7 4 3" xfId="23016"/>
    <cellStyle name="Normal 4 11 3 7 4 4" xfId="39470"/>
    <cellStyle name="Normal 4 11 3 7 5" xfId="8211"/>
    <cellStyle name="Normal 4 11 3 7 5 2" xfId="16436"/>
    <cellStyle name="Normal 4 11 3 7 5 2 2" xfId="32886"/>
    <cellStyle name="Normal 4 11 3 7 5 3" xfId="24661"/>
    <cellStyle name="Normal 4 11 3 7 5 4" xfId="41115"/>
    <cellStyle name="Normal 4 11 3 7 6" xfId="9856"/>
    <cellStyle name="Normal 4 11 3 7 6 2" xfId="26306"/>
    <cellStyle name="Normal 4 11 3 7 7" xfId="18080"/>
    <cellStyle name="Normal 4 11 3 7 8" xfId="34534"/>
    <cellStyle name="Normal 4 11 3 8" xfId="1861"/>
    <cellStyle name="Normal 4 11 3 8 2" xfId="10091"/>
    <cellStyle name="Normal 4 11 3 8 2 2" xfId="26541"/>
    <cellStyle name="Normal 4 11 3 8 3" xfId="18315"/>
    <cellStyle name="Normal 4 11 3 8 4" xfId="34769"/>
    <cellStyle name="Normal 4 11 3 9" xfId="3511"/>
    <cellStyle name="Normal 4 11 3 9 2" xfId="11736"/>
    <cellStyle name="Normal 4 11 3 9 2 2" xfId="28186"/>
    <cellStyle name="Normal 4 11 3 9 3" xfId="19961"/>
    <cellStyle name="Normal 4 11 3 9 4" xfId="36415"/>
    <cellStyle name="Normal 4 11 4" xfId="184"/>
    <cellStyle name="Normal 4 11 4 10" xfId="5183"/>
    <cellStyle name="Normal 4 11 4 10 2" xfId="13408"/>
    <cellStyle name="Normal 4 11 4 10 2 2" xfId="29858"/>
    <cellStyle name="Normal 4 11 4 10 3" xfId="21633"/>
    <cellStyle name="Normal 4 11 4 10 4" xfId="38087"/>
    <cellStyle name="Normal 4 11 4 11" xfId="6828"/>
    <cellStyle name="Normal 4 11 4 11 2" xfId="15053"/>
    <cellStyle name="Normal 4 11 4 11 2 2" xfId="31503"/>
    <cellStyle name="Normal 4 11 4 11 3" xfId="23278"/>
    <cellStyle name="Normal 4 11 4 11 4" xfId="39732"/>
    <cellStyle name="Normal 4 11 4 12" xfId="8473"/>
    <cellStyle name="Normal 4 11 4 12 2" xfId="24923"/>
    <cellStyle name="Normal 4 11 4 13" xfId="16697"/>
    <cellStyle name="Normal 4 11 4 14" xfId="33150"/>
    <cellStyle name="Normal 4 11 4 15" xfId="41378"/>
    <cellStyle name="Normal 4 11 4 2" xfId="427"/>
    <cellStyle name="Normal 4 11 4 2 2" xfId="2126"/>
    <cellStyle name="Normal 4 11 4 2 2 2" xfId="10353"/>
    <cellStyle name="Normal 4 11 4 2 2 2 2" xfId="26803"/>
    <cellStyle name="Normal 4 11 4 2 2 3" xfId="18578"/>
    <cellStyle name="Normal 4 11 4 2 2 4" xfId="35032"/>
    <cellStyle name="Normal 4 11 4 2 3" xfId="3773"/>
    <cellStyle name="Normal 4 11 4 2 3 2" xfId="11998"/>
    <cellStyle name="Normal 4 11 4 2 3 2 2" xfId="28448"/>
    <cellStyle name="Normal 4 11 4 2 3 3" xfId="20223"/>
    <cellStyle name="Normal 4 11 4 2 3 4" xfId="36677"/>
    <cellStyle name="Normal 4 11 4 2 4" xfId="5418"/>
    <cellStyle name="Normal 4 11 4 2 4 2" xfId="13643"/>
    <cellStyle name="Normal 4 11 4 2 4 2 2" xfId="30093"/>
    <cellStyle name="Normal 4 11 4 2 4 3" xfId="21868"/>
    <cellStyle name="Normal 4 11 4 2 4 4" xfId="38322"/>
    <cellStyle name="Normal 4 11 4 2 5" xfId="7063"/>
    <cellStyle name="Normal 4 11 4 2 5 2" xfId="15288"/>
    <cellStyle name="Normal 4 11 4 2 5 2 2" xfId="31738"/>
    <cellStyle name="Normal 4 11 4 2 5 3" xfId="23513"/>
    <cellStyle name="Normal 4 11 4 2 5 4" xfId="39967"/>
    <cellStyle name="Normal 4 11 4 2 6" xfId="8708"/>
    <cellStyle name="Normal 4 11 4 2 6 2" xfId="25158"/>
    <cellStyle name="Normal 4 11 4 2 7" xfId="16932"/>
    <cellStyle name="Normal 4 11 4 2 8" xfId="33386"/>
    <cellStyle name="Normal 4 11 4 2 9" xfId="41613"/>
    <cellStyle name="Normal 4 11 4 3" xfId="668"/>
    <cellStyle name="Normal 4 11 4 3 2" xfId="2363"/>
    <cellStyle name="Normal 4 11 4 3 2 2" xfId="10588"/>
    <cellStyle name="Normal 4 11 4 3 2 2 2" xfId="27038"/>
    <cellStyle name="Normal 4 11 4 3 2 3" xfId="18813"/>
    <cellStyle name="Normal 4 11 4 3 2 4" xfId="35267"/>
    <cellStyle name="Normal 4 11 4 3 3" xfId="4008"/>
    <cellStyle name="Normal 4 11 4 3 3 2" xfId="12233"/>
    <cellStyle name="Normal 4 11 4 3 3 2 2" xfId="28683"/>
    <cellStyle name="Normal 4 11 4 3 3 3" xfId="20458"/>
    <cellStyle name="Normal 4 11 4 3 3 4" xfId="36912"/>
    <cellStyle name="Normal 4 11 4 3 4" xfId="5653"/>
    <cellStyle name="Normal 4 11 4 3 4 2" xfId="13878"/>
    <cellStyle name="Normal 4 11 4 3 4 2 2" xfId="30328"/>
    <cellStyle name="Normal 4 11 4 3 4 3" xfId="22103"/>
    <cellStyle name="Normal 4 11 4 3 4 4" xfId="38557"/>
    <cellStyle name="Normal 4 11 4 3 5" xfId="7298"/>
    <cellStyle name="Normal 4 11 4 3 5 2" xfId="15523"/>
    <cellStyle name="Normal 4 11 4 3 5 2 2" xfId="31973"/>
    <cellStyle name="Normal 4 11 4 3 5 3" xfId="23748"/>
    <cellStyle name="Normal 4 11 4 3 5 4" xfId="40202"/>
    <cellStyle name="Normal 4 11 4 3 6" xfId="8943"/>
    <cellStyle name="Normal 4 11 4 3 6 2" xfId="25393"/>
    <cellStyle name="Normal 4 11 4 3 7" xfId="17167"/>
    <cellStyle name="Normal 4 11 4 3 8" xfId="33621"/>
    <cellStyle name="Normal 4 11 4 3 9" xfId="41848"/>
    <cellStyle name="Normal 4 11 4 4" xfId="903"/>
    <cellStyle name="Normal 4 11 4 4 2" xfId="2598"/>
    <cellStyle name="Normal 4 11 4 4 2 2" xfId="10823"/>
    <cellStyle name="Normal 4 11 4 4 2 2 2" xfId="27273"/>
    <cellStyle name="Normal 4 11 4 4 2 3" xfId="19048"/>
    <cellStyle name="Normal 4 11 4 4 2 4" xfId="35502"/>
    <cellStyle name="Normal 4 11 4 4 3" xfId="4243"/>
    <cellStyle name="Normal 4 11 4 4 3 2" xfId="12468"/>
    <cellStyle name="Normal 4 11 4 4 3 2 2" xfId="28918"/>
    <cellStyle name="Normal 4 11 4 4 3 3" xfId="20693"/>
    <cellStyle name="Normal 4 11 4 4 3 4" xfId="37147"/>
    <cellStyle name="Normal 4 11 4 4 4" xfId="5888"/>
    <cellStyle name="Normal 4 11 4 4 4 2" xfId="14113"/>
    <cellStyle name="Normal 4 11 4 4 4 2 2" xfId="30563"/>
    <cellStyle name="Normal 4 11 4 4 4 3" xfId="22338"/>
    <cellStyle name="Normal 4 11 4 4 4 4" xfId="38792"/>
    <cellStyle name="Normal 4 11 4 4 5" xfId="7533"/>
    <cellStyle name="Normal 4 11 4 4 5 2" xfId="15758"/>
    <cellStyle name="Normal 4 11 4 4 5 2 2" xfId="32208"/>
    <cellStyle name="Normal 4 11 4 4 5 3" xfId="23983"/>
    <cellStyle name="Normal 4 11 4 4 5 4" xfId="40437"/>
    <cellStyle name="Normal 4 11 4 4 6" xfId="9178"/>
    <cellStyle name="Normal 4 11 4 4 6 2" xfId="25628"/>
    <cellStyle name="Normal 4 11 4 4 7" xfId="17402"/>
    <cellStyle name="Normal 4 11 4 4 8" xfId="33856"/>
    <cellStyle name="Normal 4 11 4 4 9" xfId="42083"/>
    <cellStyle name="Normal 4 11 4 5" xfId="1138"/>
    <cellStyle name="Normal 4 11 4 5 2" xfId="2833"/>
    <cellStyle name="Normal 4 11 4 5 2 2" xfId="11058"/>
    <cellStyle name="Normal 4 11 4 5 2 2 2" xfId="27508"/>
    <cellStyle name="Normal 4 11 4 5 2 3" xfId="19283"/>
    <cellStyle name="Normal 4 11 4 5 2 4" xfId="35737"/>
    <cellStyle name="Normal 4 11 4 5 3" xfId="4478"/>
    <cellStyle name="Normal 4 11 4 5 3 2" xfId="12703"/>
    <cellStyle name="Normal 4 11 4 5 3 2 2" xfId="29153"/>
    <cellStyle name="Normal 4 11 4 5 3 3" xfId="20928"/>
    <cellStyle name="Normal 4 11 4 5 3 4" xfId="37382"/>
    <cellStyle name="Normal 4 11 4 5 4" xfId="6123"/>
    <cellStyle name="Normal 4 11 4 5 4 2" xfId="14348"/>
    <cellStyle name="Normal 4 11 4 5 4 2 2" xfId="30798"/>
    <cellStyle name="Normal 4 11 4 5 4 3" xfId="22573"/>
    <cellStyle name="Normal 4 11 4 5 4 4" xfId="39027"/>
    <cellStyle name="Normal 4 11 4 5 5" xfId="7768"/>
    <cellStyle name="Normal 4 11 4 5 5 2" xfId="15993"/>
    <cellStyle name="Normal 4 11 4 5 5 2 2" xfId="32443"/>
    <cellStyle name="Normal 4 11 4 5 5 3" xfId="24218"/>
    <cellStyle name="Normal 4 11 4 5 5 4" xfId="40672"/>
    <cellStyle name="Normal 4 11 4 5 6" xfId="9413"/>
    <cellStyle name="Normal 4 11 4 5 6 2" xfId="25863"/>
    <cellStyle name="Normal 4 11 4 5 7" xfId="17637"/>
    <cellStyle name="Normal 4 11 4 5 8" xfId="34091"/>
    <cellStyle name="Normal 4 11 4 5 9" xfId="42318"/>
    <cellStyle name="Normal 4 11 4 6" xfId="1418"/>
    <cellStyle name="Normal 4 11 4 6 2" xfId="3068"/>
    <cellStyle name="Normal 4 11 4 6 2 2" xfId="11293"/>
    <cellStyle name="Normal 4 11 4 6 2 2 2" xfId="27743"/>
    <cellStyle name="Normal 4 11 4 6 2 3" xfId="19518"/>
    <cellStyle name="Normal 4 11 4 6 2 4" xfId="35972"/>
    <cellStyle name="Normal 4 11 4 6 3" xfId="4713"/>
    <cellStyle name="Normal 4 11 4 6 3 2" xfId="12938"/>
    <cellStyle name="Normal 4 11 4 6 3 2 2" xfId="29388"/>
    <cellStyle name="Normal 4 11 4 6 3 3" xfId="21163"/>
    <cellStyle name="Normal 4 11 4 6 3 4" xfId="37617"/>
    <cellStyle name="Normal 4 11 4 6 4" xfId="6358"/>
    <cellStyle name="Normal 4 11 4 6 4 2" xfId="14583"/>
    <cellStyle name="Normal 4 11 4 6 4 2 2" xfId="31033"/>
    <cellStyle name="Normal 4 11 4 6 4 3" xfId="22808"/>
    <cellStyle name="Normal 4 11 4 6 4 4" xfId="39262"/>
    <cellStyle name="Normal 4 11 4 6 5" xfId="8003"/>
    <cellStyle name="Normal 4 11 4 6 5 2" xfId="16228"/>
    <cellStyle name="Normal 4 11 4 6 5 2 2" xfId="32678"/>
    <cellStyle name="Normal 4 11 4 6 5 3" xfId="24453"/>
    <cellStyle name="Normal 4 11 4 6 5 4" xfId="40907"/>
    <cellStyle name="Normal 4 11 4 6 6" xfId="9648"/>
    <cellStyle name="Normal 4 11 4 6 6 2" xfId="26098"/>
    <cellStyle name="Normal 4 11 4 6 7" xfId="17872"/>
    <cellStyle name="Normal 4 11 4 6 8" xfId="34326"/>
    <cellStyle name="Normal 4 11 4 7" xfId="1653"/>
    <cellStyle name="Normal 4 11 4 7 2" xfId="3303"/>
    <cellStyle name="Normal 4 11 4 7 2 2" xfId="11528"/>
    <cellStyle name="Normal 4 11 4 7 2 2 2" xfId="27978"/>
    <cellStyle name="Normal 4 11 4 7 2 3" xfId="19753"/>
    <cellStyle name="Normal 4 11 4 7 2 4" xfId="36207"/>
    <cellStyle name="Normal 4 11 4 7 3" xfId="4948"/>
    <cellStyle name="Normal 4 11 4 7 3 2" xfId="13173"/>
    <cellStyle name="Normal 4 11 4 7 3 2 2" xfId="29623"/>
    <cellStyle name="Normal 4 11 4 7 3 3" xfId="21398"/>
    <cellStyle name="Normal 4 11 4 7 3 4" xfId="37852"/>
    <cellStyle name="Normal 4 11 4 7 4" xfId="6593"/>
    <cellStyle name="Normal 4 11 4 7 4 2" xfId="14818"/>
    <cellStyle name="Normal 4 11 4 7 4 2 2" xfId="31268"/>
    <cellStyle name="Normal 4 11 4 7 4 3" xfId="23043"/>
    <cellStyle name="Normal 4 11 4 7 4 4" xfId="39497"/>
    <cellStyle name="Normal 4 11 4 7 5" xfId="8238"/>
    <cellStyle name="Normal 4 11 4 7 5 2" xfId="16463"/>
    <cellStyle name="Normal 4 11 4 7 5 2 2" xfId="32913"/>
    <cellStyle name="Normal 4 11 4 7 5 3" xfId="24688"/>
    <cellStyle name="Normal 4 11 4 7 5 4" xfId="41142"/>
    <cellStyle name="Normal 4 11 4 7 6" xfId="9883"/>
    <cellStyle name="Normal 4 11 4 7 6 2" xfId="26333"/>
    <cellStyle name="Normal 4 11 4 7 7" xfId="18107"/>
    <cellStyle name="Normal 4 11 4 7 8" xfId="34561"/>
    <cellStyle name="Normal 4 11 4 8" xfId="1888"/>
    <cellStyle name="Normal 4 11 4 8 2" xfId="10118"/>
    <cellStyle name="Normal 4 11 4 8 2 2" xfId="26568"/>
    <cellStyle name="Normal 4 11 4 8 3" xfId="18342"/>
    <cellStyle name="Normal 4 11 4 8 4" xfId="34796"/>
    <cellStyle name="Normal 4 11 4 9" xfId="3538"/>
    <cellStyle name="Normal 4 11 4 9 2" xfId="11763"/>
    <cellStyle name="Normal 4 11 4 9 2 2" xfId="28213"/>
    <cellStyle name="Normal 4 11 4 9 3" xfId="19988"/>
    <cellStyle name="Normal 4 11 4 9 4" xfId="36442"/>
    <cellStyle name="Normal 4 11 5" xfId="213"/>
    <cellStyle name="Normal 4 11 5 10" xfId="5210"/>
    <cellStyle name="Normal 4 11 5 10 2" xfId="13435"/>
    <cellStyle name="Normal 4 11 5 10 2 2" xfId="29885"/>
    <cellStyle name="Normal 4 11 5 10 3" xfId="21660"/>
    <cellStyle name="Normal 4 11 5 10 4" xfId="38114"/>
    <cellStyle name="Normal 4 11 5 11" xfId="6855"/>
    <cellStyle name="Normal 4 11 5 11 2" xfId="15080"/>
    <cellStyle name="Normal 4 11 5 11 2 2" xfId="31530"/>
    <cellStyle name="Normal 4 11 5 11 3" xfId="23305"/>
    <cellStyle name="Normal 4 11 5 11 4" xfId="39759"/>
    <cellStyle name="Normal 4 11 5 12" xfId="8500"/>
    <cellStyle name="Normal 4 11 5 12 2" xfId="24950"/>
    <cellStyle name="Normal 4 11 5 13" xfId="16724"/>
    <cellStyle name="Normal 4 11 5 14" xfId="33177"/>
    <cellStyle name="Normal 4 11 5 15" xfId="41405"/>
    <cellStyle name="Normal 4 11 5 2" xfId="456"/>
    <cellStyle name="Normal 4 11 5 2 2" xfId="2153"/>
    <cellStyle name="Normal 4 11 5 2 2 2" xfId="10380"/>
    <cellStyle name="Normal 4 11 5 2 2 2 2" xfId="26830"/>
    <cellStyle name="Normal 4 11 5 2 2 3" xfId="18605"/>
    <cellStyle name="Normal 4 11 5 2 2 4" xfId="35059"/>
    <cellStyle name="Normal 4 11 5 2 3" xfId="3800"/>
    <cellStyle name="Normal 4 11 5 2 3 2" xfId="12025"/>
    <cellStyle name="Normal 4 11 5 2 3 2 2" xfId="28475"/>
    <cellStyle name="Normal 4 11 5 2 3 3" xfId="20250"/>
    <cellStyle name="Normal 4 11 5 2 3 4" xfId="36704"/>
    <cellStyle name="Normal 4 11 5 2 4" xfId="5445"/>
    <cellStyle name="Normal 4 11 5 2 4 2" xfId="13670"/>
    <cellStyle name="Normal 4 11 5 2 4 2 2" xfId="30120"/>
    <cellStyle name="Normal 4 11 5 2 4 3" xfId="21895"/>
    <cellStyle name="Normal 4 11 5 2 4 4" xfId="38349"/>
    <cellStyle name="Normal 4 11 5 2 5" xfId="7090"/>
    <cellStyle name="Normal 4 11 5 2 5 2" xfId="15315"/>
    <cellStyle name="Normal 4 11 5 2 5 2 2" xfId="31765"/>
    <cellStyle name="Normal 4 11 5 2 5 3" xfId="23540"/>
    <cellStyle name="Normal 4 11 5 2 5 4" xfId="39994"/>
    <cellStyle name="Normal 4 11 5 2 6" xfId="8735"/>
    <cellStyle name="Normal 4 11 5 2 6 2" xfId="25185"/>
    <cellStyle name="Normal 4 11 5 2 7" xfId="16959"/>
    <cellStyle name="Normal 4 11 5 2 8" xfId="33413"/>
    <cellStyle name="Normal 4 11 5 2 9" xfId="41640"/>
    <cellStyle name="Normal 4 11 5 3" xfId="695"/>
    <cellStyle name="Normal 4 11 5 3 2" xfId="2390"/>
    <cellStyle name="Normal 4 11 5 3 2 2" xfId="10615"/>
    <cellStyle name="Normal 4 11 5 3 2 2 2" xfId="27065"/>
    <cellStyle name="Normal 4 11 5 3 2 3" xfId="18840"/>
    <cellStyle name="Normal 4 11 5 3 2 4" xfId="35294"/>
    <cellStyle name="Normal 4 11 5 3 3" xfId="4035"/>
    <cellStyle name="Normal 4 11 5 3 3 2" xfId="12260"/>
    <cellStyle name="Normal 4 11 5 3 3 2 2" xfId="28710"/>
    <cellStyle name="Normal 4 11 5 3 3 3" xfId="20485"/>
    <cellStyle name="Normal 4 11 5 3 3 4" xfId="36939"/>
    <cellStyle name="Normal 4 11 5 3 4" xfId="5680"/>
    <cellStyle name="Normal 4 11 5 3 4 2" xfId="13905"/>
    <cellStyle name="Normal 4 11 5 3 4 2 2" xfId="30355"/>
    <cellStyle name="Normal 4 11 5 3 4 3" xfId="22130"/>
    <cellStyle name="Normal 4 11 5 3 4 4" xfId="38584"/>
    <cellStyle name="Normal 4 11 5 3 5" xfId="7325"/>
    <cellStyle name="Normal 4 11 5 3 5 2" xfId="15550"/>
    <cellStyle name="Normal 4 11 5 3 5 2 2" xfId="32000"/>
    <cellStyle name="Normal 4 11 5 3 5 3" xfId="23775"/>
    <cellStyle name="Normal 4 11 5 3 5 4" xfId="40229"/>
    <cellStyle name="Normal 4 11 5 3 6" xfId="8970"/>
    <cellStyle name="Normal 4 11 5 3 6 2" xfId="25420"/>
    <cellStyle name="Normal 4 11 5 3 7" xfId="17194"/>
    <cellStyle name="Normal 4 11 5 3 8" xfId="33648"/>
    <cellStyle name="Normal 4 11 5 3 9" xfId="41875"/>
    <cellStyle name="Normal 4 11 5 4" xfId="930"/>
    <cellStyle name="Normal 4 11 5 4 2" xfId="2625"/>
    <cellStyle name="Normal 4 11 5 4 2 2" xfId="10850"/>
    <cellStyle name="Normal 4 11 5 4 2 2 2" xfId="27300"/>
    <cellStyle name="Normal 4 11 5 4 2 3" xfId="19075"/>
    <cellStyle name="Normal 4 11 5 4 2 4" xfId="35529"/>
    <cellStyle name="Normal 4 11 5 4 3" xfId="4270"/>
    <cellStyle name="Normal 4 11 5 4 3 2" xfId="12495"/>
    <cellStyle name="Normal 4 11 5 4 3 2 2" xfId="28945"/>
    <cellStyle name="Normal 4 11 5 4 3 3" xfId="20720"/>
    <cellStyle name="Normal 4 11 5 4 3 4" xfId="37174"/>
    <cellStyle name="Normal 4 11 5 4 4" xfId="5915"/>
    <cellStyle name="Normal 4 11 5 4 4 2" xfId="14140"/>
    <cellStyle name="Normal 4 11 5 4 4 2 2" xfId="30590"/>
    <cellStyle name="Normal 4 11 5 4 4 3" xfId="22365"/>
    <cellStyle name="Normal 4 11 5 4 4 4" xfId="38819"/>
    <cellStyle name="Normal 4 11 5 4 5" xfId="7560"/>
    <cellStyle name="Normal 4 11 5 4 5 2" xfId="15785"/>
    <cellStyle name="Normal 4 11 5 4 5 2 2" xfId="32235"/>
    <cellStyle name="Normal 4 11 5 4 5 3" xfId="24010"/>
    <cellStyle name="Normal 4 11 5 4 5 4" xfId="40464"/>
    <cellStyle name="Normal 4 11 5 4 6" xfId="9205"/>
    <cellStyle name="Normal 4 11 5 4 6 2" xfId="25655"/>
    <cellStyle name="Normal 4 11 5 4 7" xfId="17429"/>
    <cellStyle name="Normal 4 11 5 4 8" xfId="33883"/>
    <cellStyle name="Normal 4 11 5 4 9" xfId="42110"/>
    <cellStyle name="Normal 4 11 5 5" xfId="1165"/>
    <cellStyle name="Normal 4 11 5 5 2" xfId="2860"/>
    <cellStyle name="Normal 4 11 5 5 2 2" xfId="11085"/>
    <cellStyle name="Normal 4 11 5 5 2 2 2" xfId="27535"/>
    <cellStyle name="Normal 4 11 5 5 2 3" xfId="19310"/>
    <cellStyle name="Normal 4 11 5 5 2 4" xfId="35764"/>
    <cellStyle name="Normal 4 11 5 5 3" xfId="4505"/>
    <cellStyle name="Normal 4 11 5 5 3 2" xfId="12730"/>
    <cellStyle name="Normal 4 11 5 5 3 2 2" xfId="29180"/>
    <cellStyle name="Normal 4 11 5 5 3 3" xfId="20955"/>
    <cellStyle name="Normal 4 11 5 5 3 4" xfId="37409"/>
    <cellStyle name="Normal 4 11 5 5 4" xfId="6150"/>
    <cellStyle name="Normal 4 11 5 5 4 2" xfId="14375"/>
    <cellStyle name="Normal 4 11 5 5 4 2 2" xfId="30825"/>
    <cellStyle name="Normal 4 11 5 5 4 3" xfId="22600"/>
    <cellStyle name="Normal 4 11 5 5 4 4" xfId="39054"/>
    <cellStyle name="Normal 4 11 5 5 5" xfId="7795"/>
    <cellStyle name="Normal 4 11 5 5 5 2" xfId="16020"/>
    <cellStyle name="Normal 4 11 5 5 5 2 2" xfId="32470"/>
    <cellStyle name="Normal 4 11 5 5 5 3" xfId="24245"/>
    <cellStyle name="Normal 4 11 5 5 5 4" xfId="40699"/>
    <cellStyle name="Normal 4 11 5 5 6" xfId="9440"/>
    <cellStyle name="Normal 4 11 5 5 6 2" xfId="25890"/>
    <cellStyle name="Normal 4 11 5 5 7" xfId="17664"/>
    <cellStyle name="Normal 4 11 5 5 8" xfId="34118"/>
    <cellStyle name="Normal 4 11 5 5 9" xfId="42345"/>
    <cellStyle name="Normal 4 11 5 6" xfId="1445"/>
    <cellStyle name="Normal 4 11 5 6 2" xfId="3095"/>
    <cellStyle name="Normal 4 11 5 6 2 2" xfId="11320"/>
    <cellStyle name="Normal 4 11 5 6 2 2 2" xfId="27770"/>
    <cellStyle name="Normal 4 11 5 6 2 3" xfId="19545"/>
    <cellStyle name="Normal 4 11 5 6 2 4" xfId="35999"/>
    <cellStyle name="Normal 4 11 5 6 3" xfId="4740"/>
    <cellStyle name="Normal 4 11 5 6 3 2" xfId="12965"/>
    <cellStyle name="Normal 4 11 5 6 3 2 2" xfId="29415"/>
    <cellStyle name="Normal 4 11 5 6 3 3" xfId="21190"/>
    <cellStyle name="Normal 4 11 5 6 3 4" xfId="37644"/>
    <cellStyle name="Normal 4 11 5 6 4" xfId="6385"/>
    <cellStyle name="Normal 4 11 5 6 4 2" xfId="14610"/>
    <cellStyle name="Normal 4 11 5 6 4 2 2" xfId="31060"/>
    <cellStyle name="Normal 4 11 5 6 4 3" xfId="22835"/>
    <cellStyle name="Normal 4 11 5 6 4 4" xfId="39289"/>
    <cellStyle name="Normal 4 11 5 6 5" xfId="8030"/>
    <cellStyle name="Normal 4 11 5 6 5 2" xfId="16255"/>
    <cellStyle name="Normal 4 11 5 6 5 2 2" xfId="32705"/>
    <cellStyle name="Normal 4 11 5 6 5 3" xfId="24480"/>
    <cellStyle name="Normal 4 11 5 6 5 4" xfId="40934"/>
    <cellStyle name="Normal 4 11 5 6 6" xfId="9675"/>
    <cellStyle name="Normal 4 11 5 6 6 2" xfId="26125"/>
    <cellStyle name="Normal 4 11 5 6 7" xfId="17899"/>
    <cellStyle name="Normal 4 11 5 6 8" xfId="34353"/>
    <cellStyle name="Normal 4 11 5 7" xfId="1680"/>
    <cellStyle name="Normal 4 11 5 7 2" xfId="3330"/>
    <cellStyle name="Normal 4 11 5 7 2 2" xfId="11555"/>
    <cellStyle name="Normal 4 11 5 7 2 2 2" xfId="28005"/>
    <cellStyle name="Normal 4 11 5 7 2 3" xfId="19780"/>
    <cellStyle name="Normal 4 11 5 7 2 4" xfId="36234"/>
    <cellStyle name="Normal 4 11 5 7 3" xfId="4975"/>
    <cellStyle name="Normal 4 11 5 7 3 2" xfId="13200"/>
    <cellStyle name="Normal 4 11 5 7 3 2 2" xfId="29650"/>
    <cellStyle name="Normal 4 11 5 7 3 3" xfId="21425"/>
    <cellStyle name="Normal 4 11 5 7 3 4" xfId="37879"/>
    <cellStyle name="Normal 4 11 5 7 4" xfId="6620"/>
    <cellStyle name="Normal 4 11 5 7 4 2" xfId="14845"/>
    <cellStyle name="Normal 4 11 5 7 4 2 2" xfId="31295"/>
    <cellStyle name="Normal 4 11 5 7 4 3" xfId="23070"/>
    <cellStyle name="Normal 4 11 5 7 4 4" xfId="39524"/>
    <cellStyle name="Normal 4 11 5 7 5" xfId="8265"/>
    <cellStyle name="Normal 4 11 5 7 5 2" xfId="16490"/>
    <cellStyle name="Normal 4 11 5 7 5 2 2" xfId="32940"/>
    <cellStyle name="Normal 4 11 5 7 5 3" xfId="24715"/>
    <cellStyle name="Normal 4 11 5 7 5 4" xfId="41169"/>
    <cellStyle name="Normal 4 11 5 7 6" xfId="9910"/>
    <cellStyle name="Normal 4 11 5 7 6 2" xfId="26360"/>
    <cellStyle name="Normal 4 11 5 7 7" xfId="18134"/>
    <cellStyle name="Normal 4 11 5 7 8" xfId="34588"/>
    <cellStyle name="Normal 4 11 5 8" xfId="1915"/>
    <cellStyle name="Normal 4 11 5 8 2" xfId="10145"/>
    <cellStyle name="Normal 4 11 5 8 2 2" xfId="26595"/>
    <cellStyle name="Normal 4 11 5 8 3" xfId="18369"/>
    <cellStyle name="Normal 4 11 5 8 4" xfId="34823"/>
    <cellStyle name="Normal 4 11 5 9" xfId="3565"/>
    <cellStyle name="Normal 4 11 5 9 2" xfId="11790"/>
    <cellStyle name="Normal 4 11 5 9 2 2" xfId="28240"/>
    <cellStyle name="Normal 4 11 5 9 3" xfId="20015"/>
    <cellStyle name="Normal 4 11 5 9 4" xfId="36469"/>
    <cellStyle name="Normal 4 11 6" xfId="240"/>
    <cellStyle name="Normal 4 11 6 10" xfId="5237"/>
    <cellStyle name="Normal 4 11 6 10 2" xfId="13462"/>
    <cellStyle name="Normal 4 11 6 10 2 2" xfId="29912"/>
    <cellStyle name="Normal 4 11 6 10 3" xfId="21687"/>
    <cellStyle name="Normal 4 11 6 10 4" xfId="38141"/>
    <cellStyle name="Normal 4 11 6 11" xfId="6882"/>
    <cellStyle name="Normal 4 11 6 11 2" xfId="15107"/>
    <cellStyle name="Normal 4 11 6 11 2 2" xfId="31557"/>
    <cellStyle name="Normal 4 11 6 11 3" xfId="23332"/>
    <cellStyle name="Normal 4 11 6 11 4" xfId="39786"/>
    <cellStyle name="Normal 4 11 6 12" xfId="8527"/>
    <cellStyle name="Normal 4 11 6 12 2" xfId="24977"/>
    <cellStyle name="Normal 4 11 6 13" xfId="16751"/>
    <cellStyle name="Normal 4 11 6 14" xfId="33204"/>
    <cellStyle name="Normal 4 11 6 15" xfId="41432"/>
    <cellStyle name="Normal 4 11 6 2" xfId="483"/>
    <cellStyle name="Normal 4 11 6 2 2" xfId="2180"/>
    <cellStyle name="Normal 4 11 6 2 2 2" xfId="10407"/>
    <cellStyle name="Normal 4 11 6 2 2 2 2" xfId="26857"/>
    <cellStyle name="Normal 4 11 6 2 2 3" xfId="18632"/>
    <cellStyle name="Normal 4 11 6 2 2 4" xfId="35086"/>
    <cellStyle name="Normal 4 11 6 2 3" xfId="3827"/>
    <cellStyle name="Normal 4 11 6 2 3 2" xfId="12052"/>
    <cellStyle name="Normal 4 11 6 2 3 2 2" xfId="28502"/>
    <cellStyle name="Normal 4 11 6 2 3 3" xfId="20277"/>
    <cellStyle name="Normal 4 11 6 2 3 4" xfId="36731"/>
    <cellStyle name="Normal 4 11 6 2 4" xfId="5472"/>
    <cellStyle name="Normal 4 11 6 2 4 2" xfId="13697"/>
    <cellStyle name="Normal 4 11 6 2 4 2 2" xfId="30147"/>
    <cellStyle name="Normal 4 11 6 2 4 3" xfId="21922"/>
    <cellStyle name="Normal 4 11 6 2 4 4" xfId="38376"/>
    <cellStyle name="Normal 4 11 6 2 5" xfId="7117"/>
    <cellStyle name="Normal 4 11 6 2 5 2" xfId="15342"/>
    <cellStyle name="Normal 4 11 6 2 5 2 2" xfId="31792"/>
    <cellStyle name="Normal 4 11 6 2 5 3" xfId="23567"/>
    <cellStyle name="Normal 4 11 6 2 5 4" xfId="40021"/>
    <cellStyle name="Normal 4 11 6 2 6" xfId="8762"/>
    <cellStyle name="Normal 4 11 6 2 6 2" xfId="25212"/>
    <cellStyle name="Normal 4 11 6 2 7" xfId="16986"/>
    <cellStyle name="Normal 4 11 6 2 8" xfId="33440"/>
    <cellStyle name="Normal 4 11 6 2 9" xfId="41667"/>
    <cellStyle name="Normal 4 11 6 3" xfId="722"/>
    <cellStyle name="Normal 4 11 6 3 2" xfId="2417"/>
    <cellStyle name="Normal 4 11 6 3 2 2" xfId="10642"/>
    <cellStyle name="Normal 4 11 6 3 2 2 2" xfId="27092"/>
    <cellStyle name="Normal 4 11 6 3 2 3" xfId="18867"/>
    <cellStyle name="Normal 4 11 6 3 2 4" xfId="35321"/>
    <cellStyle name="Normal 4 11 6 3 3" xfId="4062"/>
    <cellStyle name="Normal 4 11 6 3 3 2" xfId="12287"/>
    <cellStyle name="Normal 4 11 6 3 3 2 2" xfId="28737"/>
    <cellStyle name="Normal 4 11 6 3 3 3" xfId="20512"/>
    <cellStyle name="Normal 4 11 6 3 3 4" xfId="36966"/>
    <cellStyle name="Normal 4 11 6 3 4" xfId="5707"/>
    <cellStyle name="Normal 4 11 6 3 4 2" xfId="13932"/>
    <cellStyle name="Normal 4 11 6 3 4 2 2" xfId="30382"/>
    <cellStyle name="Normal 4 11 6 3 4 3" xfId="22157"/>
    <cellStyle name="Normal 4 11 6 3 4 4" xfId="38611"/>
    <cellStyle name="Normal 4 11 6 3 5" xfId="7352"/>
    <cellStyle name="Normal 4 11 6 3 5 2" xfId="15577"/>
    <cellStyle name="Normal 4 11 6 3 5 2 2" xfId="32027"/>
    <cellStyle name="Normal 4 11 6 3 5 3" xfId="23802"/>
    <cellStyle name="Normal 4 11 6 3 5 4" xfId="40256"/>
    <cellStyle name="Normal 4 11 6 3 6" xfId="8997"/>
    <cellStyle name="Normal 4 11 6 3 6 2" xfId="25447"/>
    <cellStyle name="Normal 4 11 6 3 7" xfId="17221"/>
    <cellStyle name="Normal 4 11 6 3 8" xfId="33675"/>
    <cellStyle name="Normal 4 11 6 3 9" xfId="41902"/>
    <cellStyle name="Normal 4 11 6 4" xfId="957"/>
    <cellStyle name="Normal 4 11 6 4 2" xfId="2652"/>
    <cellStyle name="Normal 4 11 6 4 2 2" xfId="10877"/>
    <cellStyle name="Normal 4 11 6 4 2 2 2" xfId="27327"/>
    <cellStyle name="Normal 4 11 6 4 2 3" xfId="19102"/>
    <cellStyle name="Normal 4 11 6 4 2 4" xfId="35556"/>
    <cellStyle name="Normal 4 11 6 4 3" xfId="4297"/>
    <cellStyle name="Normal 4 11 6 4 3 2" xfId="12522"/>
    <cellStyle name="Normal 4 11 6 4 3 2 2" xfId="28972"/>
    <cellStyle name="Normal 4 11 6 4 3 3" xfId="20747"/>
    <cellStyle name="Normal 4 11 6 4 3 4" xfId="37201"/>
    <cellStyle name="Normal 4 11 6 4 4" xfId="5942"/>
    <cellStyle name="Normal 4 11 6 4 4 2" xfId="14167"/>
    <cellStyle name="Normal 4 11 6 4 4 2 2" xfId="30617"/>
    <cellStyle name="Normal 4 11 6 4 4 3" xfId="22392"/>
    <cellStyle name="Normal 4 11 6 4 4 4" xfId="38846"/>
    <cellStyle name="Normal 4 11 6 4 5" xfId="7587"/>
    <cellStyle name="Normal 4 11 6 4 5 2" xfId="15812"/>
    <cellStyle name="Normal 4 11 6 4 5 2 2" xfId="32262"/>
    <cellStyle name="Normal 4 11 6 4 5 3" xfId="24037"/>
    <cellStyle name="Normal 4 11 6 4 5 4" xfId="40491"/>
    <cellStyle name="Normal 4 11 6 4 6" xfId="9232"/>
    <cellStyle name="Normal 4 11 6 4 6 2" xfId="25682"/>
    <cellStyle name="Normal 4 11 6 4 7" xfId="17456"/>
    <cellStyle name="Normal 4 11 6 4 8" xfId="33910"/>
    <cellStyle name="Normal 4 11 6 4 9" xfId="42137"/>
    <cellStyle name="Normal 4 11 6 5" xfId="1192"/>
    <cellStyle name="Normal 4 11 6 5 2" xfId="2887"/>
    <cellStyle name="Normal 4 11 6 5 2 2" xfId="11112"/>
    <cellStyle name="Normal 4 11 6 5 2 2 2" xfId="27562"/>
    <cellStyle name="Normal 4 11 6 5 2 3" xfId="19337"/>
    <cellStyle name="Normal 4 11 6 5 2 4" xfId="35791"/>
    <cellStyle name="Normal 4 11 6 5 3" xfId="4532"/>
    <cellStyle name="Normal 4 11 6 5 3 2" xfId="12757"/>
    <cellStyle name="Normal 4 11 6 5 3 2 2" xfId="29207"/>
    <cellStyle name="Normal 4 11 6 5 3 3" xfId="20982"/>
    <cellStyle name="Normal 4 11 6 5 3 4" xfId="37436"/>
    <cellStyle name="Normal 4 11 6 5 4" xfId="6177"/>
    <cellStyle name="Normal 4 11 6 5 4 2" xfId="14402"/>
    <cellStyle name="Normal 4 11 6 5 4 2 2" xfId="30852"/>
    <cellStyle name="Normal 4 11 6 5 4 3" xfId="22627"/>
    <cellStyle name="Normal 4 11 6 5 4 4" xfId="39081"/>
    <cellStyle name="Normal 4 11 6 5 5" xfId="7822"/>
    <cellStyle name="Normal 4 11 6 5 5 2" xfId="16047"/>
    <cellStyle name="Normal 4 11 6 5 5 2 2" xfId="32497"/>
    <cellStyle name="Normal 4 11 6 5 5 3" xfId="24272"/>
    <cellStyle name="Normal 4 11 6 5 5 4" xfId="40726"/>
    <cellStyle name="Normal 4 11 6 5 6" xfId="9467"/>
    <cellStyle name="Normal 4 11 6 5 6 2" xfId="25917"/>
    <cellStyle name="Normal 4 11 6 5 7" xfId="17691"/>
    <cellStyle name="Normal 4 11 6 5 8" xfId="34145"/>
    <cellStyle name="Normal 4 11 6 5 9" xfId="42372"/>
    <cellStyle name="Normal 4 11 6 6" xfId="1472"/>
    <cellStyle name="Normal 4 11 6 6 2" xfId="3122"/>
    <cellStyle name="Normal 4 11 6 6 2 2" xfId="11347"/>
    <cellStyle name="Normal 4 11 6 6 2 2 2" xfId="27797"/>
    <cellStyle name="Normal 4 11 6 6 2 3" xfId="19572"/>
    <cellStyle name="Normal 4 11 6 6 2 4" xfId="36026"/>
    <cellStyle name="Normal 4 11 6 6 3" xfId="4767"/>
    <cellStyle name="Normal 4 11 6 6 3 2" xfId="12992"/>
    <cellStyle name="Normal 4 11 6 6 3 2 2" xfId="29442"/>
    <cellStyle name="Normal 4 11 6 6 3 3" xfId="21217"/>
    <cellStyle name="Normal 4 11 6 6 3 4" xfId="37671"/>
    <cellStyle name="Normal 4 11 6 6 4" xfId="6412"/>
    <cellStyle name="Normal 4 11 6 6 4 2" xfId="14637"/>
    <cellStyle name="Normal 4 11 6 6 4 2 2" xfId="31087"/>
    <cellStyle name="Normal 4 11 6 6 4 3" xfId="22862"/>
    <cellStyle name="Normal 4 11 6 6 4 4" xfId="39316"/>
    <cellStyle name="Normal 4 11 6 6 5" xfId="8057"/>
    <cellStyle name="Normal 4 11 6 6 5 2" xfId="16282"/>
    <cellStyle name="Normal 4 11 6 6 5 2 2" xfId="32732"/>
    <cellStyle name="Normal 4 11 6 6 5 3" xfId="24507"/>
    <cellStyle name="Normal 4 11 6 6 5 4" xfId="40961"/>
    <cellStyle name="Normal 4 11 6 6 6" xfId="9702"/>
    <cellStyle name="Normal 4 11 6 6 6 2" xfId="26152"/>
    <cellStyle name="Normal 4 11 6 6 7" xfId="17926"/>
    <cellStyle name="Normal 4 11 6 6 8" xfId="34380"/>
    <cellStyle name="Normal 4 11 6 7" xfId="1707"/>
    <cellStyle name="Normal 4 11 6 7 2" xfId="3357"/>
    <cellStyle name="Normal 4 11 6 7 2 2" xfId="11582"/>
    <cellStyle name="Normal 4 11 6 7 2 2 2" xfId="28032"/>
    <cellStyle name="Normal 4 11 6 7 2 3" xfId="19807"/>
    <cellStyle name="Normal 4 11 6 7 2 4" xfId="36261"/>
    <cellStyle name="Normal 4 11 6 7 3" xfId="5002"/>
    <cellStyle name="Normal 4 11 6 7 3 2" xfId="13227"/>
    <cellStyle name="Normal 4 11 6 7 3 2 2" xfId="29677"/>
    <cellStyle name="Normal 4 11 6 7 3 3" xfId="21452"/>
    <cellStyle name="Normal 4 11 6 7 3 4" xfId="37906"/>
    <cellStyle name="Normal 4 11 6 7 4" xfId="6647"/>
    <cellStyle name="Normal 4 11 6 7 4 2" xfId="14872"/>
    <cellStyle name="Normal 4 11 6 7 4 2 2" xfId="31322"/>
    <cellStyle name="Normal 4 11 6 7 4 3" xfId="23097"/>
    <cellStyle name="Normal 4 11 6 7 4 4" xfId="39551"/>
    <cellStyle name="Normal 4 11 6 7 5" xfId="8292"/>
    <cellStyle name="Normal 4 11 6 7 5 2" xfId="16517"/>
    <cellStyle name="Normal 4 11 6 7 5 2 2" xfId="32967"/>
    <cellStyle name="Normal 4 11 6 7 5 3" xfId="24742"/>
    <cellStyle name="Normal 4 11 6 7 5 4" xfId="41196"/>
    <cellStyle name="Normal 4 11 6 7 6" xfId="9937"/>
    <cellStyle name="Normal 4 11 6 7 6 2" xfId="26387"/>
    <cellStyle name="Normal 4 11 6 7 7" xfId="18161"/>
    <cellStyle name="Normal 4 11 6 7 8" xfId="34615"/>
    <cellStyle name="Normal 4 11 6 8" xfId="1942"/>
    <cellStyle name="Normal 4 11 6 8 2" xfId="10172"/>
    <cellStyle name="Normal 4 11 6 8 2 2" xfId="26622"/>
    <cellStyle name="Normal 4 11 6 8 3" xfId="18396"/>
    <cellStyle name="Normal 4 11 6 8 4" xfId="34850"/>
    <cellStyle name="Normal 4 11 6 9" xfId="3592"/>
    <cellStyle name="Normal 4 11 6 9 2" xfId="11817"/>
    <cellStyle name="Normal 4 11 6 9 2 2" xfId="28267"/>
    <cellStyle name="Normal 4 11 6 9 3" xfId="20042"/>
    <cellStyle name="Normal 4 11 6 9 4" xfId="36496"/>
    <cellStyle name="Normal 4 11 7" xfId="269"/>
    <cellStyle name="Normal 4 11 7 10" xfId="5264"/>
    <cellStyle name="Normal 4 11 7 10 2" xfId="13489"/>
    <cellStyle name="Normal 4 11 7 10 2 2" xfId="29939"/>
    <cellStyle name="Normal 4 11 7 10 3" xfId="21714"/>
    <cellStyle name="Normal 4 11 7 10 4" xfId="38168"/>
    <cellStyle name="Normal 4 11 7 11" xfId="6909"/>
    <cellStyle name="Normal 4 11 7 11 2" xfId="15134"/>
    <cellStyle name="Normal 4 11 7 11 2 2" xfId="31584"/>
    <cellStyle name="Normal 4 11 7 11 3" xfId="23359"/>
    <cellStyle name="Normal 4 11 7 11 4" xfId="39813"/>
    <cellStyle name="Normal 4 11 7 12" xfId="8554"/>
    <cellStyle name="Normal 4 11 7 12 2" xfId="25004"/>
    <cellStyle name="Normal 4 11 7 13" xfId="16778"/>
    <cellStyle name="Normal 4 11 7 14" xfId="33231"/>
    <cellStyle name="Normal 4 11 7 15" xfId="41459"/>
    <cellStyle name="Normal 4 11 7 2" xfId="512"/>
    <cellStyle name="Normal 4 11 7 2 2" xfId="2207"/>
    <cellStyle name="Normal 4 11 7 2 2 2" xfId="10434"/>
    <cellStyle name="Normal 4 11 7 2 2 2 2" xfId="26884"/>
    <cellStyle name="Normal 4 11 7 2 2 3" xfId="18659"/>
    <cellStyle name="Normal 4 11 7 2 2 4" xfId="35113"/>
    <cellStyle name="Normal 4 11 7 2 3" xfId="3854"/>
    <cellStyle name="Normal 4 11 7 2 3 2" xfId="12079"/>
    <cellStyle name="Normal 4 11 7 2 3 2 2" xfId="28529"/>
    <cellStyle name="Normal 4 11 7 2 3 3" xfId="20304"/>
    <cellStyle name="Normal 4 11 7 2 3 4" xfId="36758"/>
    <cellStyle name="Normal 4 11 7 2 4" xfId="5499"/>
    <cellStyle name="Normal 4 11 7 2 4 2" xfId="13724"/>
    <cellStyle name="Normal 4 11 7 2 4 2 2" xfId="30174"/>
    <cellStyle name="Normal 4 11 7 2 4 3" xfId="21949"/>
    <cellStyle name="Normal 4 11 7 2 4 4" xfId="38403"/>
    <cellStyle name="Normal 4 11 7 2 5" xfId="7144"/>
    <cellStyle name="Normal 4 11 7 2 5 2" xfId="15369"/>
    <cellStyle name="Normal 4 11 7 2 5 2 2" xfId="31819"/>
    <cellStyle name="Normal 4 11 7 2 5 3" xfId="23594"/>
    <cellStyle name="Normal 4 11 7 2 5 4" xfId="40048"/>
    <cellStyle name="Normal 4 11 7 2 6" xfId="8789"/>
    <cellStyle name="Normal 4 11 7 2 6 2" xfId="25239"/>
    <cellStyle name="Normal 4 11 7 2 7" xfId="17013"/>
    <cellStyle name="Normal 4 11 7 2 8" xfId="33467"/>
    <cellStyle name="Normal 4 11 7 2 9" xfId="41694"/>
    <cellStyle name="Normal 4 11 7 3" xfId="749"/>
    <cellStyle name="Normal 4 11 7 3 2" xfId="2444"/>
    <cellStyle name="Normal 4 11 7 3 2 2" xfId="10669"/>
    <cellStyle name="Normal 4 11 7 3 2 2 2" xfId="27119"/>
    <cellStyle name="Normal 4 11 7 3 2 3" xfId="18894"/>
    <cellStyle name="Normal 4 11 7 3 2 4" xfId="35348"/>
    <cellStyle name="Normal 4 11 7 3 3" xfId="4089"/>
    <cellStyle name="Normal 4 11 7 3 3 2" xfId="12314"/>
    <cellStyle name="Normal 4 11 7 3 3 2 2" xfId="28764"/>
    <cellStyle name="Normal 4 11 7 3 3 3" xfId="20539"/>
    <cellStyle name="Normal 4 11 7 3 3 4" xfId="36993"/>
    <cellStyle name="Normal 4 11 7 3 4" xfId="5734"/>
    <cellStyle name="Normal 4 11 7 3 4 2" xfId="13959"/>
    <cellStyle name="Normal 4 11 7 3 4 2 2" xfId="30409"/>
    <cellStyle name="Normal 4 11 7 3 4 3" xfId="22184"/>
    <cellStyle name="Normal 4 11 7 3 4 4" xfId="38638"/>
    <cellStyle name="Normal 4 11 7 3 5" xfId="7379"/>
    <cellStyle name="Normal 4 11 7 3 5 2" xfId="15604"/>
    <cellStyle name="Normal 4 11 7 3 5 2 2" xfId="32054"/>
    <cellStyle name="Normal 4 11 7 3 5 3" xfId="23829"/>
    <cellStyle name="Normal 4 11 7 3 5 4" xfId="40283"/>
    <cellStyle name="Normal 4 11 7 3 6" xfId="9024"/>
    <cellStyle name="Normal 4 11 7 3 6 2" xfId="25474"/>
    <cellStyle name="Normal 4 11 7 3 7" xfId="17248"/>
    <cellStyle name="Normal 4 11 7 3 8" xfId="33702"/>
    <cellStyle name="Normal 4 11 7 3 9" xfId="41929"/>
    <cellStyle name="Normal 4 11 7 4" xfId="984"/>
    <cellStyle name="Normal 4 11 7 4 2" xfId="2679"/>
    <cellStyle name="Normal 4 11 7 4 2 2" xfId="10904"/>
    <cellStyle name="Normal 4 11 7 4 2 2 2" xfId="27354"/>
    <cellStyle name="Normal 4 11 7 4 2 3" xfId="19129"/>
    <cellStyle name="Normal 4 11 7 4 2 4" xfId="35583"/>
    <cellStyle name="Normal 4 11 7 4 3" xfId="4324"/>
    <cellStyle name="Normal 4 11 7 4 3 2" xfId="12549"/>
    <cellStyle name="Normal 4 11 7 4 3 2 2" xfId="28999"/>
    <cellStyle name="Normal 4 11 7 4 3 3" xfId="20774"/>
    <cellStyle name="Normal 4 11 7 4 3 4" xfId="37228"/>
    <cellStyle name="Normal 4 11 7 4 4" xfId="5969"/>
    <cellStyle name="Normal 4 11 7 4 4 2" xfId="14194"/>
    <cellStyle name="Normal 4 11 7 4 4 2 2" xfId="30644"/>
    <cellStyle name="Normal 4 11 7 4 4 3" xfId="22419"/>
    <cellStyle name="Normal 4 11 7 4 4 4" xfId="38873"/>
    <cellStyle name="Normal 4 11 7 4 5" xfId="7614"/>
    <cellStyle name="Normal 4 11 7 4 5 2" xfId="15839"/>
    <cellStyle name="Normal 4 11 7 4 5 2 2" xfId="32289"/>
    <cellStyle name="Normal 4 11 7 4 5 3" xfId="24064"/>
    <cellStyle name="Normal 4 11 7 4 5 4" xfId="40518"/>
    <cellStyle name="Normal 4 11 7 4 6" xfId="9259"/>
    <cellStyle name="Normal 4 11 7 4 6 2" xfId="25709"/>
    <cellStyle name="Normal 4 11 7 4 7" xfId="17483"/>
    <cellStyle name="Normal 4 11 7 4 8" xfId="33937"/>
    <cellStyle name="Normal 4 11 7 4 9" xfId="42164"/>
    <cellStyle name="Normal 4 11 7 5" xfId="1219"/>
    <cellStyle name="Normal 4 11 7 5 2" xfId="2914"/>
    <cellStyle name="Normal 4 11 7 5 2 2" xfId="11139"/>
    <cellStyle name="Normal 4 11 7 5 2 2 2" xfId="27589"/>
    <cellStyle name="Normal 4 11 7 5 2 3" xfId="19364"/>
    <cellStyle name="Normal 4 11 7 5 2 4" xfId="35818"/>
    <cellStyle name="Normal 4 11 7 5 3" xfId="4559"/>
    <cellStyle name="Normal 4 11 7 5 3 2" xfId="12784"/>
    <cellStyle name="Normal 4 11 7 5 3 2 2" xfId="29234"/>
    <cellStyle name="Normal 4 11 7 5 3 3" xfId="21009"/>
    <cellStyle name="Normal 4 11 7 5 3 4" xfId="37463"/>
    <cellStyle name="Normal 4 11 7 5 4" xfId="6204"/>
    <cellStyle name="Normal 4 11 7 5 4 2" xfId="14429"/>
    <cellStyle name="Normal 4 11 7 5 4 2 2" xfId="30879"/>
    <cellStyle name="Normal 4 11 7 5 4 3" xfId="22654"/>
    <cellStyle name="Normal 4 11 7 5 4 4" xfId="39108"/>
    <cellStyle name="Normal 4 11 7 5 5" xfId="7849"/>
    <cellStyle name="Normal 4 11 7 5 5 2" xfId="16074"/>
    <cellStyle name="Normal 4 11 7 5 5 2 2" xfId="32524"/>
    <cellStyle name="Normal 4 11 7 5 5 3" xfId="24299"/>
    <cellStyle name="Normal 4 11 7 5 5 4" xfId="40753"/>
    <cellStyle name="Normal 4 11 7 5 6" xfId="9494"/>
    <cellStyle name="Normal 4 11 7 5 6 2" xfId="25944"/>
    <cellStyle name="Normal 4 11 7 5 7" xfId="17718"/>
    <cellStyle name="Normal 4 11 7 5 8" xfId="34172"/>
    <cellStyle name="Normal 4 11 7 5 9" xfId="42399"/>
    <cellStyle name="Normal 4 11 7 6" xfId="1499"/>
    <cellStyle name="Normal 4 11 7 6 2" xfId="3149"/>
    <cellStyle name="Normal 4 11 7 6 2 2" xfId="11374"/>
    <cellStyle name="Normal 4 11 7 6 2 2 2" xfId="27824"/>
    <cellStyle name="Normal 4 11 7 6 2 3" xfId="19599"/>
    <cellStyle name="Normal 4 11 7 6 2 4" xfId="36053"/>
    <cellStyle name="Normal 4 11 7 6 3" xfId="4794"/>
    <cellStyle name="Normal 4 11 7 6 3 2" xfId="13019"/>
    <cellStyle name="Normal 4 11 7 6 3 2 2" xfId="29469"/>
    <cellStyle name="Normal 4 11 7 6 3 3" xfId="21244"/>
    <cellStyle name="Normal 4 11 7 6 3 4" xfId="37698"/>
    <cellStyle name="Normal 4 11 7 6 4" xfId="6439"/>
    <cellStyle name="Normal 4 11 7 6 4 2" xfId="14664"/>
    <cellStyle name="Normal 4 11 7 6 4 2 2" xfId="31114"/>
    <cellStyle name="Normal 4 11 7 6 4 3" xfId="22889"/>
    <cellStyle name="Normal 4 11 7 6 4 4" xfId="39343"/>
    <cellStyle name="Normal 4 11 7 6 5" xfId="8084"/>
    <cellStyle name="Normal 4 11 7 6 5 2" xfId="16309"/>
    <cellStyle name="Normal 4 11 7 6 5 2 2" xfId="32759"/>
    <cellStyle name="Normal 4 11 7 6 5 3" xfId="24534"/>
    <cellStyle name="Normal 4 11 7 6 5 4" xfId="40988"/>
    <cellStyle name="Normal 4 11 7 6 6" xfId="9729"/>
    <cellStyle name="Normal 4 11 7 6 6 2" xfId="26179"/>
    <cellStyle name="Normal 4 11 7 6 7" xfId="17953"/>
    <cellStyle name="Normal 4 11 7 6 8" xfId="34407"/>
    <cellStyle name="Normal 4 11 7 7" xfId="1734"/>
    <cellStyle name="Normal 4 11 7 7 2" xfId="3384"/>
    <cellStyle name="Normal 4 11 7 7 2 2" xfId="11609"/>
    <cellStyle name="Normal 4 11 7 7 2 2 2" xfId="28059"/>
    <cellStyle name="Normal 4 11 7 7 2 3" xfId="19834"/>
    <cellStyle name="Normal 4 11 7 7 2 4" xfId="36288"/>
    <cellStyle name="Normal 4 11 7 7 3" xfId="5029"/>
    <cellStyle name="Normal 4 11 7 7 3 2" xfId="13254"/>
    <cellStyle name="Normal 4 11 7 7 3 2 2" xfId="29704"/>
    <cellStyle name="Normal 4 11 7 7 3 3" xfId="21479"/>
    <cellStyle name="Normal 4 11 7 7 3 4" xfId="37933"/>
    <cellStyle name="Normal 4 11 7 7 4" xfId="6674"/>
    <cellStyle name="Normal 4 11 7 7 4 2" xfId="14899"/>
    <cellStyle name="Normal 4 11 7 7 4 2 2" xfId="31349"/>
    <cellStyle name="Normal 4 11 7 7 4 3" xfId="23124"/>
    <cellStyle name="Normal 4 11 7 7 4 4" xfId="39578"/>
    <cellStyle name="Normal 4 11 7 7 5" xfId="8319"/>
    <cellStyle name="Normal 4 11 7 7 5 2" xfId="16544"/>
    <cellStyle name="Normal 4 11 7 7 5 2 2" xfId="32994"/>
    <cellStyle name="Normal 4 11 7 7 5 3" xfId="24769"/>
    <cellStyle name="Normal 4 11 7 7 5 4" xfId="41223"/>
    <cellStyle name="Normal 4 11 7 7 6" xfId="9964"/>
    <cellStyle name="Normal 4 11 7 7 6 2" xfId="26414"/>
    <cellStyle name="Normal 4 11 7 7 7" xfId="18188"/>
    <cellStyle name="Normal 4 11 7 7 8" xfId="34642"/>
    <cellStyle name="Normal 4 11 7 8" xfId="1969"/>
    <cellStyle name="Normal 4 11 7 8 2" xfId="10199"/>
    <cellStyle name="Normal 4 11 7 8 2 2" xfId="26649"/>
    <cellStyle name="Normal 4 11 7 8 3" xfId="18423"/>
    <cellStyle name="Normal 4 11 7 8 4" xfId="34877"/>
    <cellStyle name="Normal 4 11 7 9" xfId="3619"/>
    <cellStyle name="Normal 4 11 7 9 2" xfId="11844"/>
    <cellStyle name="Normal 4 11 7 9 2 2" xfId="28294"/>
    <cellStyle name="Normal 4 11 7 9 3" xfId="20069"/>
    <cellStyle name="Normal 4 11 7 9 4" xfId="36523"/>
    <cellStyle name="Normal 4 11 8" xfId="298"/>
    <cellStyle name="Normal 4 11 8 2" xfId="1999"/>
    <cellStyle name="Normal 4 11 8 2 2" xfId="10226"/>
    <cellStyle name="Normal 4 11 8 2 2 2" xfId="26676"/>
    <cellStyle name="Normal 4 11 8 2 3" xfId="18451"/>
    <cellStyle name="Normal 4 11 8 2 4" xfId="34905"/>
    <cellStyle name="Normal 4 11 8 3" xfId="3646"/>
    <cellStyle name="Normal 4 11 8 3 2" xfId="11871"/>
    <cellStyle name="Normal 4 11 8 3 2 2" xfId="28321"/>
    <cellStyle name="Normal 4 11 8 3 3" xfId="20096"/>
    <cellStyle name="Normal 4 11 8 3 4" xfId="36550"/>
    <cellStyle name="Normal 4 11 8 4" xfId="5291"/>
    <cellStyle name="Normal 4 11 8 4 2" xfId="13516"/>
    <cellStyle name="Normal 4 11 8 4 2 2" xfId="29966"/>
    <cellStyle name="Normal 4 11 8 4 3" xfId="21741"/>
    <cellStyle name="Normal 4 11 8 4 4" xfId="38195"/>
    <cellStyle name="Normal 4 11 8 5" xfId="6936"/>
    <cellStyle name="Normal 4 11 8 5 2" xfId="15161"/>
    <cellStyle name="Normal 4 11 8 5 2 2" xfId="31611"/>
    <cellStyle name="Normal 4 11 8 5 3" xfId="23386"/>
    <cellStyle name="Normal 4 11 8 5 4" xfId="39840"/>
    <cellStyle name="Normal 4 11 8 6" xfId="8581"/>
    <cellStyle name="Normal 4 11 8 6 2" xfId="25031"/>
    <cellStyle name="Normal 4 11 8 7" xfId="16805"/>
    <cellStyle name="Normal 4 11 8 8" xfId="33259"/>
    <cellStyle name="Normal 4 11 8 9" xfId="41486"/>
    <cellStyle name="Normal 4 11 9" xfId="541"/>
    <cellStyle name="Normal 4 11 9 2" xfId="2236"/>
    <cellStyle name="Normal 4 11 9 2 2" xfId="10461"/>
    <cellStyle name="Normal 4 11 9 2 2 2" xfId="26911"/>
    <cellStyle name="Normal 4 11 9 2 3" xfId="18686"/>
    <cellStyle name="Normal 4 11 9 2 4" xfId="35140"/>
    <cellStyle name="Normal 4 11 9 3" xfId="3881"/>
    <cellStyle name="Normal 4 11 9 3 2" xfId="12106"/>
    <cellStyle name="Normal 4 11 9 3 2 2" xfId="28556"/>
    <cellStyle name="Normal 4 11 9 3 3" xfId="20331"/>
    <cellStyle name="Normal 4 11 9 3 4" xfId="36785"/>
    <cellStyle name="Normal 4 11 9 4" xfId="5526"/>
    <cellStyle name="Normal 4 11 9 4 2" xfId="13751"/>
    <cellStyle name="Normal 4 11 9 4 2 2" xfId="30201"/>
    <cellStyle name="Normal 4 11 9 4 3" xfId="21976"/>
    <cellStyle name="Normal 4 11 9 4 4" xfId="38430"/>
    <cellStyle name="Normal 4 11 9 5" xfId="7171"/>
    <cellStyle name="Normal 4 11 9 5 2" xfId="15396"/>
    <cellStyle name="Normal 4 11 9 5 2 2" xfId="31846"/>
    <cellStyle name="Normal 4 11 9 5 3" xfId="23621"/>
    <cellStyle name="Normal 4 11 9 5 4" xfId="40075"/>
    <cellStyle name="Normal 4 11 9 6" xfId="8816"/>
    <cellStyle name="Normal 4 11 9 6 2" xfId="25266"/>
    <cellStyle name="Normal 4 11 9 7" xfId="17040"/>
    <cellStyle name="Normal 4 11 9 8" xfId="33494"/>
    <cellStyle name="Normal 4 11 9 9" xfId="41721"/>
    <cellStyle name="Normal 4 12" xfId="82"/>
    <cellStyle name="Normal 4 12 10" xfId="5081"/>
    <cellStyle name="Normal 4 12 10 2" xfId="13306"/>
    <cellStyle name="Normal 4 12 10 2 2" xfId="29756"/>
    <cellStyle name="Normal 4 12 10 3" xfId="21531"/>
    <cellStyle name="Normal 4 12 10 4" xfId="37985"/>
    <cellStyle name="Normal 4 12 11" xfId="6726"/>
    <cellStyle name="Normal 4 12 11 2" xfId="14951"/>
    <cellStyle name="Normal 4 12 11 2 2" xfId="31401"/>
    <cellStyle name="Normal 4 12 11 3" xfId="23176"/>
    <cellStyle name="Normal 4 12 11 4" xfId="39630"/>
    <cellStyle name="Normal 4 12 12" xfId="8371"/>
    <cellStyle name="Normal 4 12 12 2" xfId="24821"/>
    <cellStyle name="Normal 4 12 13" xfId="16595"/>
    <cellStyle name="Normal 4 12 14" xfId="33048"/>
    <cellStyle name="Normal 4 12 15" xfId="41276"/>
    <cellStyle name="Normal 4 12 2" xfId="325"/>
    <cellStyle name="Normal 4 12 2 2" xfId="2024"/>
    <cellStyle name="Normal 4 12 2 2 2" xfId="10251"/>
    <cellStyle name="Normal 4 12 2 2 2 2" xfId="26701"/>
    <cellStyle name="Normal 4 12 2 2 3" xfId="18476"/>
    <cellStyle name="Normal 4 12 2 2 4" xfId="34930"/>
    <cellStyle name="Normal 4 12 2 3" xfId="3671"/>
    <cellStyle name="Normal 4 12 2 3 2" xfId="11896"/>
    <cellStyle name="Normal 4 12 2 3 2 2" xfId="28346"/>
    <cellStyle name="Normal 4 12 2 3 3" xfId="20121"/>
    <cellStyle name="Normal 4 12 2 3 4" xfId="36575"/>
    <cellStyle name="Normal 4 12 2 4" xfId="5316"/>
    <cellStyle name="Normal 4 12 2 4 2" xfId="13541"/>
    <cellStyle name="Normal 4 12 2 4 2 2" xfId="29991"/>
    <cellStyle name="Normal 4 12 2 4 3" xfId="21766"/>
    <cellStyle name="Normal 4 12 2 4 4" xfId="38220"/>
    <cellStyle name="Normal 4 12 2 5" xfId="6961"/>
    <cellStyle name="Normal 4 12 2 5 2" xfId="15186"/>
    <cellStyle name="Normal 4 12 2 5 2 2" xfId="31636"/>
    <cellStyle name="Normal 4 12 2 5 3" xfId="23411"/>
    <cellStyle name="Normal 4 12 2 5 4" xfId="39865"/>
    <cellStyle name="Normal 4 12 2 6" xfId="8606"/>
    <cellStyle name="Normal 4 12 2 6 2" xfId="25056"/>
    <cellStyle name="Normal 4 12 2 7" xfId="16830"/>
    <cellStyle name="Normal 4 12 2 8" xfId="33284"/>
    <cellStyle name="Normal 4 12 2 9" xfId="41511"/>
    <cellStyle name="Normal 4 12 3" xfId="566"/>
    <cellStyle name="Normal 4 12 3 2" xfId="2261"/>
    <cellStyle name="Normal 4 12 3 2 2" xfId="10486"/>
    <cellStyle name="Normal 4 12 3 2 2 2" xfId="26936"/>
    <cellStyle name="Normal 4 12 3 2 3" xfId="18711"/>
    <cellStyle name="Normal 4 12 3 2 4" xfId="35165"/>
    <cellStyle name="Normal 4 12 3 3" xfId="3906"/>
    <cellStyle name="Normal 4 12 3 3 2" xfId="12131"/>
    <cellStyle name="Normal 4 12 3 3 2 2" xfId="28581"/>
    <cellStyle name="Normal 4 12 3 3 3" xfId="20356"/>
    <cellStyle name="Normal 4 12 3 3 4" xfId="36810"/>
    <cellStyle name="Normal 4 12 3 4" xfId="5551"/>
    <cellStyle name="Normal 4 12 3 4 2" xfId="13776"/>
    <cellStyle name="Normal 4 12 3 4 2 2" xfId="30226"/>
    <cellStyle name="Normal 4 12 3 4 3" xfId="22001"/>
    <cellStyle name="Normal 4 12 3 4 4" xfId="38455"/>
    <cellStyle name="Normal 4 12 3 5" xfId="7196"/>
    <cellStyle name="Normal 4 12 3 5 2" xfId="15421"/>
    <cellStyle name="Normal 4 12 3 5 2 2" xfId="31871"/>
    <cellStyle name="Normal 4 12 3 5 3" xfId="23646"/>
    <cellStyle name="Normal 4 12 3 5 4" xfId="40100"/>
    <cellStyle name="Normal 4 12 3 6" xfId="8841"/>
    <cellStyle name="Normal 4 12 3 6 2" xfId="25291"/>
    <cellStyle name="Normal 4 12 3 7" xfId="17065"/>
    <cellStyle name="Normal 4 12 3 8" xfId="33519"/>
    <cellStyle name="Normal 4 12 3 9" xfId="41746"/>
    <cellStyle name="Normal 4 12 4" xfId="801"/>
    <cellStyle name="Normal 4 12 4 2" xfId="2496"/>
    <cellStyle name="Normal 4 12 4 2 2" xfId="10721"/>
    <cellStyle name="Normal 4 12 4 2 2 2" xfId="27171"/>
    <cellStyle name="Normal 4 12 4 2 3" xfId="18946"/>
    <cellStyle name="Normal 4 12 4 2 4" xfId="35400"/>
    <cellStyle name="Normal 4 12 4 3" xfId="4141"/>
    <cellStyle name="Normal 4 12 4 3 2" xfId="12366"/>
    <cellStyle name="Normal 4 12 4 3 2 2" xfId="28816"/>
    <cellStyle name="Normal 4 12 4 3 3" xfId="20591"/>
    <cellStyle name="Normal 4 12 4 3 4" xfId="37045"/>
    <cellStyle name="Normal 4 12 4 4" xfId="5786"/>
    <cellStyle name="Normal 4 12 4 4 2" xfId="14011"/>
    <cellStyle name="Normal 4 12 4 4 2 2" xfId="30461"/>
    <cellStyle name="Normal 4 12 4 4 3" xfId="22236"/>
    <cellStyle name="Normal 4 12 4 4 4" xfId="38690"/>
    <cellStyle name="Normal 4 12 4 5" xfId="7431"/>
    <cellStyle name="Normal 4 12 4 5 2" xfId="15656"/>
    <cellStyle name="Normal 4 12 4 5 2 2" xfId="32106"/>
    <cellStyle name="Normal 4 12 4 5 3" xfId="23881"/>
    <cellStyle name="Normal 4 12 4 5 4" xfId="40335"/>
    <cellStyle name="Normal 4 12 4 6" xfId="9076"/>
    <cellStyle name="Normal 4 12 4 6 2" xfId="25526"/>
    <cellStyle name="Normal 4 12 4 7" xfId="17300"/>
    <cellStyle name="Normal 4 12 4 8" xfId="33754"/>
    <cellStyle name="Normal 4 12 4 9" xfId="41981"/>
    <cellStyle name="Normal 4 12 5" xfId="1036"/>
    <cellStyle name="Normal 4 12 5 2" xfId="2731"/>
    <cellStyle name="Normal 4 12 5 2 2" xfId="10956"/>
    <cellStyle name="Normal 4 12 5 2 2 2" xfId="27406"/>
    <cellStyle name="Normal 4 12 5 2 3" xfId="19181"/>
    <cellStyle name="Normal 4 12 5 2 4" xfId="35635"/>
    <cellStyle name="Normal 4 12 5 3" xfId="4376"/>
    <cellStyle name="Normal 4 12 5 3 2" xfId="12601"/>
    <cellStyle name="Normal 4 12 5 3 2 2" xfId="29051"/>
    <cellStyle name="Normal 4 12 5 3 3" xfId="20826"/>
    <cellStyle name="Normal 4 12 5 3 4" xfId="37280"/>
    <cellStyle name="Normal 4 12 5 4" xfId="6021"/>
    <cellStyle name="Normal 4 12 5 4 2" xfId="14246"/>
    <cellStyle name="Normal 4 12 5 4 2 2" xfId="30696"/>
    <cellStyle name="Normal 4 12 5 4 3" xfId="22471"/>
    <cellStyle name="Normal 4 12 5 4 4" xfId="38925"/>
    <cellStyle name="Normal 4 12 5 5" xfId="7666"/>
    <cellStyle name="Normal 4 12 5 5 2" xfId="15891"/>
    <cellStyle name="Normal 4 12 5 5 2 2" xfId="32341"/>
    <cellStyle name="Normal 4 12 5 5 3" xfId="24116"/>
    <cellStyle name="Normal 4 12 5 5 4" xfId="40570"/>
    <cellStyle name="Normal 4 12 5 6" xfId="9311"/>
    <cellStyle name="Normal 4 12 5 6 2" xfId="25761"/>
    <cellStyle name="Normal 4 12 5 7" xfId="17535"/>
    <cellStyle name="Normal 4 12 5 8" xfId="33989"/>
    <cellStyle name="Normal 4 12 5 9" xfId="42216"/>
    <cellStyle name="Normal 4 12 6" xfId="1316"/>
    <cellStyle name="Normal 4 12 6 2" xfId="2966"/>
    <cellStyle name="Normal 4 12 6 2 2" xfId="11191"/>
    <cellStyle name="Normal 4 12 6 2 2 2" xfId="27641"/>
    <cellStyle name="Normal 4 12 6 2 3" xfId="19416"/>
    <cellStyle name="Normal 4 12 6 2 4" xfId="35870"/>
    <cellStyle name="Normal 4 12 6 3" xfId="4611"/>
    <cellStyle name="Normal 4 12 6 3 2" xfId="12836"/>
    <cellStyle name="Normal 4 12 6 3 2 2" xfId="29286"/>
    <cellStyle name="Normal 4 12 6 3 3" xfId="21061"/>
    <cellStyle name="Normal 4 12 6 3 4" xfId="37515"/>
    <cellStyle name="Normal 4 12 6 4" xfId="6256"/>
    <cellStyle name="Normal 4 12 6 4 2" xfId="14481"/>
    <cellStyle name="Normal 4 12 6 4 2 2" xfId="30931"/>
    <cellStyle name="Normal 4 12 6 4 3" xfId="22706"/>
    <cellStyle name="Normal 4 12 6 4 4" xfId="39160"/>
    <cellStyle name="Normal 4 12 6 5" xfId="7901"/>
    <cellStyle name="Normal 4 12 6 5 2" xfId="16126"/>
    <cellStyle name="Normal 4 12 6 5 2 2" xfId="32576"/>
    <cellStyle name="Normal 4 12 6 5 3" xfId="24351"/>
    <cellStyle name="Normal 4 12 6 5 4" xfId="40805"/>
    <cellStyle name="Normal 4 12 6 6" xfId="9546"/>
    <cellStyle name="Normal 4 12 6 6 2" xfId="25996"/>
    <cellStyle name="Normal 4 12 6 7" xfId="17770"/>
    <cellStyle name="Normal 4 12 6 8" xfId="34224"/>
    <cellStyle name="Normal 4 12 7" xfId="1551"/>
    <cellStyle name="Normal 4 12 7 2" xfId="3201"/>
    <cellStyle name="Normal 4 12 7 2 2" xfId="11426"/>
    <cellStyle name="Normal 4 12 7 2 2 2" xfId="27876"/>
    <cellStyle name="Normal 4 12 7 2 3" xfId="19651"/>
    <cellStyle name="Normal 4 12 7 2 4" xfId="36105"/>
    <cellStyle name="Normal 4 12 7 3" xfId="4846"/>
    <cellStyle name="Normal 4 12 7 3 2" xfId="13071"/>
    <cellStyle name="Normal 4 12 7 3 2 2" xfId="29521"/>
    <cellStyle name="Normal 4 12 7 3 3" xfId="21296"/>
    <cellStyle name="Normal 4 12 7 3 4" xfId="37750"/>
    <cellStyle name="Normal 4 12 7 4" xfId="6491"/>
    <cellStyle name="Normal 4 12 7 4 2" xfId="14716"/>
    <cellStyle name="Normal 4 12 7 4 2 2" xfId="31166"/>
    <cellStyle name="Normal 4 12 7 4 3" xfId="22941"/>
    <cellStyle name="Normal 4 12 7 4 4" xfId="39395"/>
    <cellStyle name="Normal 4 12 7 5" xfId="8136"/>
    <cellStyle name="Normal 4 12 7 5 2" xfId="16361"/>
    <cellStyle name="Normal 4 12 7 5 2 2" xfId="32811"/>
    <cellStyle name="Normal 4 12 7 5 3" xfId="24586"/>
    <cellStyle name="Normal 4 12 7 5 4" xfId="41040"/>
    <cellStyle name="Normal 4 12 7 6" xfId="9781"/>
    <cellStyle name="Normal 4 12 7 6 2" xfId="26231"/>
    <cellStyle name="Normal 4 12 7 7" xfId="18005"/>
    <cellStyle name="Normal 4 12 7 8" xfId="34459"/>
    <cellStyle name="Normal 4 12 8" xfId="1786"/>
    <cellStyle name="Normal 4 12 8 2" xfId="10016"/>
    <cellStyle name="Normal 4 12 8 2 2" xfId="26466"/>
    <cellStyle name="Normal 4 12 8 3" xfId="18240"/>
    <cellStyle name="Normal 4 12 8 4" xfId="34694"/>
    <cellStyle name="Normal 4 12 9" xfId="3436"/>
    <cellStyle name="Normal 4 12 9 2" xfId="11661"/>
    <cellStyle name="Normal 4 12 9 2 2" xfId="28111"/>
    <cellStyle name="Normal 4 12 9 3" xfId="19886"/>
    <cellStyle name="Normal 4 12 9 4" xfId="36340"/>
    <cellStyle name="Normal 4 13" xfId="132"/>
    <cellStyle name="Normal 4 13 10" xfId="5131"/>
    <cellStyle name="Normal 4 13 10 2" xfId="13356"/>
    <cellStyle name="Normal 4 13 10 2 2" xfId="29806"/>
    <cellStyle name="Normal 4 13 10 3" xfId="21581"/>
    <cellStyle name="Normal 4 13 10 4" xfId="38035"/>
    <cellStyle name="Normal 4 13 11" xfId="6776"/>
    <cellStyle name="Normal 4 13 11 2" xfId="15001"/>
    <cellStyle name="Normal 4 13 11 2 2" xfId="31451"/>
    <cellStyle name="Normal 4 13 11 3" xfId="23226"/>
    <cellStyle name="Normal 4 13 11 4" xfId="39680"/>
    <cellStyle name="Normal 4 13 12" xfId="8421"/>
    <cellStyle name="Normal 4 13 12 2" xfId="24871"/>
    <cellStyle name="Normal 4 13 13" xfId="16645"/>
    <cellStyle name="Normal 4 13 14" xfId="33098"/>
    <cellStyle name="Normal 4 13 15" xfId="41326"/>
    <cellStyle name="Normal 4 13 2" xfId="375"/>
    <cellStyle name="Normal 4 13 2 2" xfId="2074"/>
    <cellStyle name="Normal 4 13 2 2 2" xfId="10301"/>
    <cellStyle name="Normal 4 13 2 2 2 2" xfId="26751"/>
    <cellStyle name="Normal 4 13 2 2 3" xfId="18526"/>
    <cellStyle name="Normal 4 13 2 2 4" xfId="34980"/>
    <cellStyle name="Normal 4 13 2 3" xfId="3721"/>
    <cellStyle name="Normal 4 13 2 3 2" xfId="11946"/>
    <cellStyle name="Normal 4 13 2 3 2 2" xfId="28396"/>
    <cellStyle name="Normal 4 13 2 3 3" xfId="20171"/>
    <cellStyle name="Normal 4 13 2 3 4" xfId="36625"/>
    <cellStyle name="Normal 4 13 2 4" xfId="5366"/>
    <cellStyle name="Normal 4 13 2 4 2" xfId="13591"/>
    <cellStyle name="Normal 4 13 2 4 2 2" xfId="30041"/>
    <cellStyle name="Normal 4 13 2 4 3" xfId="21816"/>
    <cellStyle name="Normal 4 13 2 4 4" xfId="38270"/>
    <cellStyle name="Normal 4 13 2 5" xfId="7011"/>
    <cellStyle name="Normal 4 13 2 5 2" xfId="15236"/>
    <cellStyle name="Normal 4 13 2 5 2 2" xfId="31686"/>
    <cellStyle name="Normal 4 13 2 5 3" xfId="23461"/>
    <cellStyle name="Normal 4 13 2 5 4" xfId="39915"/>
    <cellStyle name="Normal 4 13 2 6" xfId="8656"/>
    <cellStyle name="Normal 4 13 2 6 2" xfId="25106"/>
    <cellStyle name="Normal 4 13 2 7" xfId="16880"/>
    <cellStyle name="Normal 4 13 2 8" xfId="33334"/>
    <cellStyle name="Normal 4 13 2 9" xfId="41561"/>
    <cellStyle name="Normal 4 13 3" xfId="616"/>
    <cellStyle name="Normal 4 13 3 2" xfId="2311"/>
    <cellStyle name="Normal 4 13 3 2 2" xfId="10536"/>
    <cellStyle name="Normal 4 13 3 2 2 2" xfId="26986"/>
    <cellStyle name="Normal 4 13 3 2 3" xfId="18761"/>
    <cellStyle name="Normal 4 13 3 2 4" xfId="35215"/>
    <cellStyle name="Normal 4 13 3 3" xfId="3956"/>
    <cellStyle name="Normal 4 13 3 3 2" xfId="12181"/>
    <cellStyle name="Normal 4 13 3 3 2 2" xfId="28631"/>
    <cellStyle name="Normal 4 13 3 3 3" xfId="20406"/>
    <cellStyle name="Normal 4 13 3 3 4" xfId="36860"/>
    <cellStyle name="Normal 4 13 3 4" xfId="5601"/>
    <cellStyle name="Normal 4 13 3 4 2" xfId="13826"/>
    <cellStyle name="Normal 4 13 3 4 2 2" xfId="30276"/>
    <cellStyle name="Normal 4 13 3 4 3" xfId="22051"/>
    <cellStyle name="Normal 4 13 3 4 4" xfId="38505"/>
    <cellStyle name="Normal 4 13 3 5" xfId="7246"/>
    <cellStyle name="Normal 4 13 3 5 2" xfId="15471"/>
    <cellStyle name="Normal 4 13 3 5 2 2" xfId="31921"/>
    <cellStyle name="Normal 4 13 3 5 3" xfId="23696"/>
    <cellStyle name="Normal 4 13 3 5 4" xfId="40150"/>
    <cellStyle name="Normal 4 13 3 6" xfId="8891"/>
    <cellStyle name="Normal 4 13 3 6 2" xfId="25341"/>
    <cellStyle name="Normal 4 13 3 7" xfId="17115"/>
    <cellStyle name="Normal 4 13 3 8" xfId="33569"/>
    <cellStyle name="Normal 4 13 3 9" xfId="41796"/>
    <cellStyle name="Normal 4 13 4" xfId="851"/>
    <cellStyle name="Normal 4 13 4 2" xfId="2546"/>
    <cellStyle name="Normal 4 13 4 2 2" xfId="10771"/>
    <cellStyle name="Normal 4 13 4 2 2 2" xfId="27221"/>
    <cellStyle name="Normal 4 13 4 2 3" xfId="18996"/>
    <cellStyle name="Normal 4 13 4 2 4" xfId="35450"/>
    <cellStyle name="Normal 4 13 4 3" xfId="4191"/>
    <cellStyle name="Normal 4 13 4 3 2" xfId="12416"/>
    <cellStyle name="Normal 4 13 4 3 2 2" xfId="28866"/>
    <cellStyle name="Normal 4 13 4 3 3" xfId="20641"/>
    <cellStyle name="Normal 4 13 4 3 4" xfId="37095"/>
    <cellStyle name="Normal 4 13 4 4" xfId="5836"/>
    <cellStyle name="Normal 4 13 4 4 2" xfId="14061"/>
    <cellStyle name="Normal 4 13 4 4 2 2" xfId="30511"/>
    <cellStyle name="Normal 4 13 4 4 3" xfId="22286"/>
    <cellStyle name="Normal 4 13 4 4 4" xfId="38740"/>
    <cellStyle name="Normal 4 13 4 5" xfId="7481"/>
    <cellStyle name="Normal 4 13 4 5 2" xfId="15706"/>
    <cellStyle name="Normal 4 13 4 5 2 2" xfId="32156"/>
    <cellStyle name="Normal 4 13 4 5 3" xfId="23931"/>
    <cellStyle name="Normal 4 13 4 5 4" xfId="40385"/>
    <cellStyle name="Normal 4 13 4 6" xfId="9126"/>
    <cellStyle name="Normal 4 13 4 6 2" xfId="25576"/>
    <cellStyle name="Normal 4 13 4 7" xfId="17350"/>
    <cellStyle name="Normal 4 13 4 8" xfId="33804"/>
    <cellStyle name="Normal 4 13 4 9" xfId="42031"/>
    <cellStyle name="Normal 4 13 5" xfId="1086"/>
    <cellStyle name="Normal 4 13 5 2" xfId="2781"/>
    <cellStyle name="Normal 4 13 5 2 2" xfId="11006"/>
    <cellStyle name="Normal 4 13 5 2 2 2" xfId="27456"/>
    <cellStyle name="Normal 4 13 5 2 3" xfId="19231"/>
    <cellStyle name="Normal 4 13 5 2 4" xfId="35685"/>
    <cellStyle name="Normal 4 13 5 3" xfId="4426"/>
    <cellStyle name="Normal 4 13 5 3 2" xfId="12651"/>
    <cellStyle name="Normal 4 13 5 3 2 2" xfId="29101"/>
    <cellStyle name="Normal 4 13 5 3 3" xfId="20876"/>
    <cellStyle name="Normal 4 13 5 3 4" xfId="37330"/>
    <cellStyle name="Normal 4 13 5 4" xfId="6071"/>
    <cellStyle name="Normal 4 13 5 4 2" xfId="14296"/>
    <cellStyle name="Normal 4 13 5 4 2 2" xfId="30746"/>
    <cellStyle name="Normal 4 13 5 4 3" xfId="22521"/>
    <cellStyle name="Normal 4 13 5 4 4" xfId="38975"/>
    <cellStyle name="Normal 4 13 5 5" xfId="7716"/>
    <cellStyle name="Normal 4 13 5 5 2" xfId="15941"/>
    <cellStyle name="Normal 4 13 5 5 2 2" xfId="32391"/>
    <cellStyle name="Normal 4 13 5 5 3" xfId="24166"/>
    <cellStyle name="Normal 4 13 5 5 4" xfId="40620"/>
    <cellStyle name="Normal 4 13 5 6" xfId="9361"/>
    <cellStyle name="Normal 4 13 5 6 2" xfId="25811"/>
    <cellStyle name="Normal 4 13 5 7" xfId="17585"/>
    <cellStyle name="Normal 4 13 5 8" xfId="34039"/>
    <cellStyle name="Normal 4 13 5 9" xfId="42266"/>
    <cellStyle name="Normal 4 13 6" xfId="1366"/>
    <cellStyle name="Normal 4 13 6 2" xfId="3016"/>
    <cellStyle name="Normal 4 13 6 2 2" xfId="11241"/>
    <cellStyle name="Normal 4 13 6 2 2 2" xfId="27691"/>
    <cellStyle name="Normal 4 13 6 2 3" xfId="19466"/>
    <cellStyle name="Normal 4 13 6 2 4" xfId="35920"/>
    <cellStyle name="Normal 4 13 6 3" xfId="4661"/>
    <cellStyle name="Normal 4 13 6 3 2" xfId="12886"/>
    <cellStyle name="Normal 4 13 6 3 2 2" xfId="29336"/>
    <cellStyle name="Normal 4 13 6 3 3" xfId="21111"/>
    <cellStyle name="Normal 4 13 6 3 4" xfId="37565"/>
    <cellStyle name="Normal 4 13 6 4" xfId="6306"/>
    <cellStyle name="Normal 4 13 6 4 2" xfId="14531"/>
    <cellStyle name="Normal 4 13 6 4 2 2" xfId="30981"/>
    <cellStyle name="Normal 4 13 6 4 3" xfId="22756"/>
    <cellStyle name="Normal 4 13 6 4 4" xfId="39210"/>
    <cellStyle name="Normal 4 13 6 5" xfId="7951"/>
    <cellStyle name="Normal 4 13 6 5 2" xfId="16176"/>
    <cellStyle name="Normal 4 13 6 5 2 2" xfId="32626"/>
    <cellStyle name="Normal 4 13 6 5 3" xfId="24401"/>
    <cellStyle name="Normal 4 13 6 5 4" xfId="40855"/>
    <cellStyle name="Normal 4 13 6 6" xfId="9596"/>
    <cellStyle name="Normal 4 13 6 6 2" xfId="26046"/>
    <cellStyle name="Normal 4 13 6 7" xfId="17820"/>
    <cellStyle name="Normal 4 13 6 8" xfId="34274"/>
    <cellStyle name="Normal 4 13 7" xfId="1601"/>
    <cellStyle name="Normal 4 13 7 2" xfId="3251"/>
    <cellStyle name="Normal 4 13 7 2 2" xfId="11476"/>
    <cellStyle name="Normal 4 13 7 2 2 2" xfId="27926"/>
    <cellStyle name="Normal 4 13 7 2 3" xfId="19701"/>
    <cellStyle name="Normal 4 13 7 2 4" xfId="36155"/>
    <cellStyle name="Normal 4 13 7 3" xfId="4896"/>
    <cellStyle name="Normal 4 13 7 3 2" xfId="13121"/>
    <cellStyle name="Normal 4 13 7 3 2 2" xfId="29571"/>
    <cellStyle name="Normal 4 13 7 3 3" xfId="21346"/>
    <cellStyle name="Normal 4 13 7 3 4" xfId="37800"/>
    <cellStyle name="Normal 4 13 7 4" xfId="6541"/>
    <cellStyle name="Normal 4 13 7 4 2" xfId="14766"/>
    <cellStyle name="Normal 4 13 7 4 2 2" xfId="31216"/>
    <cellStyle name="Normal 4 13 7 4 3" xfId="22991"/>
    <cellStyle name="Normal 4 13 7 4 4" xfId="39445"/>
    <cellStyle name="Normal 4 13 7 5" xfId="8186"/>
    <cellStyle name="Normal 4 13 7 5 2" xfId="16411"/>
    <cellStyle name="Normal 4 13 7 5 2 2" xfId="32861"/>
    <cellStyle name="Normal 4 13 7 5 3" xfId="24636"/>
    <cellStyle name="Normal 4 13 7 5 4" xfId="41090"/>
    <cellStyle name="Normal 4 13 7 6" xfId="9831"/>
    <cellStyle name="Normal 4 13 7 6 2" xfId="26281"/>
    <cellStyle name="Normal 4 13 7 7" xfId="18055"/>
    <cellStyle name="Normal 4 13 7 8" xfId="34509"/>
    <cellStyle name="Normal 4 13 8" xfId="1836"/>
    <cellStyle name="Normal 4 13 8 2" xfId="10066"/>
    <cellStyle name="Normal 4 13 8 2 2" xfId="26516"/>
    <cellStyle name="Normal 4 13 8 3" xfId="18290"/>
    <cellStyle name="Normal 4 13 8 4" xfId="34744"/>
    <cellStyle name="Normal 4 13 9" xfId="3486"/>
    <cellStyle name="Normal 4 13 9 2" xfId="11711"/>
    <cellStyle name="Normal 4 13 9 2 2" xfId="28161"/>
    <cellStyle name="Normal 4 13 9 3" xfId="19936"/>
    <cellStyle name="Normal 4 13 9 4" xfId="36390"/>
    <cellStyle name="Normal 4 14" xfId="159"/>
    <cellStyle name="Normal 4 14 10" xfId="5158"/>
    <cellStyle name="Normal 4 14 10 2" xfId="13383"/>
    <cellStyle name="Normal 4 14 10 2 2" xfId="29833"/>
    <cellStyle name="Normal 4 14 10 3" xfId="21608"/>
    <cellStyle name="Normal 4 14 10 4" xfId="38062"/>
    <cellStyle name="Normal 4 14 11" xfId="6803"/>
    <cellStyle name="Normal 4 14 11 2" xfId="15028"/>
    <cellStyle name="Normal 4 14 11 2 2" xfId="31478"/>
    <cellStyle name="Normal 4 14 11 3" xfId="23253"/>
    <cellStyle name="Normal 4 14 11 4" xfId="39707"/>
    <cellStyle name="Normal 4 14 12" xfId="8448"/>
    <cellStyle name="Normal 4 14 12 2" xfId="24898"/>
    <cellStyle name="Normal 4 14 13" xfId="16672"/>
    <cellStyle name="Normal 4 14 14" xfId="33125"/>
    <cellStyle name="Normal 4 14 15" xfId="41353"/>
    <cellStyle name="Normal 4 14 2" xfId="402"/>
    <cellStyle name="Normal 4 14 2 2" xfId="2101"/>
    <cellStyle name="Normal 4 14 2 2 2" xfId="10328"/>
    <cellStyle name="Normal 4 14 2 2 2 2" xfId="26778"/>
    <cellStyle name="Normal 4 14 2 2 3" xfId="18553"/>
    <cellStyle name="Normal 4 14 2 2 4" xfId="35007"/>
    <cellStyle name="Normal 4 14 2 3" xfId="3748"/>
    <cellStyle name="Normal 4 14 2 3 2" xfId="11973"/>
    <cellStyle name="Normal 4 14 2 3 2 2" xfId="28423"/>
    <cellStyle name="Normal 4 14 2 3 3" xfId="20198"/>
    <cellStyle name="Normal 4 14 2 3 4" xfId="36652"/>
    <cellStyle name="Normal 4 14 2 4" xfId="5393"/>
    <cellStyle name="Normal 4 14 2 4 2" xfId="13618"/>
    <cellStyle name="Normal 4 14 2 4 2 2" xfId="30068"/>
    <cellStyle name="Normal 4 14 2 4 3" xfId="21843"/>
    <cellStyle name="Normal 4 14 2 4 4" xfId="38297"/>
    <cellStyle name="Normal 4 14 2 5" xfId="7038"/>
    <cellStyle name="Normal 4 14 2 5 2" xfId="15263"/>
    <cellStyle name="Normal 4 14 2 5 2 2" xfId="31713"/>
    <cellStyle name="Normal 4 14 2 5 3" xfId="23488"/>
    <cellStyle name="Normal 4 14 2 5 4" xfId="39942"/>
    <cellStyle name="Normal 4 14 2 6" xfId="8683"/>
    <cellStyle name="Normal 4 14 2 6 2" xfId="25133"/>
    <cellStyle name="Normal 4 14 2 7" xfId="16907"/>
    <cellStyle name="Normal 4 14 2 8" xfId="33361"/>
    <cellStyle name="Normal 4 14 2 9" xfId="41588"/>
    <cellStyle name="Normal 4 14 3" xfId="643"/>
    <cellStyle name="Normal 4 14 3 2" xfId="2338"/>
    <cellStyle name="Normal 4 14 3 2 2" xfId="10563"/>
    <cellStyle name="Normal 4 14 3 2 2 2" xfId="27013"/>
    <cellStyle name="Normal 4 14 3 2 3" xfId="18788"/>
    <cellStyle name="Normal 4 14 3 2 4" xfId="35242"/>
    <cellStyle name="Normal 4 14 3 3" xfId="3983"/>
    <cellStyle name="Normal 4 14 3 3 2" xfId="12208"/>
    <cellStyle name="Normal 4 14 3 3 2 2" xfId="28658"/>
    <cellStyle name="Normal 4 14 3 3 3" xfId="20433"/>
    <cellStyle name="Normal 4 14 3 3 4" xfId="36887"/>
    <cellStyle name="Normal 4 14 3 4" xfId="5628"/>
    <cellStyle name="Normal 4 14 3 4 2" xfId="13853"/>
    <cellStyle name="Normal 4 14 3 4 2 2" xfId="30303"/>
    <cellStyle name="Normal 4 14 3 4 3" xfId="22078"/>
    <cellStyle name="Normal 4 14 3 4 4" xfId="38532"/>
    <cellStyle name="Normal 4 14 3 5" xfId="7273"/>
    <cellStyle name="Normal 4 14 3 5 2" xfId="15498"/>
    <cellStyle name="Normal 4 14 3 5 2 2" xfId="31948"/>
    <cellStyle name="Normal 4 14 3 5 3" xfId="23723"/>
    <cellStyle name="Normal 4 14 3 5 4" xfId="40177"/>
    <cellStyle name="Normal 4 14 3 6" xfId="8918"/>
    <cellStyle name="Normal 4 14 3 6 2" xfId="25368"/>
    <cellStyle name="Normal 4 14 3 7" xfId="17142"/>
    <cellStyle name="Normal 4 14 3 8" xfId="33596"/>
    <cellStyle name="Normal 4 14 3 9" xfId="41823"/>
    <cellStyle name="Normal 4 14 4" xfId="878"/>
    <cellStyle name="Normal 4 14 4 2" xfId="2573"/>
    <cellStyle name="Normal 4 14 4 2 2" xfId="10798"/>
    <cellStyle name="Normal 4 14 4 2 2 2" xfId="27248"/>
    <cellStyle name="Normal 4 14 4 2 3" xfId="19023"/>
    <cellStyle name="Normal 4 14 4 2 4" xfId="35477"/>
    <cellStyle name="Normal 4 14 4 3" xfId="4218"/>
    <cellStyle name="Normal 4 14 4 3 2" xfId="12443"/>
    <cellStyle name="Normal 4 14 4 3 2 2" xfId="28893"/>
    <cellStyle name="Normal 4 14 4 3 3" xfId="20668"/>
    <cellStyle name="Normal 4 14 4 3 4" xfId="37122"/>
    <cellStyle name="Normal 4 14 4 4" xfId="5863"/>
    <cellStyle name="Normal 4 14 4 4 2" xfId="14088"/>
    <cellStyle name="Normal 4 14 4 4 2 2" xfId="30538"/>
    <cellStyle name="Normal 4 14 4 4 3" xfId="22313"/>
    <cellStyle name="Normal 4 14 4 4 4" xfId="38767"/>
    <cellStyle name="Normal 4 14 4 5" xfId="7508"/>
    <cellStyle name="Normal 4 14 4 5 2" xfId="15733"/>
    <cellStyle name="Normal 4 14 4 5 2 2" xfId="32183"/>
    <cellStyle name="Normal 4 14 4 5 3" xfId="23958"/>
    <cellStyle name="Normal 4 14 4 5 4" xfId="40412"/>
    <cellStyle name="Normal 4 14 4 6" xfId="9153"/>
    <cellStyle name="Normal 4 14 4 6 2" xfId="25603"/>
    <cellStyle name="Normal 4 14 4 7" xfId="17377"/>
    <cellStyle name="Normal 4 14 4 8" xfId="33831"/>
    <cellStyle name="Normal 4 14 4 9" xfId="42058"/>
    <cellStyle name="Normal 4 14 5" xfId="1113"/>
    <cellStyle name="Normal 4 14 5 2" xfId="2808"/>
    <cellStyle name="Normal 4 14 5 2 2" xfId="11033"/>
    <cellStyle name="Normal 4 14 5 2 2 2" xfId="27483"/>
    <cellStyle name="Normal 4 14 5 2 3" xfId="19258"/>
    <cellStyle name="Normal 4 14 5 2 4" xfId="35712"/>
    <cellStyle name="Normal 4 14 5 3" xfId="4453"/>
    <cellStyle name="Normal 4 14 5 3 2" xfId="12678"/>
    <cellStyle name="Normal 4 14 5 3 2 2" xfId="29128"/>
    <cellStyle name="Normal 4 14 5 3 3" xfId="20903"/>
    <cellStyle name="Normal 4 14 5 3 4" xfId="37357"/>
    <cellStyle name="Normal 4 14 5 4" xfId="6098"/>
    <cellStyle name="Normal 4 14 5 4 2" xfId="14323"/>
    <cellStyle name="Normal 4 14 5 4 2 2" xfId="30773"/>
    <cellStyle name="Normal 4 14 5 4 3" xfId="22548"/>
    <cellStyle name="Normal 4 14 5 4 4" xfId="39002"/>
    <cellStyle name="Normal 4 14 5 5" xfId="7743"/>
    <cellStyle name="Normal 4 14 5 5 2" xfId="15968"/>
    <cellStyle name="Normal 4 14 5 5 2 2" xfId="32418"/>
    <cellStyle name="Normal 4 14 5 5 3" xfId="24193"/>
    <cellStyle name="Normal 4 14 5 5 4" xfId="40647"/>
    <cellStyle name="Normal 4 14 5 6" xfId="9388"/>
    <cellStyle name="Normal 4 14 5 6 2" xfId="25838"/>
    <cellStyle name="Normal 4 14 5 7" xfId="17612"/>
    <cellStyle name="Normal 4 14 5 8" xfId="34066"/>
    <cellStyle name="Normal 4 14 5 9" xfId="42293"/>
    <cellStyle name="Normal 4 14 6" xfId="1393"/>
    <cellStyle name="Normal 4 14 6 2" xfId="3043"/>
    <cellStyle name="Normal 4 14 6 2 2" xfId="11268"/>
    <cellStyle name="Normal 4 14 6 2 2 2" xfId="27718"/>
    <cellStyle name="Normal 4 14 6 2 3" xfId="19493"/>
    <cellStyle name="Normal 4 14 6 2 4" xfId="35947"/>
    <cellStyle name="Normal 4 14 6 3" xfId="4688"/>
    <cellStyle name="Normal 4 14 6 3 2" xfId="12913"/>
    <cellStyle name="Normal 4 14 6 3 2 2" xfId="29363"/>
    <cellStyle name="Normal 4 14 6 3 3" xfId="21138"/>
    <cellStyle name="Normal 4 14 6 3 4" xfId="37592"/>
    <cellStyle name="Normal 4 14 6 4" xfId="6333"/>
    <cellStyle name="Normal 4 14 6 4 2" xfId="14558"/>
    <cellStyle name="Normal 4 14 6 4 2 2" xfId="31008"/>
    <cellStyle name="Normal 4 14 6 4 3" xfId="22783"/>
    <cellStyle name="Normal 4 14 6 4 4" xfId="39237"/>
    <cellStyle name="Normal 4 14 6 5" xfId="7978"/>
    <cellStyle name="Normal 4 14 6 5 2" xfId="16203"/>
    <cellStyle name="Normal 4 14 6 5 2 2" xfId="32653"/>
    <cellStyle name="Normal 4 14 6 5 3" xfId="24428"/>
    <cellStyle name="Normal 4 14 6 5 4" xfId="40882"/>
    <cellStyle name="Normal 4 14 6 6" xfId="9623"/>
    <cellStyle name="Normal 4 14 6 6 2" xfId="26073"/>
    <cellStyle name="Normal 4 14 6 7" xfId="17847"/>
    <cellStyle name="Normal 4 14 6 8" xfId="34301"/>
    <cellStyle name="Normal 4 14 7" xfId="1628"/>
    <cellStyle name="Normal 4 14 7 2" xfId="3278"/>
    <cellStyle name="Normal 4 14 7 2 2" xfId="11503"/>
    <cellStyle name="Normal 4 14 7 2 2 2" xfId="27953"/>
    <cellStyle name="Normal 4 14 7 2 3" xfId="19728"/>
    <cellStyle name="Normal 4 14 7 2 4" xfId="36182"/>
    <cellStyle name="Normal 4 14 7 3" xfId="4923"/>
    <cellStyle name="Normal 4 14 7 3 2" xfId="13148"/>
    <cellStyle name="Normal 4 14 7 3 2 2" xfId="29598"/>
    <cellStyle name="Normal 4 14 7 3 3" xfId="21373"/>
    <cellStyle name="Normal 4 14 7 3 4" xfId="37827"/>
    <cellStyle name="Normal 4 14 7 4" xfId="6568"/>
    <cellStyle name="Normal 4 14 7 4 2" xfId="14793"/>
    <cellStyle name="Normal 4 14 7 4 2 2" xfId="31243"/>
    <cellStyle name="Normal 4 14 7 4 3" xfId="23018"/>
    <cellStyle name="Normal 4 14 7 4 4" xfId="39472"/>
    <cellStyle name="Normal 4 14 7 5" xfId="8213"/>
    <cellStyle name="Normal 4 14 7 5 2" xfId="16438"/>
    <cellStyle name="Normal 4 14 7 5 2 2" xfId="32888"/>
    <cellStyle name="Normal 4 14 7 5 3" xfId="24663"/>
    <cellStyle name="Normal 4 14 7 5 4" xfId="41117"/>
    <cellStyle name="Normal 4 14 7 6" xfId="9858"/>
    <cellStyle name="Normal 4 14 7 6 2" xfId="26308"/>
    <cellStyle name="Normal 4 14 7 7" xfId="18082"/>
    <cellStyle name="Normal 4 14 7 8" xfId="34536"/>
    <cellStyle name="Normal 4 14 8" xfId="1863"/>
    <cellStyle name="Normal 4 14 8 2" xfId="10093"/>
    <cellStyle name="Normal 4 14 8 2 2" xfId="26543"/>
    <cellStyle name="Normal 4 14 8 3" xfId="18317"/>
    <cellStyle name="Normal 4 14 8 4" xfId="34771"/>
    <cellStyle name="Normal 4 14 9" xfId="3513"/>
    <cellStyle name="Normal 4 14 9 2" xfId="11738"/>
    <cellStyle name="Normal 4 14 9 2 2" xfId="28188"/>
    <cellStyle name="Normal 4 14 9 3" xfId="19963"/>
    <cellStyle name="Normal 4 14 9 4" xfId="36417"/>
    <cellStyle name="Normal 4 15" xfId="186"/>
    <cellStyle name="Normal 4 15 10" xfId="5185"/>
    <cellStyle name="Normal 4 15 10 2" xfId="13410"/>
    <cellStyle name="Normal 4 15 10 2 2" xfId="29860"/>
    <cellStyle name="Normal 4 15 10 3" xfId="21635"/>
    <cellStyle name="Normal 4 15 10 4" xfId="38089"/>
    <cellStyle name="Normal 4 15 11" xfId="6830"/>
    <cellStyle name="Normal 4 15 11 2" xfId="15055"/>
    <cellStyle name="Normal 4 15 11 2 2" xfId="31505"/>
    <cellStyle name="Normal 4 15 11 3" xfId="23280"/>
    <cellStyle name="Normal 4 15 11 4" xfId="39734"/>
    <cellStyle name="Normal 4 15 12" xfId="8475"/>
    <cellStyle name="Normal 4 15 12 2" xfId="24925"/>
    <cellStyle name="Normal 4 15 13" xfId="16699"/>
    <cellStyle name="Normal 4 15 14" xfId="33152"/>
    <cellStyle name="Normal 4 15 15" xfId="41380"/>
    <cellStyle name="Normal 4 15 2" xfId="429"/>
    <cellStyle name="Normal 4 15 2 2" xfId="2128"/>
    <cellStyle name="Normal 4 15 2 2 2" xfId="10355"/>
    <cellStyle name="Normal 4 15 2 2 2 2" xfId="26805"/>
    <cellStyle name="Normal 4 15 2 2 3" xfId="18580"/>
    <cellStyle name="Normal 4 15 2 2 4" xfId="35034"/>
    <cellStyle name="Normal 4 15 2 3" xfId="3775"/>
    <cellStyle name="Normal 4 15 2 3 2" xfId="12000"/>
    <cellStyle name="Normal 4 15 2 3 2 2" xfId="28450"/>
    <cellStyle name="Normal 4 15 2 3 3" xfId="20225"/>
    <cellStyle name="Normal 4 15 2 3 4" xfId="36679"/>
    <cellStyle name="Normal 4 15 2 4" xfId="5420"/>
    <cellStyle name="Normal 4 15 2 4 2" xfId="13645"/>
    <cellStyle name="Normal 4 15 2 4 2 2" xfId="30095"/>
    <cellStyle name="Normal 4 15 2 4 3" xfId="21870"/>
    <cellStyle name="Normal 4 15 2 4 4" xfId="38324"/>
    <cellStyle name="Normal 4 15 2 5" xfId="7065"/>
    <cellStyle name="Normal 4 15 2 5 2" xfId="15290"/>
    <cellStyle name="Normal 4 15 2 5 2 2" xfId="31740"/>
    <cellStyle name="Normal 4 15 2 5 3" xfId="23515"/>
    <cellStyle name="Normal 4 15 2 5 4" xfId="39969"/>
    <cellStyle name="Normal 4 15 2 6" xfId="8710"/>
    <cellStyle name="Normal 4 15 2 6 2" xfId="25160"/>
    <cellStyle name="Normal 4 15 2 7" xfId="16934"/>
    <cellStyle name="Normal 4 15 2 8" xfId="33388"/>
    <cellStyle name="Normal 4 15 2 9" xfId="41615"/>
    <cellStyle name="Normal 4 15 3" xfId="670"/>
    <cellStyle name="Normal 4 15 3 2" xfId="2365"/>
    <cellStyle name="Normal 4 15 3 2 2" xfId="10590"/>
    <cellStyle name="Normal 4 15 3 2 2 2" xfId="27040"/>
    <cellStyle name="Normal 4 15 3 2 3" xfId="18815"/>
    <cellStyle name="Normal 4 15 3 2 4" xfId="35269"/>
    <cellStyle name="Normal 4 15 3 3" xfId="4010"/>
    <cellStyle name="Normal 4 15 3 3 2" xfId="12235"/>
    <cellStyle name="Normal 4 15 3 3 2 2" xfId="28685"/>
    <cellStyle name="Normal 4 15 3 3 3" xfId="20460"/>
    <cellStyle name="Normal 4 15 3 3 4" xfId="36914"/>
    <cellStyle name="Normal 4 15 3 4" xfId="5655"/>
    <cellStyle name="Normal 4 15 3 4 2" xfId="13880"/>
    <cellStyle name="Normal 4 15 3 4 2 2" xfId="30330"/>
    <cellStyle name="Normal 4 15 3 4 3" xfId="22105"/>
    <cellStyle name="Normal 4 15 3 4 4" xfId="38559"/>
    <cellStyle name="Normal 4 15 3 5" xfId="7300"/>
    <cellStyle name="Normal 4 15 3 5 2" xfId="15525"/>
    <cellStyle name="Normal 4 15 3 5 2 2" xfId="31975"/>
    <cellStyle name="Normal 4 15 3 5 3" xfId="23750"/>
    <cellStyle name="Normal 4 15 3 5 4" xfId="40204"/>
    <cellStyle name="Normal 4 15 3 6" xfId="8945"/>
    <cellStyle name="Normal 4 15 3 6 2" xfId="25395"/>
    <cellStyle name="Normal 4 15 3 7" xfId="17169"/>
    <cellStyle name="Normal 4 15 3 8" xfId="33623"/>
    <cellStyle name="Normal 4 15 3 9" xfId="41850"/>
    <cellStyle name="Normal 4 15 4" xfId="905"/>
    <cellStyle name="Normal 4 15 4 2" xfId="2600"/>
    <cellStyle name="Normal 4 15 4 2 2" xfId="10825"/>
    <cellStyle name="Normal 4 15 4 2 2 2" xfId="27275"/>
    <cellStyle name="Normal 4 15 4 2 3" xfId="19050"/>
    <cellStyle name="Normal 4 15 4 2 4" xfId="35504"/>
    <cellStyle name="Normal 4 15 4 3" xfId="4245"/>
    <cellStyle name="Normal 4 15 4 3 2" xfId="12470"/>
    <cellStyle name="Normal 4 15 4 3 2 2" xfId="28920"/>
    <cellStyle name="Normal 4 15 4 3 3" xfId="20695"/>
    <cellStyle name="Normal 4 15 4 3 4" xfId="37149"/>
    <cellStyle name="Normal 4 15 4 4" xfId="5890"/>
    <cellStyle name="Normal 4 15 4 4 2" xfId="14115"/>
    <cellStyle name="Normal 4 15 4 4 2 2" xfId="30565"/>
    <cellStyle name="Normal 4 15 4 4 3" xfId="22340"/>
    <cellStyle name="Normal 4 15 4 4 4" xfId="38794"/>
    <cellStyle name="Normal 4 15 4 5" xfId="7535"/>
    <cellStyle name="Normal 4 15 4 5 2" xfId="15760"/>
    <cellStyle name="Normal 4 15 4 5 2 2" xfId="32210"/>
    <cellStyle name="Normal 4 15 4 5 3" xfId="23985"/>
    <cellStyle name="Normal 4 15 4 5 4" xfId="40439"/>
    <cellStyle name="Normal 4 15 4 6" xfId="9180"/>
    <cellStyle name="Normal 4 15 4 6 2" xfId="25630"/>
    <cellStyle name="Normal 4 15 4 7" xfId="17404"/>
    <cellStyle name="Normal 4 15 4 8" xfId="33858"/>
    <cellStyle name="Normal 4 15 4 9" xfId="42085"/>
    <cellStyle name="Normal 4 15 5" xfId="1140"/>
    <cellStyle name="Normal 4 15 5 2" xfId="2835"/>
    <cellStyle name="Normal 4 15 5 2 2" xfId="11060"/>
    <cellStyle name="Normal 4 15 5 2 2 2" xfId="27510"/>
    <cellStyle name="Normal 4 15 5 2 3" xfId="19285"/>
    <cellStyle name="Normal 4 15 5 2 4" xfId="35739"/>
    <cellStyle name="Normal 4 15 5 3" xfId="4480"/>
    <cellStyle name="Normal 4 15 5 3 2" xfId="12705"/>
    <cellStyle name="Normal 4 15 5 3 2 2" xfId="29155"/>
    <cellStyle name="Normal 4 15 5 3 3" xfId="20930"/>
    <cellStyle name="Normal 4 15 5 3 4" xfId="37384"/>
    <cellStyle name="Normal 4 15 5 4" xfId="6125"/>
    <cellStyle name="Normal 4 15 5 4 2" xfId="14350"/>
    <cellStyle name="Normal 4 15 5 4 2 2" xfId="30800"/>
    <cellStyle name="Normal 4 15 5 4 3" xfId="22575"/>
    <cellStyle name="Normal 4 15 5 4 4" xfId="39029"/>
    <cellStyle name="Normal 4 15 5 5" xfId="7770"/>
    <cellStyle name="Normal 4 15 5 5 2" xfId="15995"/>
    <cellStyle name="Normal 4 15 5 5 2 2" xfId="32445"/>
    <cellStyle name="Normal 4 15 5 5 3" xfId="24220"/>
    <cellStyle name="Normal 4 15 5 5 4" xfId="40674"/>
    <cellStyle name="Normal 4 15 5 6" xfId="9415"/>
    <cellStyle name="Normal 4 15 5 6 2" xfId="25865"/>
    <cellStyle name="Normal 4 15 5 7" xfId="17639"/>
    <cellStyle name="Normal 4 15 5 8" xfId="34093"/>
    <cellStyle name="Normal 4 15 5 9" xfId="42320"/>
    <cellStyle name="Normal 4 15 6" xfId="1420"/>
    <cellStyle name="Normal 4 15 6 2" xfId="3070"/>
    <cellStyle name="Normal 4 15 6 2 2" xfId="11295"/>
    <cellStyle name="Normal 4 15 6 2 2 2" xfId="27745"/>
    <cellStyle name="Normal 4 15 6 2 3" xfId="19520"/>
    <cellStyle name="Normal 4 15 6 2 4" xfId="35974"/>
    <cellStyle name="Normal 4 15 6 3" xfId="4715"/>
    <cellStyle name="Normal 4 15 6 3 2" xfId="12940"/>
    <cellStyle name="Normal 4 15 6 3 2 2" xfId="29390"/>
    <cellStyle name="Normal 4 15 6 3 3" xfId="21165"/>
    <cellStyle name="Normal 4 15 6 3 4" xfId="37619"/>
    <cellStyle name="Normal 4 15 6 4" xfId="6360"/>
    <cellStyle name="Normal 4 15 6 4 2" xfId="14585"/>
    <cellStyle name="Normal 4 15 6 4 2 2" xfId="31035"/>
    <cellStyle name="Normal 4 15 6 4 3" xfId="22810"/>
    <cellStyle name="Normal 4 15 6 4 4" xfId="39264"/>
    <cellStyle name="Normal 4 15 6 5" xfId="8005"/>
    <cellStyle name="Normal 4 15 6 5 2" xfId="16230"/>
    <cellStyle name="Normal 4 15 6 5 2 2" xfId="32680"/>
    <cellStyle name="Normal 4 15 6 5 3" xfId="24455"/>
    <cellStyle name="Normal 4 15 6 5 4" xfId="40909"/>
    <cellStyle name="Normal 4 15 6 6" xfId="9650"/>
    <cellStyle name="Normal 4 15 6 6 2" xfId="26100"/>
    <cellStyle name="Normal 4 15 6 7" xfId="17874"/>
    <cellStyle name="Normal 4 15 6 8" xfId="34328"/>
    <cellStyle name="Normal 4 15 7" xfId="1655"/>
    <cellStyle name="Normal 4 15 7 2" xfId="3305"/>
    <cellStyle name="Normal 4 15 7 2 2" xfId="11530"/>
    <cellStyle name="Normal 4 15 7 2 2 2" xfId="27980"/>
    <cellStyle name="Normal 4 15 7 2 3" xfId="19755"/>
    <cellStyle name="Normal 4 15 7 2 4" xfId="36209"/>
    <cellStyle name="Normal 4 15 7 3" xfId="4950"/>
    <cellStyle name="Normal 4 15 7 3 2" xfId="13175"/>
    <cellStyle name="Normal 4 15 7 3 2 2" xfId="29625"/>
    <cellStyle name="Normal 4 15 7 3 3" xfId="21400"/>
    <cellStyle name="Normal 4 15 7 3 4" xfId="37854"/>
    <cellStyle name="Normal 4 15 7 4" xfId="6595"/>
    <cellStyle name="Normal 4 15 7 4 2" xfId="14820"/>
    <cellStyle name="Normal 4 15 7 4 2 2" xfId="31270"/>
    <cellStyle name="Normal 4 15 7 4 3" xfId="23045"/>
    <cellStyle name="Normal 4 15 7 4 4" xfId="39499"/>
    <cellStyle name="Normal 4 15 7 5" xfId="8240"/>
    <cellStyle name="Normal 4 15 7 5 2" xfId="16465"/>
    <cellStyle name="Normal 4 15 7 5 2 2" xfId="32915"/>
    <cellStyle name="Normal 4 15 7 5 3" xfId="24690"/>
    <cellStyle name="Normal 4 15 7 5 4" xfId="41144"/>
    <cellStyle name="Normal 4 15 7 6" xfId="9885"/>
    <cellStyle name="Normal 4 15 7 6 2" xfId="26335"/>
    <cellStyle name="Normal 4 15 7 7" xfId="18109"/>
    <cellStyle name="Normal 4 15 7 8" xfId="34563"/>
    <cellStyle name="Normal 4 15 8" xfId="1890"/>
    <cellStyle name="Normal 4 15 8 2" xfId="10120"/>
    <cellStyle name="Normal 4 15 8 2 2" xfId="26570"/>
    <cellStyle name="Normal 4 15 8 3" xfId="18344"/>
    <cellStyle name="Normal 4 15 8 4" xfId="34798"/>
    <cellStyle name="Normal 4 15 9" xfId="3540"/>
    <cellStyle name="Normal 4 15 9 2" xfId="11765"/>
    <cellStyle name="Normal 4 15 9 2 2" xfId="28215"/>
    <cellStyle name="Normal 4 15 9 3" xfId="19990"/>
    <cellStyle name="Normal 4 15 9 4" xfId="36444"/>
    <cellStyle name="Normal 4 16" xfId="215"/>
    <cellStyle name="Normal 4 16 10" xfId="5212"/>
    <cellStyle name="Normal 4 16 10 2" xfId="13437"/>
    <cellStyle name="Normal 4 16 10 2 2" xfId="29887"/>
    <cellStyle name="Normal 4 16 10 3" xfId="21662"/>
    <cellStyle name="Normal 4 16 10 4" xfId="38116"/>
    <cellStyle name="Normal 4 16 11" xfId="6857"/>
    <cellStyle name="Normal 4 16 11 2" xfId="15082"/>
    <cellStyle name="Normal 4 16 11 2 2" xfId="31532"/>
    <cellStyle name="Normal 4 16 11 3" xfId="23307"/>
    <cellStyle name="Normal 4 16 11 4" xfId="39761"/>
    <cellStyle name="Normal 4 16 12" xfId="8502"/>
    <cellStyle name="Normal 4 16 12 2" xfId="24952"/>
    <cellStyle name="Normal 4 16 13" xfId="16726"/>
    <cellStyle name="Normal 4 16 14" xfId="33179"/>
    <cellStyle name="Normal 4 16 15" xfId="41407"/>
    <cellStyle name="Normal 4 16 2" xfId="458"/>
    <cellStyle name="Normal 4 16 2 2" xfId="2155"/>
    <cellStyle name="Normal 4 16 2 2 2" xfId="10382"/>
    <cellStyle name="Normal 4 16 2 2 2 2" xfId="26832"/>
    <cellStyle name="Normal 4 16 2 2 3" xfId="18607"/>
    <cellStyle name="Normal 4 16 2 2 4" xfId="35061"/>
    <cellStyle name="Normal 4 16 2 3" xfId="3802"/>
    <cellStyle name="Normal 4 16 2 3 2" xfId="12027"/>
    <cellStyle name="Normal 4 16 2 3 2 2" xfId="28477"/>
    <cellStyle name="Normal 4 16 2 3 3" xfId="20252"/>
    <cellStyle name="Normal 4 16 2 3 4" xfId="36706"/>
    <cellStyle name="Normal 4 16 2 4" xfId="5447"/>
    <cellStyle name="Normal 4 16 2 4 2" xfId="13672"/>
    <cellStyle name="Normal 4 16 2 4 2 2" xfId="30122"/>
    <cellStyle name="Normal 4 16 2 4 3" xfId="21897"/>
    <cellStyle name="Normal 4 16 2 4 4" xfId="38351"/>
    <cellStyle name="Normal 4 16 2 5" xfId="7092"/>
    <cellStyle name="Normal 4 16 2 5 2" xfId="15317"/>
    <cellStyle name="Normal 4 16 2 5 2 2" xfId="31767"/>
    <cellStyle name="Normal 4 16 2 5 3" xfId="23542"/>
    <cellStyle name="Normal 4 16 2 5 4" xfId="39996"/>
    <cellStyle name="Normal 4 16 2 6" xfId="8737"/>
    <cellStyle name="Normal 4 16 2 6 2" xfId="25187"/>
    <cellStyle name="Normal 4 16 2 7" xfId="16961"/>
    <cellStyle name="Normal 4 16 2 8" xfId="33415"/>
    <cellStyle name="Normal 4 16 2 9" xfId="41642"/>
    <cellStyle name="Normal 4 16 3" xfId="697"/>
    <cellStyle name="Normal 4 16 3 2" xfId="2392"/>
    <cellStyle name="Normal 4 16 3 2 2" xfId="10617"/>
    <cellStyle name="Normal 4 16 3 2 2 2" xfId="27067"/>
    <cellStyle name="Normal 4 16 3 2 3" xfId="18842"/>
    <cellStyle name="Normal 4 16 3 2 4" xfId="35296"/>
    <cellStyle name="Normal 4 16 3 3" xfId="4037"/>
    <cellStyle name="Normal 4 16 3 3 2" xfId="12262"/>
    <cellStyle name="Normal 4 16 3 3 2 2" xfId="28712"/>
    <cellStyle name="Normal 4 16 3 3 3" xfId="20487"/>
    <cellStyle name="Normal 4 16 3 3 4" xfId="36941"/>
    <cellStyle name="Normal 4 16 3 4" xfId="5682"/>
    <cellStyle name="Normal 4 16 3 4 2" xfId="13907"/>
    <cellStyle name="Normal 4 16 3 4 2 2" xfId="30357"/>
    <cellStyle name="Normal 4 16 3 4 3" xfId="22132"/>
    <cellStyle name="Normal 4 16 3 4 4" xfId="38586"/>
    <cellStyle name="Normal 4 16 3 5" xfId="7327"/>
    <cellStyle name="Normal 4 16 3 5 2" xfId="15552"/>
    <cellStyle name="Normal 4 16 3 5 2 2" xfId="32002"/>
    <cellStyle name="Normal 4 16 3 5 3" xfId="23777"/>
    <cellStyle name="Normal 4 16 3 5 4" xfId="40231"/>
    <cellStyle name="Normal 4 16 3 6" xfId="8972"/>
    <cellStyle name="Normal 4 16 3 6 2" xfId="25422"/>
    <cellStyle name="Normal 4 16 3 7" xfId="17196"/>
    <cellStyle name="Normal 4 16 3 8" xfId="33650"/>
    <cellStyle name="Normal 4 16 3 9" xfId="41877"/>
    <cellStyle name="Normal 4 16 4" xfId="932"/>
    <cellStyle name="Normal 4 16 4 2" xfId="2627"/>
    <cellStyle name="Normal 4 16 4 2 2" xfId="10852"/>
    <cellStyle name="Normal 4 16 4 2 2 2" xfId="27302"/>
    <cellStyle name="Normal 4 16 4 2 3" xfId="19077"/>
    <cellStyle name="Normal 4 16 4 2 4" xfId="35531"/>
    <cellStyle name="Normal 4 16 4 3" xfId="4272"/>
    <cellStyle name="Normal 4 16 4 3 2" xfId="12497"/>
    <cellStyle name="Normal 4 16 4 3 2 2" xfId="28947"/>
    <cellStyle name="Normal 4 16 4 3 3" xfId="20722"/>
    <cellStyle name="Normal 4 16 4 3 4" xfId="37176"/>
    <cellStyle name="Normal 4 16 4 4" xfId="5917"/>
    <cellStyle name="Normal 4 16 4 4 2" xfId="14142"/>
    <cellStyle name="Normal 4 16 4 4 2 2" xfId="30592"/>
    <cellStyle name="Normal 4 16 4 4 3" xfId="22367"/>
    <cellStyle name="Normal 4 16 4 4 4" xfId="38821"/>
    <cellStyle name="Normal 4 16 4 5" xfId="7562"/>
    <cellStyle name="Normal 4 16 4 5 2" xfId="15787"/>
    <cellStyle name="Normal 4 16 4 5 2 2" xfId="32237"/>
    <cellStyle name="Normal 4 16 4 5 3" xfId="24012"/>
    <cellStyle name="Normal 4 16 4 5 4" xfId="40466"/>
    <cellStyle name="Normal 4 16 4 6" xfId="9207"/>
    <cellStyle name="Normal 4 16 4 6 2" xfId="25657"/>
    <cellStyle name="Normal 4 16 4 7" xfId="17431"/>
    <cellStyle name="Normal 4 16 4 8" xfId="33885"/>
    <cellStyle name="Normal 4 16 4 9" xfId="42112"/>
    <cellStyle name="Normal 4 16 5" xfId="1167"/>
    <cellStyle name="Normal 4 16 5 2" xfId="2862"/>
    <cellStyle name="Normal 4 16 5 2 2" xfId="11087"/>
    <cellStyle name="Normal 4 16 5 2 2 2" xfId="27537"/>
    <cellStyle name="Normal 4 16 5 2 3" xfId="19312"/>
    <cellStyle name="Normal 4 16 5 2 4" xfId="35766"/>
    <cellStyle name="Normal 4 16 5 3" xfId="4507"/>
    <cellStyle name="Normal 4 16 5 3 2" xfId="12732"/>
    <cellStyle name="Normal 4 16 5 3 2 2" xfId="29182"/>
    <cellStyle name="Normal 4 16 5 3 3" xfId="20957"/>
    <cellStyle name="Normal 4 16 5 3 4" xfId="37411"/>
    <cellStyle name="Normal 4 16 5 4" xfId="6152"/>
    <cellStyle name="Normal 4 16 5 4 2" xfId="14377"/>
    <cellStyle name="Normal 4 16 5 4 2 2" xfId="30827"/>
    <cellStyle name="Normal 4 16 5 4 3" xfId="22602"/>
    <cellStyle name="Normal 4 16 5 4 4" xfId="39056"/>
    <cellStyle name="Normal 4 16 5 5" xfId="7797"/>
    <cellStyle name="Normal 4 16 5 5 2" xfId="16022"/>
    <cellStyle name="Normal 4 16 5 5 2 2" xfId="32472"/>
    <cellStyle name="Normal 4 16 5 5 3" xfId="24247"/>
    <cellStyle name="Normal 4 16 5 5 4" xfId="40701"/>
    <cellStyle name="Normal 4 16 5 6" xfId="9442"/>
    <cellStyle name="Normal 4 16 5 6 2" xfId="25892"/>
    <cellStyle name="Normal 4 16 5 7" xfId="17666"/>
    <cellStyle name="Normal 4 16 5 8" xfId="34120"/>
    <cellStyle name="Normal 4 16 5 9" xfId="42347"/>
    <cellStyle name="Normal 4 16 6" xfId="1447"/>
    <cellStyle name="Normal 4 16 6 2" xfId="3097"/>
    <cellStyle name="Normal 4 16 6 2 2" xfId="11322"/>
    <cellStyle name="Normal 4 16 6 2 2 2" xfId="27772"/>
    <cellStyle name="Normal 4 16 6 2 3" xfId="19547"/>
    <cellStyle name="Normal 4 16 6 2 4" xfId="36001"/>
    <cellStyle name="Normal 4 16 6 3" xfId="4742"/>
    <cellStyle name="Normal 4 16 6 3 2" xfId="12967"/>
    <cellStyle name="Normal 4 16 6 3 2 2" xfId="29417"/>
    <cellStyle name="Normal 4 16 6 3 3" xfId="21192"/>
    <cellStyle name="Normal 4 16 6 3 4" xfId="37646"/>
    <cellStyle name="Normal 4 16 6 4" xfId="6387"/>
    <cellStyle name="Normal 4 16 6 4 2" xfId="14612"/>
    <cellStyle name="Normal 4 16 6 4 2 2" xfId="31062"/>
    <cellStyle name="Normal 4 16 6 4 3" xfId="22837"/>
    <cellStyle name="Normal 4 16 6 4 4" xfId="39291"/>
    <cellStyle name="Normal 4 16 6 5" xfId="8032"/>
    <cellStyle name="Normal 4 16 6 5 2" xfId="16257"/>
    <cellStyle name="Normal 4 16 6 5 2 2" xfId="32707"/>
    <cellStyle name="Normal 4 16 6 5 3" xfId="24482"/>
    <cellStyle name="Normal 4 16 6 5 4" xfId="40936"/>
    <cellStyle name="Normal 4 16 6 6" xfId="9677"/>
    <cellStyle name="Normal 4 16 6 6 2" xfId="26127"/>
    <cellStyle name="Normal 4 16 6 7" xfId="17901"/>
    <cellStyle name="Normal 4 16 6 8" xfId="34355"/>
    <cellStyle name="Normal 4 16 7" xfId="1682"/>
    <cellStyle name="Normal 4 16 7 2" xfId="3332"/>
    <cellStyle name="Normal 4 16 7 2 2" xfId="11557"/>
    <cellStyle name="Normal 4 16 7 2 2 2" xfId="28007"/>
    <cellStyle name="Normal 4 16 7 2 3" xfId="19782"/>
    <cellStyle name="Normal 4 16 7 2 4" xfId="36236"/>
    <cellStyle name="Normal 4 16 7 3" xfId="4977"/>
    <cellStyle name="Normal 4 16 7 3 2" xfId="13202"/>
    <cellStyle name="Normal 4 16 7 3 2 2" xfId="29652"/>
    <cellStyle name="Normal 4 16 7 3 3" xfId="21427"/>
    <cellStyle name="Normal 4 16 7 3 4" xfId="37881"/>
    <cellStyle name="Normal 4 16 7 4" xfId="6622"/>
    <cellStyle name="Normal 4 16 7 4 2" xfId="14847"/>
    <cellStyle name="Normal 4 16 7 4 2 2" xfId="31297"/>
    <cellStyle name="Normal 4 16 7 4 3" xfId="23072"/>
    <cellStyle name="Normal 4 16 7 4 4" xfId="39526"/>
    <cellStyle name="Normal 4 16 7 5" xfId="8267"/>
    <cellStyle name="Normal 4 16 7 5 2" xfId="16492"/>
    <cellStyle name="Normal 4 16 7 5 2 2" xfId="32942"/>
    <cellStyle name="Normal 4 16 7 5 3" xfId="24717"/>
    <cellStyle name="Normal 4 16 7 5 4" xfId="41171"/>
    <cellStyle name="Normal 4 16 7 6" xfId="9912"/>
    <cellStyle name="Normal 4 16 7 6 2" xfId="26362"/>
    <cellStyle name="Normal 4 16 7 7" xfId="18136"/>
    <cellStyle name="Normal 4 16 7 8" xfId="34590"/>
    <cellStyle name="Normal 4 16 8" xfId="1917"/>
    <cellStyle name="Normal 4 16 8 2" xfId="10147"/>
    <cellStyle name="Normal 4 16 8 2 2" xfId="26597"/>
    <cellStyle name="Normal 4 16 8 3" xfId="18371"/>
    <cellStyle name="Normal 4 16 8 4" xfId="34825"/>
    <cellStyle name="Normal 4 16 9" xfId="3567"/>
    <cellStyle name="Normal 4 16 9 2" xfId="11792"/>
    <cellStyle name="Normal 4 16 9 2 2" xfId="28242"/>
    <cellStyle name="Normal 4 16 9 3" xfId="20017"/>
    <cellStyle name="Normal 4 16 9 4" xfId="36471"/>
    <cellStyle name="Normal 4 17" xfId="242"/>
    <cellStyle name="Normal 4 17 10" xfId="5239"/>
    <cellStyle name="Normal 4 17 10 2" xfId="13464"/>
    <cellStyle name="Normal 4 17 10 2 2" xfId="29914"/>
    <cellStyle name="Normal 4 17 10 3" xfId="21689"/>
    <cellStyle name="Normal 4 17 10 4" xfId="38143"/>
    <cellStyle name="Normal 4 17 11" xfId="6884"/>
    <cellStyle name="Normal 4 17 11 2" xfId="15109"/>
    <cellStyle name="Normal 4 17 11 2 2" xfId="31559"/>
    <cellStyle name="Normal 4 17 11 3" xfId="23334"/>
    <cellStyle name="Normal 4 17 11 4" xfId="39788"/>
    <cellStyle name="Normal 4 17 12" xfId="8529"/>
    <cellStyle name="Normal 4 17 12 2" xfId="24979"/>
    <cellStyle name="Normal 4 17 13" xfId="16753"/>
    <cellStyle name="Normal 4 17 14" xfId="33206"/>
    <cellStyle name="Normal 4 17 15" xfId="41434"/>
    <cellStyle name="Normal 4 17 2" xfId="485"/>
    <cellStyle name="Normal 4 17 2 2" xfId="2182"/>
    <cellStyle name="Normal 4 17 2 2 2" xfId="10409"/>
    <cellStyle name="Normal 4 17 2 2 2 2" xfId="26859"/>
    <cellStyle name="Normal 4 17 2 2 3" xfId="18634"/>
    <cellStyle name="Normal 4 17 2 2 4" xfId="35088"/>
    <cellStyle name="Normal 4 17 2 3" xfId="3829"/>
    <cellStyle name="Normal 4 17 2 3 2" xfId="12054"/>
    <cellStyle name="Normal 4 17 2 3 2 2" xfId="28504"/>
    <cellStyle name="Normal 4 17 2 3 3" xfId="20279"/>
    <cellStyle name="Normal 4 17 2 3 4" xfId="36733"/>
    <cellStyle name="Normal 4 17 2 4" xfId="5474"/>
    <cellStyle name="Normal 4 17 2 4 2" xfId="13699"/>
    <cellStyle name="Normal 4 17 2 4 2 2" xfId="30149"/>
    <cellStyle name="Normal 4 17 2 4 3" xfId="21924"/>
    <cellStyle name="Normal 4 17 2 4 4" xfId="38378"/>
    <cellStyle name="Normal 4 17 2 5" xfId="7119"/>
    <cellStyle name="Normal 4 17 2 5 2" xfId="15344"/>
    <cellStyle name="Normal 4 17 2 5 2 2" xfId="31794"/>
    <cellStyle name="Normal 4 17 2 5 3" xfId="23569"/>
    <cellStyle name="Normal 4 17 2 5 4" xfId="40023"/>
    <cellStyle name="Normal 4 17 2 6" xfId="8764"/>
    <cellStyle name="Normal 4 17 2 6 2" xfId="25214"/>
    <cellStyle name="Normal 4 17 2 7" xfId="16988"/>
    <cellStyle name="Normal 4 17 2 8" xfId="33442"/>
    <cellStyle name="Normal 4 17 2 9" xfId="41669"/>
    <cellStyle name="Normal 4 17 3" xfId="724"/>
    <cellStyle name="Normal 4 17 3 2" xfId="2419"/>
    <cellStyle name="Normal 4 17 3 2 2" xfId="10644"/>
    <cellStyle name="Normal 4 17 3 2 2 2" xfId="27094"/>
    <cellStyle name="Normal 4 17 3 2 3" xfId="18869"/>
    <cellStyle name="Normal 4 17 3 2 4" xfId="35323"/>
    <cellStyle name="Normal 4 17 3 3" xfId="4064"/>
    <cellStyle name="Normal 4 17 3 3 2" xfId="12289"/>
    <cellStyle name="Normal 4 17 3 3 2 2" xfId="28739"/>
    <cellStyle name="Normal 4 17 3 3 3" xfId="20514"/>
    <cellStyle name="Normal 4 17 3 3 4" xfId="36968"/>
    <cellStyle name="Normal 4 17 3 4" xfId="5709"/>
    <cellStyle name="Normal 4 17 3 4 2" xfId="13934"/>
    <cellStyle name="Normal 4 17 3 4 2 2" xfId="30384"/>
    <cellStyle name="Normal 4 17 3 4 3" xfId="22159"/>
    <cellStyle name="Normal 4 17 3 4 4" xfId="38613"/>
    <cellStyle name="Normal 4 17 3 5" xfId="7354"/>
    <cellStyle name="Normal 4 17 3 5 2" xfId="15579"/>
    <cellStyle name="Normal 4 17 3 5 2 2" xfId="32029"/>
    <cellStyle name="Normal 4 17 3 5 3" xfId="23804"/>
    <cellStyle name="Normal 4 17 3 5 4" xfId="40258"/>
    <cellStyle name="Normal 4 17 3 6" xfId="8999"/>
    <cellStyle name="Normal 4 17 3 6 2" xfId="25449"/>
    <cellStyle name="Normal 4 17 3 7" xfId="17223"/>
    <cellStyle name="Normal 4 17 3 8" xfId="33677"/>
    <cellStyle name="Normal 4 17 3 9" xfId="41904"/>
    <cellStyle name="Normal 4 17 4" xfId="959"/>
    <cellStyle name="Normal 4 17 4 2" xfId="2654"/>
    <cellStyle name="Normal 4 17 4 2 2" xfId="10879"/>
    <cellStyle name="Normal 4 17 4 2 2 2" xfId="27329"/>
    <cellStyle name="Normal 4 17 4 2 3" xfId="19104"/>
    <cellStyle name="Normal 4 17 4 2 4" xfId="35558"/>
    <cellStyle name="Normal 4 17 4 3" xfId="4299"/>
    <cellStyle name="Normal 4 17 4 3 2" xfId="12524"/>
    <cellStyle name="Normal 4 17 4 3 2 2" xfId="28974"/>
    <cellStyle name="Normal 4 17 4 3 3" xfId="20749"/>
    <cellStyle name="Normal 4 17 4 3 4" xfId="37203"/>
    <cellStyle name="Normal 4 17 4 4" xfId="5944"/>
    <cellStyle name="Normal 4 17 4 4 2" xfId="14169"/>
    <cellStyle name="Normal 4 17 4 4 2 2" xfId="30619"/>
    <cellStyle name="Normal 4 17 4 4 3" xfId="22394"/>
    <cellStyle name="Normal 4 17 4 4 4" xfId="38848"/>
    <cellStyle name="Normal 4 17 4 5" xfId="7589"/>
    <cellStyle name="Normal 4 17 4 5 2" xfId="15814"/>
    <cellStyle name="Normal 4 17 4 5 2 2" xfId="32264"/>
    <cellStyle name="Normal 4 17 4 5 3" xfId="24039"/>
    <cellStyle name="Normal 4 17 4 5 4" xfId="40493"/>
    <cellStyle name="Normal 4 17 4 6" xfId="9234"/>
    <cellStyle name="Normal 4 17 4 6 2" xfId="25684"/>
    <cellStyle name="Normal 4 17 4 7" xfId="17458"/>
    <cellStyle name="Normal 4 17 4 8" xfId="33912"/>
    <cellStyle name="Normal 4 17 4 9" xfId="42139"/>
    <cellStyle name="Normal 4 17 5" xfId="1194"/>
    <cellStyle name="Normal 4 17 5 2" xfId="2889"/>
    <cellStyle name="Normal 4 17 5 2 2" xfId="11114"/>
    <cellStyle name="Normal 4 17 5 2 2 2" xfId="27564"/>
    <cellStyle name="Normal 4 17 5 2 3" xfId="19339"/>
    <cellStyle name="Normal 4 17 5 2 4" xfId="35793"/>
    <cellStyle name="Normal 4 17 5 3" xfId="4534"/>
    <cellStyle name="Normal 4 17 5 3 2" xfId="12759"/>
    <cellStyle name="Normal 4 17 5 3 2 2" xfId="29209"/>
    <cellStyle name="Normal 4 17 5 3 3" xfId="20984"/>
    <cellStyle name="Normal 4 17 5 3 4" xfId="37438"/>
    <cellStyle name="Normal 4 17 5 4" xfId="6179"/>
    <cellStyle name="Normal 4 17 5 4 2" xfId="14404"/>
    <cellStyle name="Normal 4 17 5 4 2 2" xfId="30854"/>
    <cellStyle name="Normal 4 17 5 4 3" xfId="22629"/>
    <cellStyle name="Normal 4 17 5 4 4" xfId="39083"/>
    <cellStyle name="Normal 4 17 5 5" xfId="7824"/>
    <cellStyle name="Normal 4 17 5 5 2" xfId="16049"/>
    <cellStyle name="Normal 4 17 5 5 2 2" xfId="32499"/>
    <cellStyle name="Normal 4 17 5 5 3" xfId="24274"/>
    <cellStyle name="Normal 4 17 5 5 4" xfId="40728"/>
    <cellStyle name="Normal 4 17 5 6" xfId="9469"/>
    <cellStyle name="Normal 4 17 5 6 2" xfId="25919"/>
    <cellStyle name="Normal 4 17 5 7" xfId="17693"/>
    <cellStyle name="Normal 4 17 5 8" xfId="34147"/>
    <cellStyle name="Normal 4 17 5 9" xfId="42374"/>
    <cellStyle name="Normal 4 17 6" xfId="1474"/>
    <cellStyle name="Normal 4 17 6 2" xfId="3124"/>
    <cellStyle name="Normal 4 17 6 2 2" xfId="11349"/>
    <cellStyle name="Normal 4 17 6 2 2 2" xfId="27799"/>
    <cellStyle name="Normal 4 17 6 2 3" xfId="19574"/>
    <cellStyle name="Normal 4 17 6 2 4" xfId="36028"/>
    <cellStyle name="Normal 4 17 6 3" xfId="4769"/>
    <cellStyle name="Normal 4 17 6 3 2" xfId="12994"/>
    <cellStyle name="Normal 4 17 6 3 2 2" xfId="29444"/>
    <cellStyle name="Normal 4 17 6 3 3" xfId="21219"/>
    <cellStyle name="Normal 4 17 6 3 4" xfId="37673"/>
    <cellStyle name="Normal 4 17 6 4" xfId="6414"/>
    <cellStyle name="Normal 4 17 6 4 2" xfId="14639"/>
    <cellStyle name="Normal 4 17 6 4 2 2" xfId="31089"/>
    <cellStyle name="Normal 4 17 6 4 3" xfId="22864"/>
    <cellStyle name="Normal 4 17 6 4 4" xfId="39318"/>
    <cellStyle name="Normal 4 17 6 5" xfId="8059"/>
    <cellStyle name="Normal 4 17 6 5 2" xfId="16284"/>
    <cellStyle name="Normal 4 17 6 5 2 2" xfId="32734"/>
    <cellStyle name="Normal 4 17 6 5 3" xfId="24509"/>
    <cellStyle name="Normal 4 17 6 5 4" xfId="40963"/>
    <cellStyle name="Normal 4 17 6 6" xfId="9704"/>
    <cellStyle name="Normal 4 17 6 6 2" xfId="26154"/>
    <cellStyle name="Normal 4 17 6 7" xfId="17928"/>
    <cellStyle name="Normal 4 17 6 8" xfId="34382"/>
    <cellStyle name="Normal 4 17 7" xfId="1709"/>
    <cellStyle name="Normal 4 17 7 2" xfId="3359"/>
    <cellStyle name="Normal 4 17 7 2 2" xfId="11584"/>
    <cellStyle name="Normal 4 17 7 2 2 2" xfId="28034"/>
    <cellStyle name="Normal 4 17 7 2 3" xfId="19809"/>
    <cellStyle name="Normal 4 17 7 2 4" xfId="36263"/>
    <cellStyle name="Normal 4 17 7 3" xfId="5004"/>
    <cellStyle name="Normal 4 17 7 3 2" xfId="13229"/>
    <cellStyle name="Normal 4 17 7 3 2 2" xfId="29679"/>
    <cellStyle name="Normal 4 17 7 3 3" xfId="21454"/>
    <cellStyle name="Normal 4 17 7 3 4" xfId="37908"/>
    <cellStyle name="Normal 4 17 7 4" xfId="6649"/>
    <cellStyle name="Normal 4 17 7 4 2" xfId="14874"/>
    <cellStyle name="Normal 4 17 7 4 2 2" xfId="31324"/>
    <cellStyle name="Normal 4 17 7 4 3" xfId="23099"/>
    <cellStyle name="Normal 4 17 7 4 4" xfId="39553"/>
    <cellStyle name="Normal 4 17 7 5" xfId="8294"/>
    <cellStyle name="Normal 4 17 7 5 2" xfId="16519"/>
    <cellStyle name="Normal 4 17 7 5 2 2" xfId="32969"/>
    <cellStyle name="Normal 4 17 7 5 3" xfId="24744"/>
    <cellStyle name="Normal 4 17 7 5 4" xfId="41198"/>
    <cellStyle name="Normal 4 17 7 6" xfId="9939"/>
    <cellStyle name="Normal 4 17 7 6 2" xfId="26389"/>
    <cellStyle name="Normal 4 17 7 7" xfId="18163"/>
    <cellStyle name="Normal 4 17 7 8" xfId="34617"/>
    <cellStyle name="Normal 4 17 8" xfId="1944"/>
    <cellStyle name="Normal 4 17 8 2" xfId="10174"/>
    <cellStyle name="Normal 4 17 8 2 2" xfId="26624"/>
    <cellStyle name="Normal 4 17 8 3" xfId="18398"/>
    <cellStyle name="Normal 4 17 8 4" xfId="34852"/>
    <cellStyle name="Normal 4 17 9" xfId="3594"/>
    <cellStyle name="Normal 4 17 9 2" xfId="11819"/>
    <cellStyle name="Normal 4 17 9 2 2" xfId="28269"/>
    <cellStyle name="Normal 4 17 9 3" xfId="20044"/>
    <cellStyle name="Normal 4 17 9 4" xfId="36498"/>
    <cellStyle name="Normal 4 18" xfId="271"/>
    <cellStyle name="Normal 4 18 2" xfId="1972"/>
    <cellStyle name="Normal 4 18 2 2" xfId="10201"/>
    <cellStyle name="Normal 4 18 2 2 2" xfId="26651"/>
    <cellStyle name="Normal 4 18 2 3" xfId="18426"/>
    <cellStyle name="Normal 4 18 2 4" xfId="34880"/>
    <cellStyle name="Normal 4 18 3" xfId="3621"/>
    <cellStyle name="Normal 4 18 3 2" xfId="11846"/>
    <cellStyle name="Normal 4 18 3 2 2" xfId="28296"/>
    <cellStyle name="Normal 4 18 3 3" xfId="20071"/>
    <cellStyle name="Normal 4 18 3 4" xfId="36525"/>
    <cellStyle name="Normal 4 18 4" xfId="5266"/>
    <cellStyle name="Normal 4 18 4 2" xfId="13491"/>
    <cellStyle name="Normal 4 18 4 2 2" xfId="29941"/>
    <cellStyle name="Normal 4 18 4 3" xfId="21716"/>
    <cellStyle name="Normal 4 18 4 4" xfId="38170"/>
    <cellStyle name="Normal 4 18 5" xfId="6911"/>
    <cellStyle name="Normal 4 18 5 2" xfId="15136"/>
    <cellStyle name="Normal 4 18 5 2 2" xfId="31586"/>
    <cellStyle name="Normal 4 18 5 3" xfId="23361"/>
    <cellStyle name="Normal 4 18 5 4" xfId="39815"/>
    <cellStyle name="Normal 4 18 6" xfId="8556"/>
    <cellStyle name="Normal 4 18 6 2" xfId="25006"/>
    <cellStyle name="Normal 4 18 7" xfId="16780"/>
    <cellStyle name="Normal 4 18 8" xfId="33234"/>
    <cellStyle name="Normal 4 18 9" xfId="41461"/>
    <cellStyle name="Normal 4 19" xfId="514"/>
    <cellStyle name="Normal 4 19 2" xfId="2209"/>
    <cellStyle name="Normal 4 19 2 2" xfId="10436"/>
    <cellStyle name="Normal 4 19 2 2 2" xfId="26886"/>
    <cellStyle name="Normal 4 19 2 3" xfId="18661"/>
    <cellStyle name="Normal 4 19 2 4" xfId="35115"/>
    <cellStyle name="Normal 4 19 3" xfId="3856"/>
    <cellStyle name="Normal 4 19 3 2" xfId="12081"/>
    <cellStyle name="Normal 4 19 3 2 2" xfId="28531"/>
    <cellStyle name="Normal 4 19 3 3" xfId="20306"/>
    <cellStyle name="Normal 4 19 3 4" xfId="36760"/>
    <cellStyle name="Normal 4 19 4" xfId="5501"/>
    <cellStyle name="Normal 4 19 4 2" xfId="13726"/>
    <cellStyle name="Normal 4 19 4 2 2" xfId="30176"/>
    <cellStyle name="Normal 4 19 4 3" xfId="21951"/>
    <cellStyle name="Normal 4 19 4 4" xfId="38405"/>
    <cellStyle name="Normal 4 19 5" xfId="7146"/>
    <cellStyle name="Normal 4 19 5 2" xfId="15371"/>
    <cellStyle name="Normal 4 19 5 2 2" xfId="31821"/>
    <cellStyle name="Normal 4 19 5 3" xfId="23596"/>
    <cellStyle name="Normal 4 19 5 4" xfId="40050"/>
    <cellStyle name="Normal 4 19 6" xfId="8791"/>
    <cellStyle name="Normal 4 19 6 2" xfId="25241"/>
    <cellStyle name="Normal 4 19 7" xfId="17015"/>
    <cellStyle name="Normal 4 19 8" xfId="33469"/>
    <cellStyle name="Normal 4 19 9" xfId="41696"/>
    <cellStyle name="Normal 4 2" xfId="32"/>
    <cellStyle name="Normal 4 2 10" xfId="275"/>
    <cellStyle name="Normal 4 2 10 2" xfId="1976"/>
    <cellStyle name="Normal 4 2 10 2 2" xfId="10203"/>
    <cellStyle name="Normal 4 2 10 2 2 2" xfId="26653"/>
    <cellStyle name="Normal 4 2 10 2 3" xfId="18428"/>
    <cellStyle name="Normal 4 2 10 2 4" xfId="34882"/>
    <cellStyle name="Normal 4 2 10 3" xfId="3623"/>
    <cellStyle name="Normal 4 2 10 3 2" xfId="11848"/>
    <cellStyle name="Normal 4 2 10 3 2 2" xfId="28298"/>
    <cellStyle name="Normal 4 2 10 3 3" xfId="20073"/>
    <cellStyle name="Normal 4 2 10 3 4" xfId="36527"/>
    <cellStyle name="Normal 4 2 10 4" xfId="5268"/>
    <cellStyle name="Normal 4 2 10 4 2" xfId="13493"/>
    <cellStyle name="Normal 4 2 10 4 2 2" xfId="29943"/>
    <cellStyle name="Normal 4 2 10 4 3" xfId="21718"/>
    <cellStyle name="Normal 4 2 10 4 4" xfId="38172"/>
    <cellStyle name="Normal 4 2 10 5" xfId="6913"/>
    <cellStyle name="Normal 4 2 10 5 2" xfId="15138"/>
    <cellStyle name="Normal 4 2 10 5 2 2" xfId="31588"/>
    <cellStyle name="Normal 4 2 10 5 3" xfId="23363"/>
    <cellStyle name="Normal 4 2 10 5 4" xfId="39817"/>
    <cellStyle name="Normal 4 2 10 6" xfId="8558"/>
    <cellStyle name="Normal 4 2 10 6 2" xfId="25008"/>
    <cellStyle name="Normal 4 2 10 7" xfId="16782"/>
    <cellStyle name="Normal 4 2 10 8" xfId="33236"/>
    <cellStyle name="Normal 4 2 10 9" xfId="41463"/>
    <cellStyle name="Normal 4 2 11" xfId="518"/>
    <cellStyle name="Normal 4 2 11 2" xfId="2213"/>
    <cellStyle name="Normal 4 2 11 2 2" xfId="10438"/>
    <cellStyle name="Normal 4 2 11 2 2 2" xfId="26888"/>
    <cellStyle name="Normal 4 2 11 2 3" xfId="18663"/>
    <cellStyle name="Normal 4 2 11 2 4" xfId="35117"/>
    <cellStyle name="Normal 4 2 11 3" xfId="3858"/>
    <cellStyle name="Normal 4 2 11 3 2" xfId="12083"/>
    <cellStyle name="Normal 4 2 11 3 2 2" xfId="28533"/>
    <cellStyle name="Normal 4 2 11 3 3" xfId="20308"/>
    <cellStyle name="Normal 4 2 11 3 4" xfId="36762"/>
    <cellStyle name="Normal 4 2 11 4" xfId="5503"/>
    <cellStyle name="Normal 4 2 11 4 2" xfId="13728"/>
    <cellStyle name="Normal 4 2 11 4 2 2" xfId="30178"/>
    <cellStyle name="Normal 4 2 11 4 3" xfId="21953"/>
    <cellStyle name="Normal 4 2 11 4 4" xfId="38407"/>
    <cellStyle name="Normal 4 2 11 5" xfId="7148"/>
    <cellStyle name="Normal 4 2 11 5 2" xfId="15373"/>
    <cellStyle name="Normal 4 2 11 5 2 2" xfId="31823"/>
    <cellStyle name="Normal 4 2 11 5 3" xfId="23598"/>
    <cellStyle name="Normal 4 2 11 5 4" xfId="40052"/>
    <cellStyle name="Normal 4 2 11 6" xfId="8793"/>
    <cellStyle name="Normal 4 2 11 6 2" xfId="25243"/>
    <cellStyle name="Normal 4 2 11 7" xfId="17017"/>
    <cellStyle name="Normal 4 2 11 8" xfId="33471"/>
    <cellStyle name="Normal 4 2 11 9" xfId="41698"/>
    <cellStyle name="Normal 4 2 12" xfId="753"/>
    <cellStyle name="Normal 4 2 12 2" xfId="2448"/>
    <cellStyle name="Normal 4 2 12 2 2" xfId="10673"/>
    <cellStyle name="Normal 4 2 12 2 2 2" xfId="27123"/>
    <cellStyle name="Normal 4 2 12 2 3" xfId="18898"/>
    <cellStyle name="Normal 4 2 12 2 4" xfId="35352"/>
    <cellStyle name="Normal 4 2 12 3" xfId="4093"/>
    <cellStyle name="Normal 4 2 12 3 2" xfId="12318"/>
    <cellStyle name="Normal 4 2 12 3 2 2" xfId="28768"/>
    <cellStyle name="Normal 4 2 12 3 3" xfId="20543"/>
    <cellStyle name="Normal 4 2 12 3 4" xfId="36997"/>
    <cellStyle name="Normal 4 2 12 4" xfId="5738"/>
    <cellStyle name="Normal 4 2 12 4 2" xfId="13963"/>
    <cellStyle name="Normal 4 2 12 4 2 2" xfId="30413"/>
    <cellStyle name="Normal 4 2 12 4 3" xfId="22188"/>
    <cellStyle name="Normal 4 2 12 4 4" xfId="38642"/>
    <cellStyle name="Normal 4 2 12 5" xfId="7383"/>
    <cellStyle name="Normal 4 2 12 5 2" xfId="15608"/>
    <cellStyle name="Normal 4 2 12 5 2 2" xfId="32058"/>
    <cellStyle name="Normal 4 2 12 5 3" xfId="23833"/>
    <cellStyle name="Normal 4 2 12 5 4" xfId="40287"/>
    <cellStyle name="Normal 4 2 12 6" xfId="9028"/>
    <cellStyle name="Normal 4 2 12 6 2" xfId="25478"/>
    <cellStyle name="Normal 4 2 12 7" xfId="17252"/>
    <cellStyle name="Normal 4 2 12 8" xfId="33706"/>
    <cellStyle name="Normal 4 2 12 9" xfId="41933"/>
    <cellStyle name="Normal 4 2 13" xfId="988"/>
    <cellStyle name="Normal 4 2 13 2" xfId="2683"/>
    <cellStyle name="Normal 4 2 13 2 2" xfId="10908"/>
    <cellStyle name="Normal 4 2 13 2 2 2" xfId="27358"/>
    <cellStyle name="Normal 4 2 13 2 3" xfId="19133"/>
    <cellStyle name="Normal 4 2 13 2 4" xfId="35587"/>
    <cellStyle name="Normal 4 2 13 3" xfId="4328"/>
    <cellStyle name="Normal 4 2 13 3 2" xfId="12553"/>
    <cellStyle name="Normal 4 2 13 3 2 2" xfId="29003"/>
    <cellStyle name="Normal 4 2 13 3 3" xfId="20778"/>
    <cellStyle name="Normal 4 2 13 3 4" xfId="37232"/>
    <cellStyle name="Normal 4 2 13 4" xfId="5973"/>
    <cellStyle name="Normal 4 2 13 4 2" xfId="14198"/>
    <cellStyle name="Normal 4 2 13 4 2 2" xfId="30648"/>
    <cellStyle name="Normal 4 2 13 4 3" xfId="22423"/>
    <cellStyle name="Normal 4 2 13 4 4" xfId="38877"/>
    <cellStyle name="Normal 4 2 13 5" xfId="7618"/>
    <cellStyle name="Normal 4 2 13 5 2" xfId="15843"/>
    <cellStyle name="Normal 4 2 13 5 2 2" xfId="32293"/>
    <cellStyle name="Normal 4 2 13 5 3" xfId="24068"/>
    <cellStyle name="Normal 4 2 13 5 4" xfId="40522"/>
    <cellStyle name="Normal 4 2 13 6" xfId="9263"/>
    <cellStyle name="Normal 4 2 13 6 2" xfId="25713"/>
    <cellStyle name="Normal 4 2 13 7" xfId="17487"/>
    <cellStyle name="Normal 4 2 13 8" xfId="33941"/>
    <cellStyle name="Normal 4 2 13 9" xfId="42168"/>
    <cellStyle name="Normal 4 2 14" xfId="1268"/>
    <cellStyle name="Normal 4 2 14 2" xfId="2918"/>
    <cellStyle name="Normal 4 2 14 2 2" xfId="11143"/>
    <cellStyle name="Normal 4 2 14 2 2 2" xfId="27593"/>
    <cellStyle name="Normal 4 2 14 2 3" xfId="19368"/>
    <cellStyle name="Normal 4 2 14 2 4" xfId="35822"/>
    <cellStyle name="Normal 4 2 14 3" xfId="4563"/>
    <cellStyle name="Normal 4 2 14 3 2" xfId="12788"/>
    <cellStyle name="Normal 4 2 14 3 2 2" xfId="29238"/>
    <cellStyle name="Normal 4 2 14 3 3" xfId="21013"/>
    <cellStyle name="Normal 4 2 14 3 4" xfId="37467"/>
    <cellStyle name="Normal 4 2 14 4" xfId="6208"/>
    <cellStyle name="Normal 4 2 14 4 2" xfId="14433"/>
    <cellStyle name="Normal 4 2 14 4 2 2" xfId="30883"/>
    <cellStyle name="Normal 4 2 14 4 3" xfId="22658"/>
    <cellStyle name="Normal 4 2 14 4 4" xfId="39112"/>
    <cellStyle name="Normal 4 2 14 5" xfId="7853"/>
    <cellStyle name="Normal 4 2 14 5 2" xfId="16078"/>
    <cellStyle name="Normal 4 2 14 5 2 2" xfId="32528"/>
    <cellStyle name="Normal 4 2 14 5 3" xfId="24303"/>
    <cellStyle name="Normal 4 2 14 5 4" xfId="40757"/>
    <cellStyle name="Normal 4 2 14 6" xfId="9498"/>
    <cellStyle name="Normal 4 2 14 6 2" xfId="25948"/>
    <cellStyle name="Normal 4 2 14 7" xfId="17722"/>
    <cellStyle name="Normal 4 2 14 8" xfId="34176"/>
    <cellStyle name="Normal 4 2 15" xfId="1503"/>
    <cellStyle name="Normal 4 2 15 2" xfId="3153"/>
    <cellStyle name="Normal 4 2 15 2 2" xfId="11378"/>
    <cellStyle name="Normal 4 2 15 2 2 2" xfId="27828"/>
    <cellStyle name="Normal 4 2 15 2 3" xfId="19603"/>
    <cellStyle name="Normal 4 2 15 2 4" xfId="36057"/>
    <cellStyle name="Normal 4 2 15 3" xfId="4798"/>
    <cellStyle name="Normal 4 2 15 3 2" xfId="13023"/>
    <cellStyle name="Normal 4 2 15 3 2 2" xfId="29473"/>
    <cellStyle name="Normal 4 2 15 3 3" xfId="21248"/>
    <cellStyle name="Normal 4 2 15 3 4" xfId="37702"/>
    <cellStyle name="Normal 4 2 15 4" xfId="6443"/>
    <cellStyle name="Normal 4 2 15 4 2" xfId="14668"/>
    <cellStyle name="Normal 4 2 15 4 2 2" xfId="31118"/>
    <cellStyle name="Normal 4 2 15 4 3" xfId="22893"/>
    <cellStyle name="Normal 4 2 15 4 4" xfId="39347"/>
    <cellStyle name="Normal 4 2 15 5" xfId="8088"/>
    <cellStyle name="Normal 4 2 15 5 2" xfId="16313"/>
    <cellStyle name="Normal 4 2 15 5 2 2" xfId="32763"/>
    <cellStyle name="Normal 4 2 15 5 3" xfId="24538"/>
    <cellStyle name="Normal 4 2 15 5 4" xfId="40992"/>
    <cellStyle name="Normal 4 2 15 6" xfId="9733"/>
    <cellStyle name="Normal 4 2 15 6 2" xfId="26183"/>
    <cellStyle name="Normal 4 2 15 7" xfId="17957"/>
    <cellStyle name="Normal 4 2 15 8" xfId="34411"/>
    <cellStyle name="Normal 4 2 16" xfId="1738"/>
    <cellStyle name="Normal 4 2 16 2" xfId="9968"/>
    <cellStyle name="Normal 4 2 16 2 2" xfId="26418"/>
    <cellStyle name="Normal 4 2 16 3" xfId="18192"/>
    <cellStyle name="Normal 4 2 16 4" xfId="34646"/>
    <cellStyle name="Normal 4 2 17" xfId="3388"/>
    <cellStyle name="Normal 4 2 17 2" xfId="11613"/>
    <cellStyle name="Normal 4 2 17 2 2" xfId="28063"/>
    <cellStyle name="Normal 4 2 17 3" xfId="19838"/>
    <cellStyle name="Normal 4 2 17 4" xfId="36292"/>
    <cellStyle name="Normal 4 2 18" xfId="5033"/>
    <cellStyle name="Normal 4 2 18 2" xfId="13258"/>
    <cellStyle name="Normal 4 2 18 2 2" xfId="29708"/>
    <cellStyle name="Normal 4 2 18 3" xfId="21483"/>
    <cellStyle name="Normal 4 2 18 4" xfId="37937"/>
    <cellStyle name="Normal 4 2 19" xfId="6678"/>
    <cellStyle name="Normal 4 2 19 2" xfId="14903"/>
    <cellStyle name="Normal 4 2 19 2 2" xfId="31353"/>
    <cellStyle name="Normal 4 2 19 3" xfId="23128"/>
    <cellStyle name="Normal 4 2 19 4" xfId="39582"/>
    <cellStyle name="Normal 4 2 2" xfId="39"/>
    <cellStyle name="Normal 4 2 2 10" xfId="525"/>
    <cellStyle name="Normal 4 2 2 10 2" xfId="2220"/>
    <cellStyle name="Normal 4 2 2 10 2 2" xfId="10445"/>
    <cellStyle name="Normal 4 2 2 10 2 2 2" xfId="26895"/>
    <cellStyle name="Normal 4 2 2 10 2 3" xfId="18670"/>
    <cellStyle name="Normal 4 2 2 10 2 4" xfId="35124"/>
    <cellStyle name="Normal 4 2 2 10 3" xfId="3865"/>
    <cellStyle name="Normal 4 2 2 10 3 2" xfId="12090"/>
    <cellStyle name="Normal 4 2 2 10 3 2 2" xfId="28540"/>
    <cellStyle name="Normal 4 2 2 10 3 3" xfId="20315"/>
    <cellStyle name="Normal 4 2 2 10 3 4" xfId="36769"/>
    <cellStyle name="Normal 4 2 2 10 4" xfId="5510"/>
    <cellStyle name="Normal 4 2 2 10 4 2" xfId="13735"/>
    <cellStyle name="Normal 4 2 2 10 4 2 2" xfId="30185"/>
    <cellStyle name="Normal 4 2 2 10 4 3" xfId="21960"/>
    <cellStyle name="Normal 4 2 2 10 4 4" xfId="38414"/>
    <cellStyle name="Normal 4 2 2 10 5" xfId="7155"/>
    <cellStyle name="Normal 4 2 2 10 5 2" xfId="15380"/>
    <cellStyle name="Normal 4 2 2 10 5 2 2" xfId="31830"/>
    <cellStyle name="Normal 4 2 2 10 5 3" xfId="23605"/>
    <cellStyle name="Normal 4 2 2 10 5 4" xfId="40059"/>
    <cellStyle name="Normal 4 2 2 10 6" xfId="8800"/>
    <cellStyle name="Normal 4 2 2 10 6 2" xfId="25250"/>
    <cellStyle name="Normal 4 2 2 10 7" xfId="17024"/>
    <cellStyle name="Normal 4 2 2 10 8" xfId="33478"/>
    <cellStyle name="Normal 4 2 2 10 9" xfId="41705"/>
    <cellStyle name="Normal 4 2 2 11" xfId="760"/>
    <cellStyle name="Normal 4 2 2 11 2" xfId="2455"/>
    <cellStyle name="Normal 4 2 2 11 2 2" xfId="10680"/>
    <cellStyle name="Normal 4 2 2 11 2 2 2" xfId="27130"/>
    <cellStyle name="Normal 4 2 2 11 2 3" xfId="18905"/>
    <cellStyle name="Normal 4 2 2 11 2 4" xfId="35359"/>
    <cellStyle name="Normal 4 2 2 11 3" xfId="4100"/>
    <cellStyle name="Normal 4 2 2 11 3 2" xfId="12325"/>
    <cellStyle name="Normal 4 2 2 11 3 2 2" xfId="28775"/>
    <cellStyle name="Normal 4 2 2 11 3 3" xfId="20550"/>
    <cellStyle name="Normal 4 2 2 11 3 4" xfId="37004"/>
    <cellStyle name="Normal 4 2 2 11 4" xfId="5745"/>
    <cellStyle name="Normal 4 2 2 11 4 2" xfId="13970"/>
    <cellStyle name="Normal 4 2 2 11 4 2 2" xfId="30420"/>
    <cellStyle name="Normal 4 2 2 11 4 3" xfId="22195"/>
    <cellStyle name="Normal 4 2 2 11 4 4" xfId="38649"/>
    <cellStyle name="Normal 4 2 2 11 5" xfId="7390"/>
    <cellStyle name="Normal 4 2 2 11 5 2" xfId="15615"/>
    <cellStyle name="Normal 4 2 2 11 5 2 2" xfId="32065"/>
    <cellStyle name="Normal 4 2 2 11 5 3" xfId="23840"/>
    <cellStyle name="Normal 4 2 2 11 5 4" xfId="40294"/>
    <cellStyle name="Normal 4 2 2 11 6" xfId="9035"/>
    <cellStyle name="Normal 4 2 2 11 6 2" xfId="25485"/>
    <cellStyle name="Normal 4 2 2 11 7" xfId="17259"/>
    <cellStyle name="Normal 4 2 2 11 8" xfId="33713"/>
    <cellStyle name="Normal 4 2 2 11 9" xfId="41940"/>
    <cellStyle name="Normal 4 2 2 12" xfId="995"/>
    <cellStyle name="Normal 4 2 2 12 2" xfId="2690"/>
    <cellStyle name="Normal 4 2 2 12 2 2" xfId="10915"/>
    <cellStyle name="Normal 4 2 2 12 2 2 2" xfId="27365"/>
    <cellStyle name="Normal 4 2 2 12 2 3" xfId="19140"/>
    <cellStyle name="Normal 4 2 2 12 2 4" xfId="35594"/>
    <cellStyle name="Normal 4 2 2 12 3" xfId="4335"/>
    <cellStyle name="Normal 4 2 2 12 3 2" xfId="12560"/>
    <cellStyle name="Normal 4 2 2 12 3 2 2" xfId="29010"/>
    <cellStyle name="Normal 4 2 2 12 3 3" xfId="20785"/>
    <cellStyle name="Normal 4 2 2 12 3 4" xfId="37239"/>
    <cellStyle name="Normal 4 2 2 12 4" xfId="5980"/>
    <cellStyle name="Normal 4 2 2 12 4 2" xfId="14205"/>
    <cellStyle name="Normal 4 2 2 12 4 2 2" xfId="30655"/>
    <cellStyle name="Normal 4 2 2 12 4 3" xfId="22430"/>
    <cellStyle name="Normal 4 2 2 12 4 4" xfId="38884"/>
    <cellStyle name="Normal 4 2 2 12 5" xfId="7625"/>
    <cellStyle name="Normal 4 2 2 12 5 2" xfId="15850"/>
    <cellStyle name="Normal 4 2 2 12 5 2 2" xfId="32300"/>
    <cellStyle name="Normal 4 2 2 12 5 3" xfId="24075"/>
    <cellStyle name="Normal 4 2 2 12 5 4" xfId="40529"/>
    <cellStyle name="Normal 4 2 2 12 6" xfId="9270"/>
    <cellStyle name="Normal 4 2 2 12 6 2" xfId="25720"/>
    <cellStyle name="Normal 4 2 2 12 7" xfId="17494"/>
    <cellStyle name="Normal 4 2 2 12 8" xfId="33948"/>
    <cellStyle name="Normal 4 2 2 12 9" xfId="42175"/>
    <cellStyle name="Normal 4 2 2 13" xfId="1275"/>
    <cellStyle name="Normal 4 2 2 13 2" xfId="2925"/>
    <cellStyle name="Normal 4 2 2 13 2 2" xfId="11150"/>
    <cellStyle name="Normal 4 2 2 13 2 2 2" xfId="27600"/>
    <cellStyle name="Normal 4 2 2 13 2 3" xfId="19375"/>
    <cellStyle name="Normal 4 2 2 13 2 4" xfId="35829"/>
    <cellStyle name="Normal 4 2 2 13 3" xfId="4570"/>
    <cellStyle name="Normal 4 2 2 13 3 2" xfId="12795"/>
    <cellStyle name="Normal 4 2 2 13 3 2 2" xfId="29245"/>
    <cellStyle name="Normal 4 2 2 13 3 3" xfId="21020"/>
    <cellStyle name="Normal 4 2 2 13 3 4" xfId="37474"/>
    <cellStyle name="Normal 4 2 2 13 4" xfId="6215"/>
    <cellStyle name="Normal 4 2 2 13 4 2" xfId="14440"/>
    <cellStyle name="Normal 4 2 2 13 4 2 2" xfId="30890"/>
    <cellStyle name="Normal 4 2 2 13 4 3" xfId="22665"/>
    <cellStyle name="Normal 4 2 2 13 4 4" xfId="39119"/>
    <cellStyle name="Normal 4 2 2 13 5" xfId="7860"/>
    <cellStyle name="Normal 4 2 2 13 5 2" xfId="16085"/>
    <cellStyle name="Normal 4 2 2 13 5 2 2" xfId="32535"/>
    <cellStyle name="Normal 4 2 2 13 5 3" xfId="24310"/>
    <cellStyle name="Normal 4 2 2 13 5 4" xfId="40764"/>
    <cellStyle name="Normal 4 2 2 13 6" xfId="9505"/>
    <cellStyle name="Normal 4 2 2 13 6 2" xfId="25955"/>
    <cellStyle name="Normal 4 2 2 13 7" xfId="17729"/>
    <cellStyle name="Normal 4 2 2 13 8" xfId="34183"/>
    <cellStyle name="Normal 4 2 2 14" xfId="1510"/>
    <cellStyle name="Normal 4 2 2 14 2" xfId="3160"/>
    <cellStyle name="Normal 4 2 2 14 2 2" xfId="11385"/>
    <cellStyle name="Normal 4 2 2 14 2 2 2" xfId="27835"/>
    <cellStyle name="Normal 4 2 2 14 2 3" xfId="19610"/>
    <cellStyle name="Normal 4 2 2 14 2 4" xfId="36064"/>
    <cellStyle name="Normal 4 2 2 14 3" xfId="4805"/>
    <cellStyle name="Normal 4 2 2 14 3 2" xfId="13030"/>
    <cellStyle name="Normal 4 2 2 14 3 2 2" xfId="29480"/>
    <cellStyle name="Normal 4 2 2 14 3 3" xfId="21255"/>
    <cellStyle name="Normal 4 2 2 14 3 4" xfId="37709"/>
    <cellStyle name="Normal 4 2 2 14 4" xfId="6450"/>
    <cellStyle name="Normal 4 2 2 14 4 2" xfId="14675"/>
    <cellStyle name="Normal 4 2 2 14 4 2 2" xfId="31125"/>
    <cellStyle name="Normal 4 2 2 14 4 3" xfId="22900"/>
    <cellStyle name="Normal 4 2 2 14 4 4" xfId="39354"/>
    <cellStyle name="Normal 4 2 2 14 5" xfId="8095"/>
    <cellStyle name="Normal 4 2 2 14 5 2" xfId="16320"/>
    <cellStyle name="Normal 4 2 2 14 5 2 2" xfId="32770"/>
    <cellStyle name="Normal 4 2 2 14 5 3" xfId="24545"/>
    <cellStyle name="Normal 4 2 2 14 5 4" xfId="40999"/>
    <cellStyle name="Normal 4 2 2 14 6" xfId="9740"/>
    <cellStyle name="Normal 4 2 2 14 6 2" xfId="26190"/>
    <cellStyle name="Normal 4 2 2 14 7" xfId="17964"/>
    <cellStyle name="Normal 4 2 2 14 8" xfId="34418"/>
    <cellStyle name="Normal 4 2 2 15" xfId="1745"/>
    <cellStyle name="Normal 4 2 2 15 2" xfId="9975"/>
    <cellStyle name="Normal 4 2 2 15 2 2" xfId="26425"/>
    <cellStyle name="Normal 4 2 2 15 3" xfId="18199"/>
    <cellStyle name="Normal 4 2 2 15 4" xfId="34653"/>
    <cellStyle name="Normal 4 2 2 16" xfId="3395"/>
    <cellStyle name="Normal 4 2 2 16 2" xfId="11620"/>
    <cellStyle name="Normal 4 2 2 16 2 2" xfId="28070"/>
    <cellStyle name="Normal 4 2 2 16 3" xfId="19845"/>
    <cellStyle name="Normal 4 2 2 16 4" xfId="36299"/>
    <cellStyle name="Normal 4 2 2 17" xfId="5040"/>
    <cellStyle name="Normal 4 2 2 17 2" xfId="13265"/>
    <cellStyle name="Normal 4 2 2 17 2 2" xfId="29715"/>
    <cellStyle name="Normal 4 2 2 17 3" xfId="21490"/>
    <cellStyle name="Normal 4 2 2 17 4" xfId="37944"/>
    <cellStyle name="Normal 4 2 2 18" xfId="6685"/>
    <cellStyle name="Normal 4 2 2 18 2" xfId="14910"/>
    <cellStyle name="Normal 4 2 2 18 2 2" xfId="31360"/>
    <cellStyle name="Normal 4 2 2 18 3" xfId="23135"/>
    <cellStyle name="Normal 4 2 2 18 4" xfId="39589"/>
    <cellStyle name="Normal 4 2 2 19" xfId="8330"/>
    <cellStyle name="Normal 4 2 2 19 2" xfId="24780"/>
    <cellStyle name="Normal 4 2 2 2" xfId="66"/>
    <cellStyle name="Normal 4 2 2 2 10" xfId="3420"/>
    <cellStyle name="Normal 4 2 2 2 10 2" xfId="11645"/>
    <cellStyle name="Normal 4 2 2 2 10 2 2" xfId="28095"/>
    <cellStyle name="Normal 4 2 2 2 10 3" xfId="19870"/>
    <cellStyle name="Normal 4 2 2 2 10 4" xfId="36324"/>
    <cellStyle name="Normal 4 2 2 2 11" xfId="5065"/>
    <cellStyle name="Normal 4 2 2 2 11 2" xfId="13290"/>
    <cellStyle name="Normal 4 2 2 2 11 2 2" xfId="29740"/>
    <cellStyle name="Normal 4 2 2 2 11 3" xfId="21515"/>
    <cellStyle name="Normal 4 2 2 2 11 4" xfId="37969"/>
    <cellStyle name="Normal 4 2 2 2 12" xfId="6710"/>
    <cellStyle name="Normal 4 2 2 2 12 2" xfId="14935"/>
    <cellStyle name="Normal 4 2 2 2 12 2 2" xfId="31385"/>
    <cellStyle name="Normal 4 2 2 2 12 3" xfId="23160"/>
    <cellStyle name="Normal 4 2 2 2 12 4" xfId="39614"/>
    <cellStyle name="Normal 4 2 2 2 13" xfId="8355"/>
    <cellStyle name="Normal 4 2 2 2 13 2" xfId="24805"/>
    <cellStyle name="Normal 4 2 2 2 14" xfId="16579"/>
    <cellStyle name="Normal 4 2 2 2 15" xfId="33032"/>
    <cellStyle name="Normal 4 2 2 2 16" xfId="41260"/>
    <cellStyle name="Normal 4 2 2 2 2" xfId="116"/>
    <cellStyle name="Normal 4 2 2 2 2 10" xfId="5115"/>
    <cellStyle name="Normal 4 2 2 2 2 10 2" xfId="13340"/>
    <cellStyle name="Normal 4 2 2 2 2 10 2 2" xfId="29790"/>
    <cellStyle name="Normal 4 2 2 2 2 10 3" xfId="21565"/>
    <cellStyle name="Normal 4 2 2 2 2 10 4" xfId="38019"/>
    <cellStyle name="Normal 4 2 2 2 2 11" xfId="6760"/>
    <cellStyle name="Normal 4 2 2 2 2 11 2" xfId="14985"/>
    <cellStyle name="Normal 4 2 2 2 2 11 2 2" xfId="31435"/>
    <cellStyle name="Normal 4 2 2 2 2 11 3" xfId="23210"/>
    <cellStyle name="Normal 4 2 2 2 2 11 4" xfId="39664"/>
    <cellStyle name="Normal 4 2 2 2 2 12" xfId="8405"/>
    <cellStyle name="Normal 4 2 2 2 2 12 2" xfId="24855"/>
    <cellStyle name="Normal 4 2 2 2 2 13" xfId="16629"/>
    <cellStyle name="Normal 4 2 2 2 2 14" xfId="33082"/>
    <cellStyle name="Normal 4 2 2 2 2 15" xfId="41310"/>
    <cellStyle name="Normal 4 2 2 2 2 2" xfId="359"/>
    <cellStyle name="Normal 4 2 2 2 2 2 2" xfId="2058"/>
    <cellStyle name="Normal 4 2 2 2 2 2 2 2" xfId="10285"/>
    <cellStyle name="Normal 4 2 2 2 2 2 2 2 2" xfId="26735"/>
    <cellStyle name="Normal 4 2 2 2 2 2 2 3" xfId="18510"/>
    <cellStyle name="Normal 4 2 2 2 2 2 2 4" xfId="34964"/>
    <cellStyle name="Normal 4 2 2 2 2 2 3" xfId="3705"/>
    <cellStyle name="Normal 4 2 2 2 2 2 3 2" xfId="11930"/>
    <cellStyle name="Normal 4 2 2 2 2 2 3 2 2" xfId="28380"/>
    <cellStyle name="Normal 4 2 2 2 2 2 3 3" xfId="20155"/>
    <cellStyle name="Normal 4 2 2 2 2 2 3 4" xfId="36609"/>
    <cellStyle name="Normal 4 2 2 2 2 2 4" xfId="5350"/>
    <cellStyle name="Normal 4 2 2 2 2 2 4 2" xfId="13575"/>
    <cellStyle name="Normal 4 2 2 2 2 2 4 2 2" xfId="30025"/>
    <cellStyle name="Normal 4 2 2 2 2 2 4 3" xfId="21800"/>
    <cellStyle name="Normal 4 2 2 2 2 2 4 4" xfId="38254"/>
    <cellStyle name="Normal 4 2 2 2 2 2 5" xfId="6995"/>
    <cellStyle name="Normal 4 2 2 2 2 2 5 2" xfId="15220"/>
    <cellStyle name="Normal 4 2 2 2 2 2 5 2 2" xfId="31670"/>
    <cellStyle name="Normal 4 2 2 2 2 2 5 3" xfId="23445"/>
    <cellStyle name="Normal 4 2 2 2 2 2 5 4" xfId="39899"/>
    <cellStyle name="Normal 4 2 2 2 2 2 6" xfId="8640"/>
    <cellStyle name="Normal 4 2 2 2 2 2 6 2" xfId="25090"/>
    <cellStyle name="Normal 4 2 2 2 2 2 7" xfId="16864"/>
    <cellStyle name="Normal 4 2 2 2 2 2 8" xfId="33318"/>
    <cellStyle name="Normal 4 2 2 2 2 2 9" xfId="41545"/>
    <cellStyle name="Normal 4 2 2 2 2 3" xfId="600"/>
    <cellStyle name="Normal 4 2 2 2 2 3 2" xfId="2295"/>
    <cellStyle name="Normal 4 2 2 2 2 3 2 2" xfId="10520"/>
    <cellStyle name="Normal 4 2 2 2 2 3 2 2 2" xfId="26970"/>
    <cellStyle name="Normal 4 2 2 2 2 3 2 3" xfId="18745"/>
    <cellStyle name="Normal 4 2 2 2 2 3 2 4" xfId="35199"/>
    <cellStyle name="Normal 4 2 2 2 2 3 3" xfId="3940"/>
    <cellStyle name="Normal 4 2 2 2 2 3 3 2" xfId="12165"/>
    <cellStyle name="Normal 4 2 2 2 2 3 3 2 2" xfId="28615"/>
    <cellStyle name="Normal 4 2 2 2 2 3 3 3" xfId="20390"/>
    <cellStyle name="Normal 4 2 2 2 2 3 3 4" xfId="36844"/>
    <cellStyle name="Normal 4 2 2 2 2 3 4" xfId="5585"/>
    <cellStyle name="Normal 4 2 2 2 2 3 4 2" xfId="13810"/>
    <cellStyle name="Normal 4 2 2 2 2 3 4 2 2" xfId="30260"/>
    <cellStyle name="Normal 4 2 2 2 2 3 4 3" xfId="22035"/>
    <cellStyle name="Normal 4 2 2 2 2 3 4 4" xfId="38489"/>
    <cellStyle name="Normal 4 2 2 2 2 3 5" xfId="7230"/>
    <cellStyle name="Normal 4 2 2 2 2 3 5 2" xfId="15455"/>
    <cellStyle name="Normal 4 2 2 2 2 3 5 2 2" xfId="31905"/>
    <cellStyle name="Normal 4 2 2 2 2 3 5 3" xfId="23680"/>
    <cellStyle name="Normal 4 2 2 2 2 3 5 4" xfId="40134"/>
    <cellStyle name="Normal 4 2 2 2 2 3 6" xfId="8875"/>
    <cellStyle name="Normal 4 2 2 2 2 3 6 2" xfId="25325"/>
    <cellStyle name="Normal 4 2 2 2 2 3 7" xfId="17099"/>
    <cellStyle name="Normal 4 2 2 2 2 3 8" xfId="33553"/>
    <cellStyle name="Normal 4 2 2 2 2 3 9" xfId="41780"/>
    <cellStyle name="Normal 4 2 2 2 2 4" xfId="835"/>
    <cellStyle name="Normal 4 2 2 2 2 4 2" xfId="2530"/>
    <cellStyle name="Normal 4 2 2 2 2 4 2 2" xfId="10755"/>
    <cellStyle name="Normal 4 2 2 2 2 4 2 2 2" xfId="27205"/>
    <cellStyle name="Normal 4 2 2 2 2 4 2 3" xfId="18980"/>
    <cellStyle name="Normal 4 2 2 2 2 4 2 4" xfId="35434"/>
    <cellStyle name="Normal 4 2 2 2 2 4 3" xfId="4175"/>
    <cellStyle name="Normal 4 2 2 2 2 4 3 2" xfId="12400"/>
    <cellStyle name="Normal 4 2 2 2 2 4 3 2 2" xfId="28850"/>
    <cellStyle name="Normal 4 2 2 2 2 4 3 3" xfId="20625"/>
    <cellStyle name="Normal 4 2 2 2 2 4 3 4" xfId="37079"/>
    <cellStyle name="Normal 4 2 2 2 2 4 4" xfId="5820"/>
    <cellStyle name="Normal 4 2 2 2 2 4 4 2" xfId="14045"/>
    <cellStyle name="Normal 4 2 2 2 2 4 4 2 2" xfId="30495"/>
    <cellStyle name="Normal 4 2 2 2 2 4 4 3" xfId="22270"/>
    <cellStyle name="Normal 4 2 2 2 2 4 4 4" xfId="38724"/>
    <cellStyle name="Normal 4 2 2 2 2 4 5" xfId="7465"/>
    <cellStyle name="Normal 4 2 2 2 2 4 5 2" xfId="15690"/>
    <cellStyle name="Normal 4 2 2 2 2 4 5 2 2" xfId="32140"/>
    <cellStyle name="Normal 4 2 2 2 2 4 5 3" xfId="23915"/>
    <cellStyle name="Normal 4 2 2 2 2 4 5 4" xfId="40369"/>
    <cellStyle name="Normal 4 2 2 2 2 4 6" xfId="9110"/>
    <cellStyle name="Normal 4 2 2 2 2 4 6 2" xfId="25560"/>
    <cellStyle name="Normal 4 2 2 2 2 4 7" xfId="17334"/>
    <cellStyle name="Normal 4 2 2 2 2 4 8" xfId="33788"/>
    <cellStyle name="Normal 4 2 2 2 2 4 9" xfId="42015"/>
    <cellStyle name="Normal 4 2 2 2 2 5" xfId="1070"/>
    <cellStyle name="Normal 4 2 2 2 2 5 2" xfId="2765"/>
    <cellStyle name="Normal 4 2 2 2 2 5 2 2" xfId="10990"/>
    <cellStyle name="Normal 4 2 2 2 2 5 2 2 2" xfId="27440"/>
    <cellStyle name="Normal 4 2 2 2 2 5 2 3" xfId="19215"/>
    <cellStyle name="Normal 4 2 2 2 2 5 2 4" xfId="35669"/>
    <cellStyle name="Normal 4 2 2 2 2 5 3" xfId="4410"/>
    <cellStyle name="Normal 4 2 2 2 2 5 3 2" xfId="12635"/>
    <cellStyle name="Normal 4 2 2 2 2 5 3 2 2" xfId="29085"/>
    <cellStyle name="Normal 4 2 2 2 2 5 3 3" xfId="20860"/>
    <cellStyle name="Normal 4 2 2 2 2 5 3 4" xfId="37314"/>
    <cellStyle name="Normal 4 2 2 2 2 5 4" xfId="6055"/>
    <cellStyle name="Normal 4 2 2 2 2 5 4 2" xfId="14280"/>
    <cellStyle name="Normal 4 2 2 2 2 5 4 2 2" xfId="30730"/>
    <cellStyle name="Normal 4 2 2 2 2 5 4 3" xfId="22505"/>
    <cellStyle name="Normal 4 2 2 2 2 5 4 4" xfId="38959"/>
    <cellStyle name="Normal 4 2 2 2 2 5 5" xfId="7700"/>
    <cellStyle name="Normal 4 2 2 2 2 5 5 2" xfId="15925"/>
    <cellStyle name="Normal 4 2 2 2 2 5 5 2 2" xfId="32375"/>
    <cellStyle name="Normal 4 2 2 2 2 5 5 3" xfId="24150"/>
    <cellStyle name="Normal 4 2 2 2 2 5 5 4" xfId="40604"/>
    <cellStyle name="Normal 4 2 2 2 2 5 6" xfId="9345"/>
    <cellStyle name="Normal 4 2 2 2 2 5 6 2" xfId="25795"/>
    <cellStyle name="Normal 4 2 2 2 2 5 7" xfId="17569"/>
    <cellStyle name="Normal 4 2 2 2 2 5 8" xfId="34023"/>
    <cellStyle name="Normal 4 2 2 2 2 5 9" xfId="42250"/>
    <cellStyle name="Normal 4 2 2 2 2 6" xfId="1350"/>
    <cellStyle name="Normal 4 2 2 2 2 6 2" xfId="3000"/>
    <cellStyle name="Normal 4 2 2 2 2 6 2 2" xfId="11225"/>
    <cellStyle name="Normal 4 2 2 2 2 6 2 2 2" xfId="27675"/>
    <cellStyle name="Normal 4 2 2 2 2 6 2 3" xfId="19450"/>
    <cellStyle name="Normal 4 2 2 2 2 6 2 4" xfId="35904"/>
    <cellStyle name="Normal 4 2 2 2 2 6 3" xfId="4645"/>
    <cellStyle name="Normal 4 2 2 2 2 6 3 2" xfId="12870"/>
    <cellStyle name="Normal 4 2 2 2 2 6 3 2 2" xfId="29320"/>
    <cellStyle name="Normal 4 2 2 2 2 6 3 3" xfId="21095"/>
    <cellStyle name="Normal 4 2 2 2 2 6 3 4" xfId="37549"/>
    <cellStyle name="Normal 4 2 2 2 2 6 4" xfId="6290"/>
    <cellStyle name="Normal 4 2 2 2 2 6 4 2" xfId="14515"/>
    <cellStyle name="Normal 4 2 2 2 2 6 4 2 2" xfId="30965"/>
    <cellStyle name="Normal 4 2 2 2 2 6 4 3" xfId="22740"/>
    <cellStyle name="Normal 4 2 2 2 2 6 4 4" xfId="39194"/>
    <cellStyle name="Normal 4 2 2 2 2 6 5" xfId="7935"/>
    <cellStyle name="Normal 4 2 2 2 2 6 5 2" xfId="16160"/>
    <cellStyle name="Normal 4 2 2 2 2 6 5 2 2" xfId="32610"/>
    <cellStyle name="Normal 4 2 2 2 2 6 5 3" xfId="24385"/>
    <cellStyle name="Normal 4 2 2 2 2 6 5 4" xfId="40839"/>
    <cellStyle name="Normal 4 2 2 2 2 6 6" xfId="9580"/>
    <cellStyle name="Normal 4 2 2 2 2 6 6 2" xfId="26030"/>
    <cellStyle name="Normal 4 2 2 2 2 6 7" xfId="17804"/>
    <cellStyle name="Normal 4 2 2 2 2 6 8" xfId="34258"/>
    <cellStyle name="Normal 4 2 2 2 2 7" xfId="1585"/>
    <cellStyle name="Normal 4 2 2 2 2 7 2" xfId="3235"/>
    <cellStyle name="Normal 4 2 2 2 2 7 2 2" xfId="11460"/>
    <cellStyle name="Normal 4 2 2 2 2 7 2 2 2" xfId="27910"/>
    <cellStyle name="Normal 4 2 2 2 2 7 2 3" xfId="19685"/>
    <cellStyle name="Normal 4 2 2 2 2 7 2 4" xfId="36139"/>
    <cellStyle name="Normal 4 2 2 2 2 7 3" xfId="4880"/>
    <cellStyle name="Normal 4 2 2 2 2 7 3 2" xfId="13105"/>
    <cellStyle name="Normal 4 2 2 2 2 7 3 2 2" xfId="29555"/>
    <cellStyle name="Normal 4 2 2 2 2 7 3 3" xfId="21330"/>
    <cellStyle name="Normal 4 2 2 2 2 7 3 4" xfId="37784"/>
    <cellStyle name="Normal 4 2 2 2 2 7 4" xfId="6525"/>
    <cellStyle name="Normal 4 2 2 2 2 7 4 2" xfId="14750"/>
    <cellStyle name="Normal 4 2 2 2 2 7 4 2 2" xfId="31200"/>
    <cellStyle name="Normal 4 2 2 2 2 7 4 3" xfId="22975"/>
    <cellStyle name="Normal 4 2 2 2 2 7 4 4" xfId="39429"/>
    <cellStyle name="Normal 4 2 2 2 2 7 5" xfId="8170"/>
    <cellStyle name="Normal 4 2 2 2 2 7 5 2" xfId="16395"/>
    <cellStyle name="Normal 4 2 2 2 2 7 5 2 2" xfId="32845"/>
    <cellStyle name="Normal 4 2 2 2 2 7 5 3" xfId="24620"/>
    <cellStyle name="Normal 4 2 2 2 2 7 5 4" xfId="41074"/>
    <cellStyle name="Normal 4 2 2 2 2 7 6" xfId="9815"/>
    <cellStyle name="Normal 4 2 2 2 2 7 6 2" xfId="26265"/>
    <cellStyle name="Normal 4 2 2 2 2 7 7" xfId="18039"/>
    <cellStyle name="Normal 4 2 2 2 2 7 8" xfId="34493"/>
    <cellStyle name="Normal 4 2 2 2 2 8" xfId="1820"/>
    <cellStyle name="Normal 4 2 2 2 2 8 2" xfId="10050"/>
    <cellStyle name="Normal 4 2 2 2 2 8 2 2" xfId="26500"/>
    <cellStyle name="Normal 4 2 2 2 2 8 3" xfId="18274"/>
    <cellStyle name="Normal 4 2 2 2 2 8 4" xfId="34728"/>
    <cellStyle name="Normal 4 2 2 2 2 9" xfId="3470"/>
    <cellStyle name="Normal 4 2 2 2 2 9 2" xfId="11695"/>
    <cellStyle name="Normal 4 2 2 2 2 9 2 2" xfId="28145"/>
    <cellStyle name="Normal 4 2 2 2 2 9 3" xfId="19920"/>
    <cellStyle name="Normal 4 2 2 2 2 9 4" xfId="36374"/>
    <cellStyle name="Normal 4 2 2 2 3" xfId="309"/>
    <cellStyle name="Normal 4 2 2 2 3 2" xfId="2008"/>
    <cellStyle name="Normal 4 2 2 2 3 2 2" xfId="10235"/>
    <cellStyle name="Normal 4 2 2 2 3 2 2 2" xfId="26685"/>
    <cellStyle name="Normal 4 2 2 2 3 2 3" xfId="18460"/>
    <cellStyle name="Normal 4 2 2 2 3 2 4" xfId="34914"/>
    <cellStyle name="Normal 4 2 2 2 3 3" xfId="3655"/>
    <cellStyle name="Normal 4 2 2 2 3 3 2" xfId="11880"/>
    <cellStyle name="Normal 4 2 2 2 3 3 2 2" xfId="28330"/>
    <cellStyle name="Normal 4 2 2 2 3 3 3" xfId="20105"/>
    <cellStyle name="Normal 4 2 2 2 3 3 4" xfId="36559"/>
    <cellStyle name="Normal 4 2 2 2 3 4" xfId="5300"/>
    <cellStyle name="Normal 4 2 2 2 3 4 2" xfId="13525"/>
    <cellStyle name="Normal 4 2 2 2 3 4 2 2" xfId="29975"/>
    <cellStyle name="Normal 4 2 2 2 3 4 3" xfId="21750"/>
    <cellStyle name="Normal 4 2 2 2 3 4 4" xfId="38204"/>
    <cellStyle name="Normal 4 2 2 2 3 5" xfId="6945"/>
    <cellStyle name="Normal 4 2 2 2 3 5 2" xfId="15170"/>
    <cellStyle name="Normal 4 2 2 2 3 5 2 2" xfId="31620"/>
    <cellStyle name="Normal 4 2 2 2 3 5 3" xfId="23395"/>
    <cellStyle name="Normal 4 2 2 2 3 5 4" xfId="39849"/>
    <cellStyle name="Normal 4 2 2 2 3 6" xfId="8590"/>
    <cellStyle name="Normal 4 2 2 2 3 6 2" xfId="25040"/>
    <cellStyle name="Normal 4 2 2 2 3 7" xfId="16814"/>
    <cellStyle name="Normal 4 2 2 2 3 8" xfId="33268"/>
    <cellStyle name="Normal 4 2 2 2 3 9" xfId="41495"/>
    <cellStyle name="Normal 4 2 2 2 4" xfId="550"/>
    <cellStyle name="Normal 4 2 2 2 4 2" xfId="2245"/>
    <cellStyle name="Normal 4 2 2 2 4 2 2" xfId="10470"/>
    <cellStyle name="Normal 4 2 2 2 4 2 2 2" xfId="26920"/>
    <cellStyle name="Normal 4 2 2 2 4 2 3" xfId="18695"/>
    <cellStyle name="Normal 4 2 2 2 4 2 4" xfId="35149"/>
    <cellStyle name="Normal 4 2 2 2 4 3" xfId="3890"/>
    <cellStyle name="Normal 4 2 2 2 4 3 2" xfId="12115"/>
    <cellStyle name="Normal 4 2 2 2 4 3 2 2" xfId="28565"/>
    <cellStyle name="Normal 4 2 2 2 4 3 3" xfId="20340"/>
    <cellStyle name="Normal 4 2 2 2 4 3 4" xfId="36794"/>
    <cellStyle name="Normal 4 2 2 2 4 4" xfId="5535"/>
    <cellStyle name="Normal 4 2 2 2 4 4 2" xfId="13760"/>
    <cellStyle name="Normal 4 2 2 2 4 4 2 2" xfId="30210"/>
    <cellStyle name="Normal 4 2 2 2 4 4 3" xfId="21985"/>
    <cellStyle name="Normal 4 2 2 2 4 4 4" xfId="38439"/>
    <cellStyle name="Normal 4 2 2 2 4 5" xfId="7180"/>
    <cellStyle name="Normal 4 2 2 2 4 5 2" xfId="15405"/>
    <cellStyle name="Normal 4 2 2 2 4 5 2 2" xfId="31855"/>
    <cellStyle name="Normal 4 2 2 2 4 5 3" xfId="23630"/>
    <cellStyle name="Normal 4 2 2 2 4 5 4" xfId="40084"/>
    <cellStyle name="Normal 4 2 2 2 4 6" xfId="8825"/>
    <cellStyle name="Normal 4 2 2 2 4 6 2" xfId="25275"/>
    <cellStyle name="Normal 4 2 2 2 4 7" xfId="17049"/>
    <cellStyle name="Normal 4 2 2 2 4 8" xfId="33503"/>
    <cellStyle name="Normal 4 2 2 2 4 9" xfId="41730"/>
    <cellStyle name="Normal 4 2 2 2 5" xfId="785"/>
    <cellStyle name="Normal 4 2 2 2 5 2" xfId="2480"/>
    <cellStyle name="Normal 4 2 2 2 5 2 2" xfId="10705"/>
    <cellStyle name="Normal 4 2 2 2 5 2 2 2" xfId="27155"/>
    <cellStyle name="Normal 4 2 2 2 5 2 3" xfId="18930"/>
    <cellStyle name="Normal 4 2 2 2 5 2 4" xfId="35384"/>
    <cellStyle name="Normal 4 2 2 2 5 3" xfId="4125"/>
    <cellStyle name="Normal 4 2 2 2 5 3 2" xfId="12350"/>
    <cellStyle name="Normal 4 2 2 2 5 3 2 2" xfId="28800"/>
    <cellStyle name="Normal 4 2 2 2 5 3 3" xfId="20575"/>
    <cellStyle name="Normal 4 2 2 2 5 3 4" xfId="37029"/>
    <cellStyle name="Normal 4 2 2 2 5 4" xfId="5770"/>
    <cellStyle name="Normal 4 2 2 2 5 4 2" xfId="13995"/>
    <cellStyle name="Normal 4 2 2 2 5 4 2 2" xfId="30445"/>
    <cellStyle name="Normal 4 2 2 2 5 4 3" xfId="22220"/>
    <cellStyle name="Normal 4 2 2 2 5 4 4" xfId="38674"/>
    <cellStyle name="Normal 4 2 2 2 5 5" xfId="7415"/>
    <cellStyle name="Normal 4 2 2 2 5 5 2" xfId="15640"/>
    <cellStyle name="Normal 4 2 2 2 5 5 2 2" xfId="32090"/>
    <cellStyle name="Normal 4 2 2 2 5 5 3" xfId="23865"/>
    <cellStyle name="Normal 4 2 2 2 5 5 4" xfId="40319"/>
    <cellStyle name="Normal 4 2 2 2 5 6" xfId="9060"/>
    <cellStyle name="Normal 4 2 2 2 5 6 2" xfId="25510"/>
    <cellStyle name="Normal 4 2 2 2 5 7" xfId="17284"/>
    <cellStyle name="Normal 4 2 2 2 5 8" xfId="33738"/>
    <cellStyle name="Normal 4 2 2 2 5 9" xfId="41965"/>
    <cellStyle name="Normal 4 2 2 2 6" xfId="1020"/>
    <cellStyle name="Normal 4 2 2 2 6 2" xfId="2715"/>
    <cellStyle name="Normal 4 2 2 2 6 2 2" xfId="10940"/>
    <cellStyle name="Normal 4 2 2 2 6 2 2 2" xfId="27390"/>
    <cellStyle name="Normal 4 2 2 2 6 2 3" xfId="19165"/>
    <cellStyle name="Normal 4 2 2 2 6 2 4" xfId="35619"/>
    <cellStyle name="Normal 4 2 2 2 6 3" xfId="4360"/>
    <cellStyle name="Normal 4 2 2 2 6 3 2" xfId="12585"/>
    <cellStyle name="Normal 4 2 2 2 6 3 2 2" xfId="29035"/>
    <cellStyle name="Normal 4 2 2 2 6 3 3" xfId="20810"/>
    <cellStyle name="Normal 4 2 2 2 6 3 4" xfId="37264"/>
    <cellStyle name="Normal 4 2 2 2 6 4" xfId="6005"/>
    <cellStyle name="Normal 4 2 2 2 6 4 2" xfId="14230"/>
    <cellStyle name="Normal 4 2 2 2 6 4 2 2" xfId="30680"/>
    <cellStyle name="Normal 4 2 2 2 6 4 3" xfId="22455"/>
    <cellStyle name="Normal 4 2 2 2 6 4 4" xfId="38909"/>
    <cellStyle name="Normal 4 2 2 2 6 5" xfId="7650"/>
    <cellStyle name="Normal 4 2 2 2 6 5 2" xfId="15875"/>
    <cellStyle name="Normal 4 2 2 2 6 5 2 2" xfId="32325"/>
    <cellStyle name="Normal 4 2 2 2 6 5 3" xfId="24100"/>
    <cellStyle name="Normal 4 2 2 2 6 5 4" xfId="40554"/>
    <cellStyle name="Normal 4 2 2 2 6 6" xfId="9295"/>
    <cellStyle name="Normal 4 2 2 2 6 6 2" xfId="25745"/>
    <cellStyle name="Normal 4 2 2 2 6 7" xfId="17519"/>
    <cellStyle name="Normal 4 2 2 2 6 8" xfId="33973"/>
    <cellStyle name="Normal 4 2 2 2 6 9" xfId="42200"/>
    <cellStyle name="Normal 4 2 2 2 7" xfId="1300"/>
    <cellStyle name="Normal 4 2 2 2 7 2" xfId="2950"/>
    <cellStyle name="Normal 4 2 2 2 7 2 2" xfId="11175"/>
    <cellStyle name="Normal 4 2 2 2 7 2 2 2" xfId="27625"/>
    <cellStyle name="Normal 4 2 2 2 7 2 3" xfId="19400"/>
    <cellStyle name="Normal 4 2 2 2 7 2 4" xfId="35854"/>
    <cellStyle name="Normal 4 2 2 2 7 3" xfId="4595"/>
    <cellStyle name="Normal 4 2 2 2 7 3 2" xfId="12820"/>
    <cellStyle name="Normal 4 2 2 2 7 3 2 2" xfId="29270"/>
    <cellStyle name="Normal 4 2 2 2 7 3 3" xfId="21045"/>
    <cellStyle name="Normal 4 2 2 2 7 3 4" xfId="37499"/>
    <cellStyle name="Normal 4 2 2 2 7 4" xfId="6240"/>
    <cellStyle name="Normal 4 2 2 2 7 4 2" xfId="14465"/>
    <cellStyle name="Normal 4 2 2 2 7 4 2 2" xfId="30915"/>
    <cellStyle name="Normal 4 2 2 2 7 4 3" xfId="22690"/>
    <cellStyle name="Normal 4 2 2 2 7 4 4" xfId="39144"/>
    <cellStyle name="Normal 4 2 2 2 7 5" xfId="7885"/>
    <cellStyle name="Normal 4 2 2 2 7 5 2" xfId="16110"/>
    <cellStyle name="Normal 4 2 2 2 7 5 2 2" xfId="32560"/>
    <cellStyle name="Normal 4 2 2 2 7 5 3" xfId="24335"/>
    <cellStyle name="Normal 4 2 2 2 7 5 4" xfId="40789"/>
    <cellStyle name="Normal 4 2 2 2 7 6" xfId="9530"/>
    <cellStyle name="Normal 4 2 2 2 7 6 2" xfId="25980"/>
    <cellStyle name="Normal 4 2 2 2 7 7" xfId="17754"/>
    <cellStyle name="Normal 4 2 2 2 7 8" xfId="34208"/>
    <cellStyle name="Normal 4 2 2 2 8" xfId="1535"/>
    <cellStyle name="Normal 4 2 2 2 8 2" xfId="3185"/>
    <cellStyle name="Normal 4 2 2 2 8 2 2" xfId="11410"/>
    <cellStyle name="Normal 4 2 2 2 8 2 2 2" xfId="27860"/>
    <cellStyle name="Normal 4 2 2 2 8 2 3" xfId="19635"/>
    <cellStyle name="Normal 4 2 2 2 8 2 4" xfId="36089"/>
    <cellStyle name="Normal 4 2 2 2 8 3" xfId="4830"/>
    <cellStyle name="Normal 4 2 2 2 8 3 2" xfId="13055"/>
    <cellStyle name="Normal 4 2 2 2 8 3 2 2" xfId="29505"/>
    <cellStyle name="Normal 4 2 2 2 8 3 3" xfId="21280"/>
    <cellStyle name="Normal 4 2 2 2 8 3 4" xfId="37734"/>
    <cellStyle name="Normal 4 2 2 2 8 4" xfId="6475"/>
    <cellStyle name="Normal 4 2 2 2 8 4 2" xfId="14700"/>
    <cellStyle name="Normal 4 2 2 2 8 4 2 2" xfId="31150"/>
    <cellStyle name="Normal 4 2 2 2 8 4 3" xfId="22925"/>
    <cellStyle name="Normal 4 2 2 2 8 4 4" xfId="39379"/>
    <cellStyle name="Normal 4 2 2 2 8 5" xfId="8120"/>
    <cellStyle name="Normal 4 2 2 2 8 5 2" xfId="16345"/>
    <cellStyle name="Normal 4 2 2 2 8 5 2 2" xfId="32795"/>
    <cellStyle name="Normal 4 2 2 2 8 5 3" xfId="24570"/>
    <cellStyle name="Normal 4 2 2 2 8 5 4" xfId="41024"/>
    <cellStyle name="Normal 4 2 2 2 8 6" xfId="9765"/>
    <cellStyle name="Normal 4 2 2 2 8 6 2" xfId="26215"/>
    <cellStyle name="Normal 4 2 2 2 8 7" xfId="17989"/>
    <cellStyle name="Normal 4 2 2 2 8 8" xfId="34443"/>
    <cellStyle name="Normal 4 2 2 2 9" xfId="1770"/>
    <cellStyle name="Normal 4 2 2 2 9 2" xfId="10000"/>
    <cellStyle name="Normal 4 2 2 2 9 2 2" xfId="26450"/>
    <cellStyle name="Normal 4 2 2 2 9 3" xfId="18224"/>
    <cellStyle name="Normal 4 2 2 2 9 4" xfId="34678"/>
    <cellStyle name="Normal 4 2 2 20" xfId="16554"/>
    <cellStyle name="Normal 4 2 2 21" xfId="33007"/>
    <cellStyle name="Normal 4 2 2 22" xfId="41235"/>
    <cellStyle name="Normal 4 2 2 3" xfId="91"/>
    <cellStyle name="Normal 4 2 2 3 10" xfId="5090"/>
    <cellStyle name="Normal 4 2 2 3 10 2" xfId="13315"/>
    <cellStyle name="Normal 4 2 2 3 10 2 2" xfId="29765"/>
    <cellStyle name="Normal 4 2 2 3 10 3" xfId="21540"/>
    <cellStyle name="Normal 4 2 2 3 10 4" xfId="37994"/>
    <cellStyle name="Normal 4 2 2 3 11" xfId="6735"/>
    <cellStyle name="Normal 4 2 2 3 11 2" xfId="14960"/>
    <cellStyle name="Normal 4 2 2 3 11 2 2" xfId="31410"/>
    <cellStyle name="Normal 4 2 2 3 11 3" xfId="23185"/>
    <cellStyle name="Normal 4 2 2 3 11 4" xfId="39639"/>
    <cellStyle name="Normal 4 2 2 3 12" xfId="8380"/>
    <cellStyle name="Normal 4 2 2 3 12 2" xfId="24830"/>
    <cellStyle name="Normal 4 2 2 3 13" xfId="16604"/>
    <cellStyle name="Normal 4 2 2 3 14" xfId="33057"/>
    <cellStyle name="Normal 4 2 2 3 15" xfId="41285"/>
    <cellStyle name="Normal 4 2 2 3 2" xfId="334"/>
    <cellStyle name="Normal 4 2 2 3 2 2" xfId="2033"/>
    <cellStyle name="Normal 4 2 2 3 2 2 2" xfId="10260"/>
    <cellStyle name="Normal 4 2 2 3 2 2 2 2" xfId="26710"/>
    <cellStyle name="Normal 4 2 2 3 2 2 3" xfId="18485"/>
    <cellStyle name="Normal 4 2 2 3 2 2 4" xfId="34939"/>
    <cellStyle name="Normal 4 2 2 3 2 3" xfId="3680"/>
    <cellStyle name="Normal 4 2 2 3 2 3 2" xfId="11905"/>
    <cellStyle name="Normal 4 2 2 3 2 3 2 2" xfId="28355"/>
    <cellStyle name="Normal 4 2 2 3 2 3 3" xfId="20130"/>
    <cellStyle name="Normal 4 2 2 3 2 3 4" xfId="36584"/>
    <cellStyle name="Normal 4 2 2 3 2 4" xfId="5325"/>
    <cellStyle name="Normal 4 2 2 3 2 4 2" xfId="13550"/>
    <cellStyle name="Normal 4 2 2 3 2 4 2 2" xfId="30000"/>
    <cellStyle name="Normal 4 2 2 3 2 4 3" xfId="21775"/>
    <cellStyle name="Normal 4 2 2 3 2 4 4" xfId="38229"/>
    <cellStyle name="Normal 4 2 2 3 2 5" xfId="6970"/>
    <cellStyle name="Normal 4 2 2 3 2 5 2" xfId="15195"/>
    <cellStyle name="Normal 4 2 2 3 2 5 2 2" xfId="31645"/>
    <cellStyle name="Normal 4 2 2 3 2 5 3" xfId="23420"/>
    <cellStyle name="Normal 4 2 2 3 2 5 4" xfId="39874"/>
    <cellStyle name="Normal 4 2 2 3 2 6" xfId="8615"/>
    <cellStyle name="Normal 4 2 2 3 2 6 2" xfId="25065"/>
    <cellStyle name="Normal 4 2 2 3 2 7" xfId="16839"/>
    <cellStyle name="Normal 4 2 2 3 2 8" xfId="33293"/>
    <cellStyle name="Normal 4 2 2 3 2 9" xfId="41520"/>
    <cellStyle name="Normal 4 2 2 3 3" xfId="575"/>
    <cellStyle name="Normal 4 2 2 3 3 2" xfId="2270"/>
    <cellStyle name="Normal 4 2 2 3 3 2 2" xfId="10495"/>
    <cellStyle name="Normal 4 2 2 3 3 2 2 2" xfId="26945"/>
    <cellStyle name="Normal 4 2 2 3 3 2 3" xfId="18720"/>
    <cellStyle name="Normal 4 2 2 3 3 2 4" xfId="35174"/>
    <cellStyle name="Normal 4 2 2 3 3 3" xfId="3915"/>
    <cellStyle name="Normal 4 2 2 3 3 3 2" xfId="12140"/>
    <cellStyle name="Normal 4 2 2 3 3 3 2 2" xfId="28590"/>
    <cellStyle name="Normal 4 2 2 3 3 3 3" xfId="20365"/>
    <cellStyle name="Normal 4 2 2 3 3 3 4" xfId="36819"/>
    <cellStyle name="Normal 4 2 2 3 3 4" xfId="5560"/>
    <cellStyle name="Normal 4 2 2 3 3 4 2" xfId="13785"/>
    <cellStyle name="Normal 4 2 2 3 3 4 2 2" xfId="30235"/>
    <cellStyle name="Normal 4 2 2 3 3 4 3" xfId="22010"/>
    <cellStyle name="Normal 4 2 2 3 3 4 4" xfId="38464"/>
    <cellStyle name="Normal 4 2 2 3 3 5" xfId="7205"/>
    <cellStyle name="Normal 4 2 2 3 3 5 2" xfId="15430"/>
    <cellStyle name="Normal 4 2 2 3 3 5 2 2" xfId="31880"/>
    <cellStyle name="Normal 4 2 2 3 3 5 3" xfId="23655"/>
    <cellStyle name="Normal 4 2 2 3 3 5 4" xfId="40109"/>
    <cellStyle name="Normal 4 2 2 3 3 6" xfId="8850"/>
    <cellStyle name="Normal 4 2 2 3 3 6 2" xfId="25300"/>
    <cellStyle name="Normal 4 2 2 3 3 7" xfId="17074"/>
    <cellStyle name="Normal 4 2 2 3 3 8" xfId="33528"/>
    <cellStyle name="Normal 4 2 2 3 3 9" xfId="41755"/>
    <cellStyle name="Normal 4 2 2 3 4" xfId="810"/>
    <cellStyle name="Normal 4 2 2 3 4 2" xfId="2505"/>
    <cellStyle name="Normal 4 2 2 3 4 2 2" xfId="10730"/>
    <cellStyle name="Normal 4 2 2 3 4 2 2 2" xfId="27180"/>
    <cellStyle name="Normal 4 2 2 3 4 2 3" xfId="18955"/>
    <cellStyle name="Normal 4 2 2 3 4 2 4" xfId="35409"/>
    <cellStyle name="Normal 4 2 2 3 4 3" xfId="4150"/>
    <cellStyle name="Normal 4 2 2 3 4 3 2" xfId="12375"/>
    <cellStyle name="Normal 4 2 2 3 4 3 2 2" xfId="28825"/>
    <cellStyle name="Normal 4 2 2 3 4 3 3" xfId="20600"/>
    <cellStyle name="Normal 4 2 2 3 4 3 4" xfId="37054"/>
    <cellStyle name="Normal 4 2 2 3 4 4" xfId="5795"/>
    <cellStyle name="Normal 4 2 2 3 4 4 2" xfId="14020"/>
    <cellStyle name="Normal 4 2 2 3 4 4 2 2" xfId="30470"/>
    <cellStyle name="Normal 4 2 2 3 4 4 3" xfId="22245"/>
    <cellStyle name="Normal 4 2 2 3 4 4 4" xfId="38699"/>
    <cellStyle name="Normal 4 2 2 3 4 5" xfId="7440"/>
    <cellStyle name="Normal 4 2 2 3 4 5 2" xfId="15665"/>
    <cellStyle name="Normal 4 2 2 3 4 5 2 2" xfId="32115"/>
    <cellStyle name="Normal 4 2 2 3 4 5 3" xfId="23890"/>
    <cellStyle name="Normal 4 2 2 3 4 5 4" xfId="40344"/>
    <cellStyle name="Normal 4 2 2 3 4 6" xfId="9085"/>
    <cellStyle name="Normal 4 2 2 3 4 6 2" xfId="25535"/>
    <cellStyle name="Normal 4 2 2 3 4 7" xfId="17309"/>
    <cellStyle name="Normal 4 2 2 3 4 8" xfId="33763"/>
    <cellStyle name="Normal 4 2 2 3 4 9" xfId="41990"/>
    <cellStyle name="Normal 4 2 2 3 5" xfId="1045"/>
    <cellStyle name="Normal 4 2 2 3 5 2" xfId="2740"/>
    <cellStyle name="Normal 4 2 2 3 5 2 2" xfId="10965"/>
    <cellStyle name="Normal 4 2 2 3 5 2 2 2" xfId="27415"/>
    <cellStyle name="Normal 4 2 2 3 5 2 3" xfId="19190"/>
    <cellStyle name="Normal 4 2 2 3 5 2 4" xfId="35644"/>
    <cellStyle name="Normal 4 2 2 3 5 3" xfId="4385"/>
    <cellStyle name="Normal 4 2 2 3 5 3 2" xfId="12610"/>
    <cellStyle name="Normal 4 2 2 3 5 3 2 2" xfId="29060"/>
    <cellStyle name="Normal 4 2 2 3 5 3 3" xfId="20835"/>
    <cellStyle name="Normal 4 2 2 3 5 3 4" xfId="37289"/>
    <cellStyle name="Normal 4 2 2 3 5 4" xfId="6030"/>
    <cellStyle name="Normal 4 2 2 3 5 4 2" xfId="14255"/>
    <cellStyle name="Normal 4 2 2 3 5 4 2 2" xfId="30705"/>
    <cellStyle name="Normal 4 2 2 3 5 4 3" xfId="22480"/>
    <cellStyle name="Normal 4 2 2 3 5 4 4" xfId="38934"/>
    <cellStyle name="Normal 4 2 2 3 5 5" xfId="7675"/>
    <cellStyle name="Normal 4 2 2 3 5 5 2" xfId="15900"/>
    <cellStyle name="Normal 4 2 2 3 5 5 2 2" xfId="32350"/>
    <cellStyle name="Normal 4 2 2 3 5 5 3" xfId="24125"/>
    <cellStyle name="Normal 4 2 2 3 5 5 4" xfId="40579"/>
    <cellStyle name="Normal 4 2 2 3 5 6" xfId="9320"/>
    <cellStyle name="Normal 4 2 2 3 5 6 2" xfId="25770"/>
    <cellStyle name="Normal 4 2 2 3 5 7" xfId="17544"/>
    <cellStyle name="Normal 4 2 2 3 5 8" xfId="33998"/>
    <cellStyle name="Normal 4 2 2 3 5 9" xfId="42225"/>
    <cellStyle name="Normal 4 2 2 3 6" xfId="1325"/>
    <cellStyle name="Normal 4 2 2 3 6 2" xfId="2975"/>
    <cellStyle name="Normal 4 2 2 3 6 2 2" xfId="11200"/>
    <cellStyle name="Normal 4 2 2 3 6 2 2 2" xfId="27650"/>
    <cellStyle name="Normal 4 2 2 3 6 2 3" xfId="19425"/>
    <cellStyle name="Normal 4 2 2 3 6 2 4" xfId="35879"/>
    <cellStyle name="Normal 4 2 2 3 6 3" xfId="4620"/>
    <cellStyle name="Normal 4 2 2 3 6 3 2" xfId="12845"/>
    <cellStyle name="Normal 4 2 2 3 6 3 2 2" xfId="29295"/>
    <cellStyle name="Normal 4 2 2 3 6 3 3" xfId="21070"/>
    <cellStyle name="Normal 4 2 2 3 6 3 4" xfId="37524"/>
    <cellStyle name="Normal 4 2 2 3 6 4" xfId="6265"/>
    <cellStyle name="Normal 4 2 2 3 6 4 2" xfId="14490"/>
    <cellStyle name="Normal 4 2 2 3 6 4 2 2" xfId="30940"/>
    <cellStyle name="Normal 4 2 2 3 6 4 3" xfId="22715"/>
    <cellStyle name="Normal 4 2 2 3 6 4 4" xfId="39169"/>
    <cellStyle name="Normal 4 2 2 3 6 5" xfId="7910"/>
    <cellStyle name="Normal 4 2 2 3 6 5 2" xfId="16135"/>
    <cellStyle name="Normal 4 2 2 3 6 5 2 2" xfId="32585"/>
    <cellStyle name="Normal 4 2 2 3 6 5 3" xfId="24360"/>
    <cellStyle name="Normal 4 2 2 3 6 5 4" xfId="40814"/>
    <cellStyle name="Normal 4 2 2 3 6 6" xfId="9555"/>
    <cellStyle name="Normal 4 2 2 3 6 6 2" xfId="26005"/>
    <cellStyle name="Normal 4 2 2 3 6 7" xfId="17779"/>
    <cellStyle name="Normal 4 2 2 3 6 8" xfId="34233"/>
    <cellStyle name="Normal 4 2 2 3 7" xfId="1560"/>
    <cellStyle name="Normal 4 2 2 3 7 2" xfId="3210"/>
    <cellStyle name="Normal 4 2 2 3 7 2 2" xfId="11435"/>
    <cellStyle name="Normal 4 2 2 3 7 2 2 2" xfId="27885"/>
    <cellStyle name="Normal 4 2 2 3 7 2 3" xfId="19660"/>
    <cellStyle name="Normal 4 2 2 3 7 2 4" xfId="36114"/>
    <cellStyle name="Normal 4 2 2 3 7 3" xfId="4855"/>
    <cellStyle name="Normal 4 2 2 3 7 3 2" xfId="13080"/>
    <cellStyle name="Normal 4 2 2 3 7 3 2 2" xfId="29530"/>
    <cellStyle name="Normal 4 2 2 3 7 3 3" xfId="21305"/>
    <cellStyle name="Normal 4 2 2 3 7 3 4" xfId="37759"/>
    <cellStyle name="Normal 4 2 2 3 7 4" xfId="6500"/>
    <cellStyle name="Normal 4 2 2 3 7 4 2" xfId="14725"/>
    <cellStyle name="Normal 4 2 2 3 7 4 2 2" xfId="31175"/>
    <cellStyle name="Normal 4 2 2 3 7 4 3" xfId="22950"/>
    <cellStyle name="Normal 4 2 2 3 7 4 4" xfId="39404"/>
    <cellStyle name="Normal 4 2 2 3 7 5" xfId="8145"/>
    <cellStyle name="Normal 4 2 2 3 7 5 2" xfId="16370"/>
    <cellStyle name="Normal 4 2 2 3 7 5 2 2" xfId="32820"/>
    <cellStyle name="Normal 4 2 2 3 7 5 3" xfId="24595"/>
    <cellStyle name="Normal 4 2 2 3 7 5 4" xfId="41049"/>
    <cellStyle name="Normal 4 2 2 3 7 6" xfId="9790"/>
    <cellStyle name="Normal 4 2 2 3 7 6 2" xfId="26240"/>
    <cellStyle name="Normal 4 2 2 3 7 7" xfId="18014"/>
    <cellStyle name="Normal 4 2 2 3 7 8" xfId="34468"/>
    <cellStyle name="Normal 4 2 2 3 8" xfId="1795"/>
    <cellStyle name="Normal 4 2 2 3 8 2" xfId="10025"/>
    <cellStyle name="Normal 4 2 2 3 8 2 2" xfId="26475"/>
    <cellStyle name="Normal 4 2 2 3 8 3" xfId="18249"/>
    <cellStyle name="Normal 4 2 2 3 8 4" xfId="34703"/>
    <cellStyle name="Normal 4 2 2 3 9" xfId="3445"/>
    <cellStyle name="Normal 4 2 2 3 9 2" xfId="11670"/>
    <cellStyle name="Normal 4 2 2 3 9 2 2" xfId="28120"/>
    <cellStyle name="Normal 4 2 2 3 9 3" xfId="19895"/>
    <cellStyle name="Normal 4 2 2 3 9 4" xfId="36349"/>
    <cellStyle name="Normal 4 2 2 4" xfId="141"/>
    <cellStyle name="Normal 4 2 2 4 10" xfId="5140"/>
    <cellStyle name="Normal 4 2 2 4 10 2" xfId="13365"/>
    <cellStyle name="Normal 4 2 2 4 10 2 2" xfId="29815"/>
    <cellStyle name="Normal 4 2 2 4 10 3" xfId="21590"/>
    <cellStyle name="Normal 4 2 2 4 10 4" xfId="38044"/>
    <cellStyle name="Normal 4 2 2 4 11" xfId="6785"/>
    <cellStyle name="Normal 4 2 2 4 11 2" xfId="15010"/>
    <cellStyle name="Normal 4 2 2 4 11 2 2" xfId="31460"/>
    <cellStyle name="Normal 4 2 2 4 11 3" xfId="23235"/>
    <cellStyle name="Normal 4 2 2 4 11 4" xfId="39689"/>
    <cellStyle name="Normal 4 2 2 4 12" xfId="8430"/>
    <cellStyle name="Normal 4 2 2 4 12 2" xfId="24880"/>
    <cellStyle name="Normal 4 2 2 4 13" xfId="16654"/>
    <cellStyle name="Normal 4 2 2 4 14" xfId="33107"/>
    <cellStyle name="Normal 4 2 2 4 15" xfId="41335"/>
    <cellStyle name="Normal 4 2 2 4 2" xfId="384"/>
    <cellStyle name="Normal 4 2 2 4 2 2" xfId="2083"/>
    <cellStyle name="Normal 4 2 2 4 2 2 2" xfId="10310"/>
    <cellStyle name="Normal 4 2 2 4 2 2 2 2" xfId="26760"/>
    <cellStyle name="Normal 4 2 2 4 2 2 3" xfId="18535"/>
    <cellStyle name="Normal 4 2 2 4 2 2 4" xfId="34989"/>
    <cellStyle name="Normal 4 2 2 4 2 3" xfId="3730"/>
    <cellStyle name="Normal 4 2 2 4 2 3 2" xfId="11955"/>
    <cellStyle name="Normal 4 2 2 4 2 3 2 2" xfId="28405"/>
    <cellStyle name="Normal 4 2 2 4 2 3 3" xfId="20180"/>
    <cellStyle name="Normal 4 2 2 4 2 3 4" xfId="36634"/>
    <cellStyle name="Normal 4 2 2 4 2 4" xfId="5375"/>
    <cellStyle name="Normal 4 2 2 4 2 4 2" xfId="13600"/>
    <cellStyle name="Normal 4 2 2 4 2 4 2 2" xfId="30050"/>
    <cellStyle name="Normal 4 2 2 4 2 4 3" xfId="21825"/>
    <cellStyle name="Normal 4 2 2 4 2 4 4" xfId="38279"/>
    <cellStyle name="Normal 4 2 2 4 2 5" xfId="7020"/>
    <cellStyle name="Normal 4 2 2 4 2 5 2" xfId="15245"/>
    <cellStyle name="Normal 4 2 2 4 2 5 2 2" xfId="31695"/>
    <cellStyle name="Normal 4 2 2 4 2 5 3" xfId="23470"/>
    <cellStyle name="Normal 4 2 2 4 2 5 4" xfId="39924"/>
    <cellStyle name="Normal 4 2 2 4 2 6" xfId="8665"/>
    <cellStyle name="Normal 4 2 2 4 2 6 2" xfId="25115"/>
    <cellStyle name="Normal 4 2 2 4 2 7" xfId="16889"/>
    <cellStyle name="Normal 4 2 2 4 2 8" xfId="33343"/>
    <cellStyle name="Normal 4 2 2 4 2 9" xfId="41570"/>
    <cellStyle name="Normal 4 2 2 4 3" xfId="625"/>
    <cellStyle name="Normal 4 2 2 4 3 2" xfId="2320"/>
    <cellStyle name="Normal 4 2 2 4 3 2 2" xfId="10545"/>
    <cellStyle name="Normal 4 2 2 4 3 2 2 2" xfId="26995"/>
    <cellStyle name="Normal 4 2 2 4 3 2 3" xfId="18770"/>
    <cellStyle name="Normal 4 2 2 4 3 2 4" xfId="35224"/>
    <cellStyle name="Normal 4 2 2 4 3 3" xfId="3965"/>
    <cellStyle name="Normal 4 2 2 4 3 3 2" xfId="12190"/>
    <cellStyle name="Normal 4 2 2 4 3 3 2 2" xfId="28640"/>
    <cellStyle name="Normal 4 2 2 4 3 3 3" xfId="20415"/>
    <cellStyle name="Normal 4 2 2 4 3 3 4" xfId="36869"/>
    <cellStyle name="Normal 4 2 2 4 3 4" xfId="5610"/>
    <cellStyle name="Normal 4 2 2 4 3 4 2" xfId="13835"/>
    <cellStyle name="Normal 4 2 2 4 3 4 2 2" xfId="30285"/>
    <cellStyle name="Normal 4 2 2 4 3 4 3" xfId="22060"/>
    <cellStyle name="Normal 4 2 2 4 3 4 4" xfId="38514"/>
    <cellStyle name="Normal 4 2 2 4 3 5" xfId="7255"/>
    <cellStyle name="Normal 4 2 2 4 3 5 2" xfId="15480"/>
    <cellStyle name="Normal 4 2 2 4 3 5 2 2" xfId="31930"/>
    <cellStyle name="Normal 4 2 2 4 3 5 3" xfId="23705"/>
    <cellStyle name="Normal 4 2 2 4 3 5 4" xfId="40159"/>
    <cellStyle name="Normal 4 2 2 4 3 6" xfId="8900"/>
    <cellStyle name="Normal 4 2 2 4 3 6 2" xfId="25350"/>
    <cellStyle name="Normal 4 2 2 4 3 7" xfId="17124"/>
    <cellStyle name="Normal 4 2 2 4 3 8" xfId="33578"/>
    <cellStyle name="Normal 4 2 2 4 3 9" xfId="41805"/>
    <cellStyle name="Normal 4 2 2 4 4" xfId="860"/>
    <cellStyle name="Normal 4 2 2 4 4 2" xfId="2555"/>
    <cellStyle name="Normal 4 2 2 4 4 2 2" xfId="10780"/>
    <cellStyle name="Normal 4 2 2 4 4 2 2 2" xfId="27230"/>
    <cellStyle name="Normal 4 2 2 4 4 2 3" xfId="19005"/>
    <cellStyle name="Normal 4 2 2 4 4 2 4" xfId="35459"/>
    <cellStyle name="Normal 4 2 2 4 4 3" xfId="4200"/>
    <cellStyle name="Normal 4 2 2 4 4 3 2" xfId="12425"/>
    <cellStyle name="Normal 4 2 2 4 4 3 2 2" xfId="28875"/>
    <cellStyle name="Normal 4 2 2 4 4 3 3" xfId="20650"/>
    <cellStyle name="Normal 4 2 2 4 4 3 4" xfId="37104"/>
    <cellStyle name="Normal 4 2 2 4 4 4" xfId="5845"/>
    <cellStyle name="Normal 4 2 2 4 4 4 2" xfId="14070"/>
    <cellStyle name="Normal 4 2 2 4 4 4 2 2" xfId="30520"/>
    <cellStyle name="Normal 4 2 2 4 4 4 3" xfId="22295"/>
    <cellStyle name="Normal 4 2 2 4 4 4 4" xfId="38749"/>
    <cellStyle name="Normal 4 2 2 4 4 5" xfId="7490"/>
    <cellStyle name="Normal 4 2 2 4 4 5 2" xfId="15715"/>
    <cellStyle name="Normal 4 2 2 4 4 5 2 2" xfId="32165"/>
    <cellStyle name="Normal 4 2 2 4 4 5 3" xfId="23940"/>
    <cellStyle name="Normal 4 2 2 4 4 5 4" xfId="40394"/>
    <cellStyle name="Normal 4 2 2 4 4 6" xfId="9135"/>
    <cellStyle name="Normal 4 2 2 4 4 6 2" xfId="25585"/>
    <cellStyle name="Normal 4 2 2 4 4 7" xfId="17359"/>
    <cellStyle name="Normal 4 2 2 4 4 8" xfId="33813"/>
    <cellStyle name="Normal 4 2 2 4 4 9" xfId="42040"/>
    <cellStyle name="Normal 4 2 2 4 5" xfId="1095"/>
    <cellStyle name="Normal 4 2 2 4 5 2" xfId="2790"/>
    <cellStyle name="Normal 4 2 2 4 5 2 2" xfId="11015"/>
    <cellStyle name="Normal 4 2 2 4 5 2 2 2" xfId="27465"/>
    <cellStyle name="Normal 4 2 2 4 5 2 3" xfId="19240"/>
    <cellStyle name="Normal 4 2 2 4 5 2 4" xfId="35694"/>
    <cellStyle name="Normal 4 2 2 4 5 3" xfId="4435"/>
    <cellStyle name="Normal 4 2 2 4 5 3 2" xfId="12660"/>
    <cellStyle name="Normal 4 2 2 4 5 3 2 2" xfId="29110"/>
    <cellStyle name="Normal 4 2 2 4 5 3 3" xfId="20885"/>
    <cellStyle name="Normal 4 2 2 4 5 3 4" xfId="37339"/>
    <cellStyle name="Normal 4 2 2 4 5 4" xfId="6080"/>
    <cellStyle name="Normal 4 2 2 4 5 4 2" xfId="14305"/>
    <cellStyle name="Normal 4 2 2 4 5 4 2 2" xfId="30755"/>
    <cellStyle name="Normal 4 2 2 4 5 4 3" xfId="22530"/>
    <cellStyle name="Normal 4 2 2 4 5 4 4" xfId="38984"/>
    <cellStyle name="Normal 4 2 2 4 5 5" xfId="7725"/>
    <cellStyle name="Normal 4 2 2 4 5 5 2" xfId="15950"/>
    <cellStyle name="Normal 4 2 2 4 5 5 2 2" xfId="32400"/>
    <cellStyle name="Normal 4 2 2 4 5 5 3" xfId="24175"/>
    <cellStyle name="Normal 4 2 2 4 5 5 4" xfId="40629"/>
    <cellStyle name="Normal 4 2 2 4 5 6" xfId="9370"/>
    <cellStyle name="Normal 4 2 2 4 5 6 2" xfId="25820"/>
    <cellStyle name="Normal 4 2 2 4 5 7" xfId="17594"/>
    <cellStyle name="Normal 4 2 2 4 5 8" xfId="34048"/>
    <cellStyle name="Normal 4 2 2 4 5 9" xfId="42275"/>
    <cellStyle name="Normal 4 2 2 4 6" xfId="1375"/>
    <cellStyle name="Normal 4 2 2 4 6 2" xfId="3025"/>
    <cellStyle name="Normal 4 2 2 4 6 2 2" xfId="11250"/>
    <cellStyle name="Normal 4 2 2 4 6 2 2 2" xfId="27700"/>
    <cellStyle name="Normal 4 2 2 4 6 2 3" xfId="19475"/>
    <cellStyle name="Normal 4 2 2 4 6 2 4" xfId="35929"/>
    <cellStyle name="Normal 4 2 2 4 6 3" xfId="4670"/>
    <cellStyle name="Normal 4 2 2 4 6 3 2" xfId="12895"/>
    <cellStyle name="Normal 4 2 2 4 6 3 2 2" xfId="29345"/>
    <cellStyle name="Normal 4 2 2 4 6 3 3" xfId="21120"/>
    <cellStyle name="Normal 4 2 2 4 6 3 4" xfId="37574"/>
    <cellStyle name="Normal 4 2 2 4 6 4" xfId="6315"/>
    <cellStyle name="Normal 4 2 2 4 6 4 2" xfId="14540"/>
    <cellStyle name="Normal 4 2 2 4 6 4 2 2" xfId="30990"/>
    <cellStyle name="Normal 4 2 2 4 6 4 3" xfId="22765"/>
    <cellStyle name="Normal 4 2 2 4 6 4 4" xfId="39219"/>
    <cellStyle name="Normal 4 2 2 4 6 5" xfId="7960"/>
    <cellStyle name="Normal 4 2 2 4 6 5 2" xfId="16185"/>
    <cellStyle name="Normal 4 2 2 4 6 5 2 2" xfId="32635"/>
    <cellStyle name="Normal 4 2 2 4 6 5 3" xfId="24410"/>
    <cellStyle name="Normal 4 2 2 4 6 5 4" xfId="40864"/>
    <cellStyle name="Normal 4 2 2 4 6 6" xfId="9605"/>
    <cellStyle name="Normal 4 2 2 4 6 6 2" xfId="26055"/>
    <cellStyle name="Normal 4 2 2 4 6 7" xfId="17829"/>
    <cellStyle name="Normal 4 2 2 4 6 8" xfId="34283"/>
    <cellStyle name="Normal 4 2 2 4 7" xfId="1610"/>
    <cellStyle name="Normal 4 2 2 4 7 2" xfId="3260"/>
    <cellStyle name="Normal 4 2 2 4 7 2 2" xfId="11485"/>
    <cellStyle name="Normal 4 2 2 4 7 2 2 2" xfId="27935"/>
    <cellStyle name="Normal 4 2 2 4 7 2 3" xfId="19710"/>
    <cellStyle name="Normal 4 2 2 4 7 2 4" xfId="36164"/>
    <cellStyle name="Normal 4 2 2 4 7 3" xfId="4905"/>
    <cellStyle name="Normal 4 2 2 4 7 3 2" xfId="13130"/>
    <cellStyle name="Normal 4 2 2 4 7 3 2 2" xfId="29580"/>
    <cellStyle name="Normal 4 2 2 4 7 3 3" xfId="21355"/>
    <cellStyle name="Normal 4 2 2 4 7 3 4" xfId="37809"/>
    <cellStyle name="Normal 4 2 2 4 7 4" xfId="6550"/>
    <cellStyle name="Normal 4 2 2 4 7 4 2" xfId="14775"/>
    <cellStyle name="Normal 4 2 2 4 7 4 2 2" xfId="31225"/>
    <cellStyle name="Normal 4 2 2 4 7 4 3" xfId="23000"/>
    <cellStyle name="Normal 4 2 2 4 7 4 4" xfId="39454"/>
    <cellStyle name="Normal 4 2 2 4 7 5" xfId="8195"/>
    <cellStyle name="Normal 4 2 2 4 7 5 2" xfId="16420"/>
    <cellStyle name="Normal 4 2 2 4 7 5 2 2" xfId="32870"/>
    <cellStyle name="Normal 4 2 2 4 7 5 3" xfId="24645"/>
    <cellStyle name="Normal 4 2 2 4 7 5 4" xfId="41099"/>
    <cellStyle name="Normal 4 2 2 4 7 6" xfId="9840"/>
    <cellStyle name="Normal 4 2 2 4 7 6 2" xfId="26290"/>
    <cellStyle name="Normal 4 2 2 4 7 7" xfId="18064"/>
    <cellStyle name="Normal 4 2 2 4 7 8" xfId="34518"/>
    <cellStyle name="Normal 4 2 2 4 8" xfId="1845"/>
    <cellStyle name="Normal 4 2 2 4 8 2" xfId="10075"/>
    <cellStyle name="Normal 4 2 2 4 8 2 2" xfId="26525"/>
    <cellStyle name="Normal 4 2 2 4 8 3" xfId="18299"/>
    <cellStyle name="Normal 4 2 2 4 8 4" xfId="34753"/>
    <cellStyle name="Normal 4 2 2 4 9" xfId="3495"/>
    <cellStyle name="Normal 4 2 2 4 9 2" xfId="11720"/>
    <cellStyle name="Normal 4 2 2 4 9 2 2" xfId="28170"/>
    <cellStyle name="Normal 4 2 2 4 9 3" xfId="19945"/>
    <cellStyle name="Normal 4 2 2 4 9 4" xfId="36399"/>
    <cellStyle name="Normal 4 2 2 5" xfId="168"/>
    <cellStyle name="Normal 4 2 2 5 10" xfId="5167"/>
    <cellStyle name="Normal 4 2 2 5 10 2" xfId="13392"/>
    <cellStyle name="Normal 4 2 2 5 10 2 2" xfId="29842"/>
    <cellStyle name="Normal 4 2 2 5 10 3" xfId="21617"/>
    <cellStyle name="Normal 4 2 2 5 10 4" xfId="38071"/>
    <cellStyle name="Normal 4 2 2 5 11" xfId="6812"/>
    <cellStyle name="Normal 4 2 2 5 11 2" xfId="15037"/>
    <cellStyle name="Normal 4 2 2 5 11 2 2" xfId="31487"/>
    <cellStyle name="Normal 4 2 2 5 11 3" xfId="23262"/>
    <cellStyle name="Normal 4 2 2 5 11 4" xfId="39716"/>
    <cellStyle name="Normal 4 2 2 5 12" xfId="8457"/>
    <cellStyle name="Normal 4 2 2 5 12 2" xfId="24907"/>
    <cellStyle name="Normal 4 2 2 5 13" xfId="16681"/>
    <cellStyle name="Normal 4 2 2 5 14" xfId="33134"/>
    <cellStyle name="Normal 4 2 2 5 15" xfId="41362"/>
    <cellStyle name="Normal 4 2 2 5 2" xfId="411"/>
    <cellStyle name="Normal 4 2 2 5 2 2" xfId="2110"/>
    <cellStyle name="Normal 4 2 2 5 2 2 2" xfId="10337"/>
    <cellStyle name="Normal 4 2 2 5 2 2 2 2" xfId="26787"/>
    <cellStyle name="Normal 4 2 2 5 2 2 3" xfId="18562"/>
    <cellStyle name="Normal 4 2 2 5 2 2 4" xfId="35016"/>
    <cellStyle name="Normal 4 2 2 5 2 3" xfId="3757"/>
    <cellStyle name="Normal 4 2 2 5 2 3 2" xfId="11982"/>
    <cellStyle name="Normal 4 2 2 5 2 3 2 2" xfId="28432"/>
    <cellStyle name="Normal 4 2 2 5 2 3 3" xfId="20207"/>
    <cellStyle name="Normal 4 2 2 5 2 3 4" xfId="36661"/>
    <cellStyle name="Normal 4 2 2 5 2 4" xfId="5402"/>
    <cellStyle name="Normal 4 2 2 5 2 4 2" xfId="13627"/>
    <cellStyle name="Normal 4 2 2 5 2 4 2 2" xfId="30077"/>
    <cellStyle name="Normal 4 2 2 5 2 4 3" xfId="21852"/>
    <cellStyle name="Normal 4 2 2 5 2 4 4" xfId="38306"/>
    <cellStyle name="Normal 4 2 2 5 2 5" xfId="7047"/>
    <cellStyle name="Normal 4 2 2 5 2 5 2" xfId="15272"/>
    <cellStyle name="Normal 4 2 2 5 2 5 2 2" xfId="31722"/>
    <cellStyle name="Normal 4 2 2 5 2 5 3" xfId="23497"/>
    <cellStyle name="Normal 4 2 2 5 2 5 4" xfId="39951"/>
    <cellStyle name="Normal 4 2 2 5 2 6" xfId="8692"/>
    <cellStyle name="Normal 4 2 2 5 2 6 2" xfId="25142"/>
    <cellStyle name="Normal 4 2 2 5 2 7" xfId="16916"/>
    <cellStyle name="Normal 4 2 2 5 2 8" xfId="33370"/>
    <cellStyle name="Normal 4 2 2 5 2 9" xfId="41597"/>
    <cellStyle name="Normal 4 2 2 5 3" xfId="652"/>
    <cellStyle name="Normal 4 2 2 5 3 2" xfId="2347"/>
    <cellStyle name="Normal 4 2 2 5 3 2 2" xfId="10572"/>
    <cellStyle name="Normal 4 2 2 5 3 2 2 2" xfId="27022"/>
    <cellStyle name="Normal 4 2 2 5 3 2 3" xfId="18797"/>
    <cellStyle name="Normal 4 2 2 5 3 2 4" xfId="35251"/>
    <cellStyle name="Normal 4 2 2 5 3 3" xfId="3992"/>
    <cellStyle name="Normal 4 2 2 5 3 3 2" xfId="12217"/>
    <cellStyle name="Normal 4 2 2 5 3 3 2 2" xfId="28667"/>
    <cellStyle name="Normal 4 2 2 5 3 3 3" xfId="20442"/>
    <cellStyle name="Normal 4 2 2 5 3 3 4" xfId="36896"/>
    <cellStyle name="Normal 4 2 2 5 3 4" xfId="5637"/>
    <cellStyle name="Normal 4 2 2 5 3 4 2" xfId="13862"/>
    <cellStyle name="Normal 4 2 2 5 3 4 2 2" xfId="30312"/>
    <cellStyle name="Normal 4 2 2 5 3 4 3" xfId="22087"/>
    <cellStyle name="Normal 4 2 2 5 3 4 4" xfId="38541"/>
    <cellStyle name="Normal 4 2 2 5 3 5" xfId="7282"/>
    <cellStyle name="Normal 4 2 2 5 3 5 2" xfId="15507"/>
    <cellStyle name="Normal 4 2 2 5 3 5 2 2" xfId="31957"/>
    <cellStyle name="Normal 4 2 2 5 3 5 3" xfId="23732"/>
    <cellStyle name="Normal 4 2 2 5 3 5 4" xfId="40186"/>
    <cellStyle name="Normal 4 2 2 5 3 6" xfId="8927"/>
    <cellStyle name="Normal 4 2 2 5 3 6 2" xfId="25377"/>
    <cellStyle name="Normal 4 2 2 5 3 7" xfId="17151"/>
    <cellStyle name="Normal 4 2 2 5 3 8" xfId="33605"/>
    <cellStyle name="Normal 4 2 2 5 3 9" xfId="41832"/>
    <cellStyle name="Normal 4 2 2 5 4" xfId="887"/>
    <cellStyle name="Normal 4 2 2 5 4 2" xfId="2582"/>
    <cellStyle name="Normal 4 2 2 5 4 2 2" xfId="10807"/>
    <cellStyle name="Normal 4 2 2 5 4 2 2 2" xfId="27257"/>
    <cellStyle name="Normal 4 2 2 5 4 2 3" xfId="19032"/>
    <cellStyle name="Normal 4 2 2 5 4 2 4" xfId="35486"/>
    <cellStyle name="Normal 4 2 2 5 4 3" xfId="4227"/>
    <cellStyle name="Normal 4 2 2 5 4 3 2" xfId="12452"/>
    <cellStyle name="Normal 4 2 2 5 4 3 2 2" xfId="28902"/>
    <cellStyle name="Normal 4 2 2 5 4 3 3" xfId="20677"/>
    <cellStyle name="Normal 4 2 2 5 4 3 4" xfId="37131"/>
    <cellStyle name="Normal 4 2 2 5 4 4" xfId="5872"/>
    <cellStyle name="Normal 4 2 2 5 4 4 2" xfId="14097"/>
    <cellStyle name="Normal 4 2 2 5 4 4 2 2" xfId="30547"/>
    <cellStyle name="Normal 4 2 2 5 4 4 3" xfId="22322"/>
    <cellStyle name="Normal 4 2 2 5 4 4 4" xfId="38776"/>
    <cellStyle name="Normal 4 2 2 5 4 5" xfId="7517"/>
    <cellStyle name="Normal 4 2 2 5 4 5 2" xfId="15742"/>
    <cellStyle name="Normal 4 2 2 5 4 5 2 2" xfId="32192"/>
    <cellStyle name="Normal 4 2 2 5 4 5 3" xfId="23967"/>
    <cellStyle name="Normal 4 2 2 5 4 5 4" xfId="40421"/>
    <cellStyle name="Normal 4 2 2 5 4 6" xfId="9162"/>
    <cellStyle name="Normal 4 2 2 5 4 6 2" xfId="25612"/>
    <cellStyle name="Normal 4 2 2 5 4 7" xfId="17386"/>
    <cellStyle name="Normal 4 2 2 5 4 8" xfId="33840"/>
    <cellStyle name="Normal 4 2 2 5 4 9" xfId="42067"/>
    <cellStyle name="Normal 4 2 2 5 5" xfId="1122"/>
    <cellStyle name="Normal 4 2 2 5 5 2" xfId="2817"/>
    <cellStyle name="Normal 4 2 2 5 5 2 2" xfId="11042"/>
    <cellStyle name="Normal 4 2 2 5 5 2 2 2" xfId="27492"/>
    <cellStyle name="Normal 4 2 2 5 5 2 3" xfId="19267"/>
    <cellStyle name="Normal 4 2 2 5 5 2 4" xfId="35721"/>
    <cellStyle name="Normal 4 2 2 5 5 3" xfId="4462"/>
    <cellStyle name="Normal 4 2 2 5 5 3 2" xfId="12687"/>
    <cellStyle name="Normal 4 2 2 5 5 3 2 2" xfId="29137"/>
    <cellStyle name="Normal 4 2 2 5 5 3 3" xfId="20912"/>
    <cellStyle name="Normal 4 2 2 5 5 3 4" xfId="37366"/>
    <cellStyle name="Normal 4 2 2 5 5 4" xfId="6107"/>
    <cellStyle name="Normal 4 2 2 5 5 4 2" xfId="14332"/>
    <cellStyle name="Normal 4 2 2 5 5 4 2 2" xfId="30782"/>
    <cellStyle name="Normal 4 2 2 5 5 4 3" xfId="22557"/>
    <cellStyle name="Normal 4 2 2 5 5 4 4" xfId="39011"/>
    <cellStyle name="Normal 4 2 2 5 5 5" xfId="7752"/>
    <cellStyle name="Normal 4 2 2 5 5 5 2" xfId="15977"/>
    <cellStyle name="Normal 4 2 2 5 5 5 2 2" xfId="32427"/>
    <cellStyle name="Normal 4 2 2 5 5 5 3" xfId="24202"/>
    <cellStyle name="Normal 4 2 2 5 5 5 4" xfId="40656"/>
    <cellStyle name="Normal 4 2 2 5 5 6" xfId="9397"/>
    <cellStyle name="Normal 4 2 2 5 5 6 2" xfId="25847"/>
    <cellStyle name="Normal 4 2 2 5 5 7" xfId="17621"/>
    <cellStyle name="Normal 4 2 2 5 5 8" xfId="34075"/>
    <cellStyle name="Normal 4 2 2 5 5 9" xfId="42302"/>
    <cellStyle name="Normal 4 2 2 5 6" xfId="1402"/>
    <cellStyle name="Normal 4 2 2 5 6 2" xfId="3052"/>
    <cellStyle name="Normal 4 2 2 5 6 2 2" xfId="11277"/>
    <cellStyle name="Normal 4 2 2 5 6 2 2 2" xfId="27727"/>
    <cellStyle name="Normal 4 2 2 5 6 2 3" xfId="19502"/>
    <cellStyle name="Normal 4 2 2 5 6 2 4" xfId="35956"/>
    <cellStyle name="Normal 4 2 2 5 6 3" xfId="4697"/>
    <cellStyle name="Normal 4 2 2 5 6 3 2" xfId="12922"/>
    <cellStyle name="Normal 4 2 2 5 6 3 2 2" xfId="29372"/>
    <cellStyle name="Normal 4 2 2 5 6 3 3" xfId="21147"/>
    <cellStyle name="Normal 4 2 2 5 6 3 4" xfId="37601"/>
    <cellStyle name="Normal 4 2 2 5 6 4" xfId="6342"/>
    <cellStyle name="Normal 4 2 2 5 6 4 2" xfId="14567"/>
    <cellStyle name="Normal 4 2 2 5 6 4 2 2" xfId="31017"/>
    <cellStyle name="Normal 4 2 2 5 6 4 3" xfId="22792"/>
    <cellStyle name="Normal 4 2 2 5 6 4 4" xfId="39246"/>
    <cellStyle name="Normal 4 2 2 5 6 5" xfId="7987"/>
    <cellStyle name="Normal 4 2 2 5 6 5 2" xfId="16212"/>
    <cellStyle name="Normal 4 2 2 5 6 5 2 2" xfId="32662"/>
    <cellStyle name="Normal 4 2 2 5 6 5 3" xfId="24437"/>
    <cellStyle name="Normal 4 2 2 5 6 5 4" xfId="40891"/>
    <cellStyle name="Normal 4 2 2 5 6 6" xfId="9632"/>
    <cellStyle name="Normal 4 2 2 5 6 6 2" xfId="26082"/>
    <cellStyle name="Normal 4 2 2 5 6 7" xfId="17856"/>
    <cellStyle name="Normal 4 2 2 5 6 8" xfId="34310"/>
    <cellStyle name="Normal 4 2 2 5 7" xfId="1637"/>
    <cellStyle name="Normal 4 2 2 5 7 2" xfId="3287"/>
    <cellStyle name="Normal 4 2 2 5 7 2 2" xfId="11512"/>
    <cellStyle name="Normal 4 2 2 5 7 2 2 2" xfId="27962"/>
    <cellStyle name="Normal 4 2 2 5 7 2 3" xfId="19737"/>
    <cellStyle name="Normal 4 2 2 5 7 2 4" xfId="36191"/>
    <cellStyle name="Normal 4 2 2 5 7 3" xfId="4932"/>
    <cellStyle name="Normal 4 2 2 5 7 3 2" xfId="13157"/>
    <cellStyle name="Normal 4 2 2 5 7 3 2 2" xfId="29607"/>
    <cellStyle name="Normal 4 2 2 5 7 3 3" xfId="21382"/>
    <cellStyle name="Normal 4 2 2 5 7 3 4" xfId="37836"/>
    <cellStyle name="Normal 4 2 2 5 7 4" xfId="6577"/>
    <cellStyle name="Normal 4 2 2 5 7 4 2" xfId="14802"/>
    <cellStyle name="Normal 4 2 2 5 7 4 2 2" xfId="31252"/>
    <cellStyle name="Normal 4 2 2 5 7 4 3" xfId="23027"/>
    <cellStyle name="Normal 4 2 2 5 7 4 4" xfId="39481"/>
    <cellStyle name="Normal 4 2 2 5 7 5" xfId="8222"/>
    <cellStyle name="Normal 4 2 2 5 7 5 2" xfId="16447"/>
    <cellStyle name="Normal 4 2 2 5 7 5 2 2" xfId="32897"/>
    <cellStyle name="Normal 4 2 2 5 7 5 3" xfId="24672"/>
    <cellStyle name="Normal 4 2 2 5 7 5 4" xfId="41126"/>
    <cellStyle name="Normal 4 2 2 5 7 6" xfId="9867"/>
    <cellStyle name="Normal 4 2 2 5 7 6 2" xfId="26317"/>
    <cellStyle name="Normal 4 2 2 5 7 7" xfId="18091"/>
    <cellStyle name="Normal 4 2 2 5 7 8" xfId="34545"/>
    <cellStyle name="Normal 4 2 2 5 8" xfId="1872"/>
    <cellStyle name="Normal 4 2 2 5 8 2" xfId="10102"/>
    <cellStyle name="Normal 4 2 2 5 8 2 2" xfId="26552"/>
    <cellStyle name="Normal 4 2 2 5 8 3" xfId="18326"/>
    <cellStyle name="Normal 4 2 2 5 8 4" xfId="34780"/>
    <cellStyle name="Normal 4 2 2 5 9" xfId="3522"/>
    <cellStyle name="Normal 4 2 2 5 9 2" xfId="11747"/>
    <cellStyle name="Normal 4 2 2 5 9 2 2" xfId="28197"/>
    <cellStyle name="Normal 4 2 2 5 9 3" xfId="19972"/>
    <cellStyle name="Normal 4 2 2 5 9 4" xfId="36426"/>
    <cellStyle name="Normal 4 2 2 6" xfId="197"/>
    <cellStyle name="Normal 4 2 2 6 10" xfId="5194"/>
    <cellStyle name="Normal 4 2 2 6 10 2" xfId="13419"/>
    <cellStyle name="Normal 4 2 2 6 10 2 2" xfId="29869"/>
    <cellStyle name="Normal 4 2 2 6 10 3" xfId="21644"/>
    <cellStyle name="Normal 4 2 2 6 10 4" xfId="38098"/>
    <cellStyle name="Normal 4 2 2 6 11" xfId="6839"/>
    <cellStyle name="Normal 4 2 2 6 11 2" xfId="15064"/>
    <cellStyle name="Normal 4 2 2 6 11 2 2" xfId="31514"/>
    <cellStyle name="Normal 4 2 2 6 11 3" xfId="23289"/>
    <cellStyle name="Normal 4 2 2 6 11 4" xfId="39743"/>
    <cellStyle name="Normal 4 2 2 6 12" xfId="8484"/>
    <cellStyle name="Normal 4 2 2 6 12 2" xfId="24934"/>
    <cellStyle name="Normal 4 2 2 6 13" xfId="16708"/>
    <cellStyle name="Normal 4 2 2 6 14" xfId="33161"/>
    <cellStyle name="Normal 4 2 2 6 15" xfId="41389"/>
    <cellStyle name="Normal 4 2 2 6 2" xfId="440"/>
    <cellStyle name="Normal 4 2 2 6 2 2" xfId="2137"/>
    <cellStyle name="Normal 4 2 2 6 2 2 2" xfId="10364"/>
    <cellStyle name="Normal 4 2 2 6 2 2 2 2" xfId="26814"/>
    <cellStyle name="Normal 4 2 2 6 2 2 3" xfId="18589"/>
    <cellStyle name="Normal 4 2 2 6 2 2 4" xfId="35043"/>
    <cellStyle name="Normal 4 2 2 6 2 3" xfId="3784"/>
    <cellStyle name="Normal 4 2 2 6 2 3 2" xfId="12009"/>
    <cellStyle name="Normal 4 2 2 6 2 3 2 2" xfId="28459"/>
    <cellStyle name="Normal 4 2 2 6 2 3 3" xfId="20234"/>
    <cellStyle name="Normal 4 2 2 6 2 3 4" xfId="36688"/>
    <cellStyle name="Normal 4 2 2 6 2 4" xfId="5429"/>
    <cellStyle name="Normal 4 2 2 6 2 4 2" xfId="13654"/>
    <cellStyle name="Normal 4 2 2 6 2 4 2 2" xfId="30104"/>
    <cellStyle name="Normal 4 2 2 6 2 4 3" xfId="21879"/>
    <cellStyle name="Normal 4 2 2 6 2 4 4" xfId="38333"/>
    <cellStyle name="Normal 4 2 2 6 2 5" xfId="7074"/>
    <cellStyle name="Normal 4 2 2 6 2 5 2" xfId="15299"/>
    <cellStyle name="Normal 4 2 2 6 2 5 2 2" xfId="31749"/>
    <cellStyle name="Normal 4 2 2 6 2 5 3" xfId="23524"/>
    <cellStyle name="Normal 4 2 2 6 2 5 4" xfId="39978"/>
    <cellStyle name="Normal 4 2 2 6 2 6" xfId="8719"/>
    <cellStyle name="Normal 4 2 2 6 2 6 2" xfId="25169"/>
    <cellStyle name="Normal 4 2 2 6 2 7" xfId="16943"/>
    <cellStyle name="Normal 4 2 2 6 2 8" xfId="33397"/>
    <cellStyle name="Normal 4 2 2 6 2 9" xfId="41624"/>
    <cellStyle name="Normal 4 2 2 6 3" xfId="679"/>
    <cellStyle name="Normal 4 2 2 6 3 2" xfId="2374"/>
    <cellStyle name="Normal 4 2 2 6 3 2 2" xfId="10599"/>
    <cellStyle name="Normal 4 2 2 6 3 2 2 2" xfId="27049"/>
    <cellStyle name="Normal 4 2 2 6 3 2 3" xfId="18824"/>
    <cellStyle name="Normal 4 2 2 6 3 2 4" xfId="35278"/>
    <cellStyle name="Normal 4 2 2 6 3 3" xfId="4019"/>
    <cellStyle name="Normal 4 2 2 6 3 3 2" xfId="12244"/>
    <cellStyle name="Normal 4 2 2 6 3 3 2 2" xfId="28694"/>
    <cellStyle name="Normal 4 2 2 6 3 3 3" xfId="20469"/>
    <cellStyle name="Normal 4 2 2 6 3 3 4" xfId="36923"/>
    <cellStyle name="Normal 4 2 2 6 3 4" xfId="5664"/>
    <cellStyle name="Normal 4 2 2 6 3 4 2" xfId="13889"/>
    <cellStyle name="Normal 4 2 2 6 3 4 2 2" xfId="30339"/>
    <cellStyle name="Normal 4 2 2 6 3 4 3" xfId="22114"/>
    <cellStyle name="Normal 4 2 2 6 3 4 4" xfId="38568"/>
    <cellStyle name="Normal 4 2 2 6 3 5" xfId="7309"/>
    <cellStyle name="Normal 4 2 2 6 3 5 2" xfId="15534"/>
    <cellStyle name="Normal 4 2 2 6 3 5 2 2" xfId="31984"/>
    <cellStyle name="Normal 4 2 2 6 3 5 3" xfId="23759"/>
    <cellStyle name="Normal 4 2 2 6 3 5 4" xfId="40213"/>
    <cellStyle name="Normal 4 2 2 6 3 6" xfId="8954"/>
    <cellStyle name="Normal 4 2 2 6 3 6 2" xfId="25404"/>
    <cellStyle name="Normal 4 2 2 6 3 7" xfId="17178"/>
    <cellStyle name="Normal 4 2 2 6 3 8" xfId="33632"/>
    <cellStyle name="Normal 4 2 2 6 3 9" xfId="41859"/>
    <cellStyle name="Normal 4 2 2 6 4" xfId="914"/>
    <cellStyle name="Normal 4 2 2 6 4 2" xfId="2609"/>
    <cellStyle name="Normal 4 2 2 6 4 2 2" xfId="10834"/>
    <cellStyle name="Normal 4 2 2 6 4 2 2 2" xfId="27284"/>
    <cellStyle name="Normal 4 2 2 6 4 2 3" xfId="19059"/>
    <cellStyle name="Normal 4 2 2 6 4 2 4" xfId="35513"/>
    <cellStyle name="Normal 4 2 2 6 4 3" xfId="4254"/>
    <cellStyle name="Normal 4 2 2 6 4 3 2" xfId="12479"/>
    <cellStyle name="Normal 4 2 2 6 4 3 2 2" xfId="28929"/>
    <cellStyle name="Normal 4 2 2 6 4 3 3" xfId="20704"/>
    <cellStyle name="Normal 4 2 2 6 4 3 4" xfId="37158"/>
    <cellStyle name="Normal 4 2 2 6 4 4" xfId="5899"/>
    <cellStyle name="Normal 4 2 2 6 4 4 2" xfId="14124"/>
    <cellStyle name="Normal 4 2 2 6 4 4 2 2" xfId="30574"/>
    <cellStyle name="Normal 4 2 2 6 4 4 3" xfId="22349"/>
    <cellStyle name="Normal 4 2 2 6 4 4 4" xfId="38803"/>
    <cellStyle name="Normal 4 2 2 6 4 5" xfId="7544"/>
    <cellStyle name="Normal 4 2 2 6 4 5 2" xfId="15769"/>
    <cellStyle name="Normal 4 2 2 6 4 5 2 2" xfId="32219"/>
    <cellStyle name="Normal 4 2 2 6 4 5 3" xfId="23994"/>
    <cellStyle name="Normal 4 2 2 6 4 5 4" xfId="40448"/>
    <cellStyle name="Normal 4 2 2 6 4 6" xfId="9189"/>
    <cellStyle name="Normal 4 2 2 6 4 6 2" xfId="25639"/>
    <cellStyle name="Normal 4 2 2 6 4 7" xfId="17413"/>
    <cellStyle name="Normal 4 2 2 6 4 8" xfId="33867"/>
    <cellStyle name="Normal 4 2 2 6 4 9" xfId="42094"/>
    <cellStyle name="Normal 4 2 2 6 5" xfId="1149"/>
    <cellStyle name="Normal 4 2 2 6 5 2" xfId="2844"/>
    <cellStyle name="Normal 4 2 2 6 5 2 2" xfId="11069"/>
    <cellStyle name="Normal 4 2 2 6 5 2 2 2" xfId="27519"/>
    <cellStyle name="Normal 4 2 2 6 5 2 3" xfId="19294"/>
    <cellStyle name="Normal 4 2 2 6 5 2 4" xfId="35748"/>
    <cellStyle name="Normal 4 2 2 6 5 3" xfId="4489"/>
    <cellStyle name="Normal 4 2 2 6 5 3 2" xfId="12714"/>
    <cellStyle name="Normal 4 2 2 6 5 3 2 2" xfId="29164"/>
    <cellStyle name="Normal 4 2 2 6 5 3 3" xfId="20939"/>
    <cellStyle name="Normal 4 2 2 6 5 3 4" xfId="37393"/>
    <cellStyle name="Normal 4 2 2 6 5 4" xfId="6134"/>
    <cellStyle name="Normal 4 2 2 6 5 4 2" xfId="14359"/>
    <cellStyle name="Normal 4 2 2 6 5 4 2 2" xfId="30809"/>
    <cellStyle name="Normal 4 2 2 6 5 4 3" xfId="22584"/>
    <cellStyle name="Normal 4 2 2 6 5 4 4" xfId="39038"/>
    <cellStyle name="Normal 4 2 2 6 5 5" xfId="7779"/>
    <cellStyle name="Normal 4 2 2 6 5 5 2" xfId="16004"/>
    <cellStyle name="Normal 4 2 2 6 5 5 2 2" xfId="32454"/>
    <cellStyle name="Normal 4 2 2 6 5 5 3" xfId="24229"/>
    <cellStyle name="Normal 4 2 2 6 5 5 4" xfId="40683"/>
    <cellStyle name="Normal 4 2 2 6 5 6" xfId="9424"/>
    <cellStyle name="Normal 4 2 2 6 5 6 2" xfId="25874"/>
    <cellStyle name="Normal 4 2 2 6 5 7" xfId="17648"/>
    <cellStyle name="Normal 4 2 2 6 5 8" xfId="34102"/>
    <cellStyle name="Normal 4 2 2 6 5 9" xfId="42329"/>
    <cellStyle name="Normal 4 2 2 6 6" xfId="1429"/>
    <cellStyle name="Normal 4 2 2 6 6 2" xfId="3079"/>
    <cellStyle name="Normal 4 2 2 6 6 2 2" xfId="11304"/>
    <cellStyle name="Normal 4 2 2 6 6 2 2 2" xfId="27754"/>
    <cellStyle name="Normal 4 2 2 6 6 2 3" xfId="19529"/>
    <cellStyle name="Normal 4 2 2 6 6 2 4" xfId="35983"/>
    <cellStyle name="Normal 4 2 2 6 6 3" xfId="4724"/>
    <cellStyle name="Normal 4 2 2 6 6 3 2" xfId="12949"/>
    <cellStyle name="Normal 4 2 2 6 6 3 2 2" xfId="29399"/>
    <cellStyle name="Normal 4 2 2 6 6 3 3" xfId="21174"/>
    <cellStyle name="Normal 4 2 2 6 6 3 4" xfId="37628"/>
    <cellStyle name="Normal 4 2 2 6 6 4" xfId="6369"/>
    <cellStyle name="Normal 4 2 2 6 6 4 2" xfId="14594"/>
    <cellStyle name="Normal 4 2 2 6 6 4 2 2" xfId="31044"/>
    <cellStyle name="Normal 4 2 2 6 6 4 3" xfId="22819"/>
    <cellStyle name="Normal 4 2 2 6 6 4 4" xfId="39273"/>
    <cellStyle name="Normal 4 2 2 6 6 5" xfId="8014"/>
    <cellStyle name="Normal 4 2 2 6 6 5 2" xfId="16239"/>
    <cellStyle name="Normal 4 2 2 6 6 5 2 2" xfId="32689"/>
    <cellStyle name="Normal 4 2 2 6 6 5 3" xfId="24464"/>
    <cellStyle name="Normal 4 2 2 6 6 5 4" xfId="40918"/>
    <cellStyle name="Normal 4 2 2 6 6 6" xfId="9659"/>
    <cellStyle name="Normal 4 2 2 6 6 6 2" xfId="26109"/>
    <cellStyle name="Normal 4 2 2 6 6 7" xfId="17883"/>
    <cellStyle name="Normal 4 2 2 6 6 8" xfId="34337"/>
    <cellStyle name="Normal 4 2 2 6 7" xfId="1664"/>
    <cellStyle name="Normal 4 2 2 6 7 2" xfId="3314"/>
    <cellStyle name="Normal 4 2 2 6 7 2 2" xfId="11539"/>
    <cellStyle name="Normal 4 2 2 6 7 2 2 2" xfId="27989"/>
    <cellStyle name="Normal 4 2 2 6 7 2 3" xfId="19764"/>
    <cellStyle name="Normal 4 2 2 6 7 2 4" xfId="36218"/>
    <cellStyle name="Normal 4 2 2 6 7 3" xfId="4959"/>
    <cellStyle name="Normal 4 2 2 6 7 3 2" xfId="13184"/>
    <cellStyle name="Normal 4 2 2 6 7 3 2 2" xfId="29634"/>
    <cellStyle name="Normal 4 2 2 6 7 3 3" xfId="21409"/>
    <cellStyle name="Normal 4 2 2 6 7 3 4" xfId="37863"/>
    <cellStyle name="Normal 4 2 2 6 7 4" xfId="6604"/>
    <cellStyle name="Normal 4 2 2 6 7 4 2" xfId="14829"/>
    <cellStyle name="Normal 4 2 2 6 7 4 2 2" xfId="31279"/>
    <cellStyle name="Normal 4 2 2 6 7 4 3" xfId="23054"/>
    <cellStyle name="Normal 4 2 2 6 7 4 4" xfId="39508"/>
    <cellStyle name="Normal 4 2 2 6 7 5" xfId="8249"/>
    <cellStyle name="Normal 4 2 2 6 7 5 2" xfId="16474"/>
    <cellStyle name="Normal 4 2 2 6 7 5 2 2" xfId="32924"/>
    <cellStyle name="Normal 4 2 2 6 7 5 3" xfId="24699"/>
    <cellStyle name="Normal 4 2 2 6 7 5 4" xfId="41153"/>
    <cellStyle name="Normal 4 2 2 6 7 6" xfId="9894"/>
    <cellStyle name="Normal 4 2 2 6 7 6 2" xfId="26344"/>
    <cellStyle name="Normal 4 2 2 6 7 7" xfId="18118"/>
    <cellStyle name="Normal 4 2 2 6 7 8" xfId="34572"/>
    <cellStyle name="Normal 4 2 2 6 8" xfId="1899"/>
    <cellStyle name="Normal 4 2 2 6 8 2" xfId="10129"/>
    <cellStyle name="Normal 4 2 2 6 8 2 2" xfId="26579"/>
    <cellStyle name="Normal 4 2 2 6 8 3" xfId="18353"/>
    <cellStyle name="Normal 4 2 2 6 8 4" xfId="34807"/>
    <cellStyle name="Normal 4 2 2 6 9" xfId="3549"/>
    <cellStyle name="Normal 4 2 2 6 9 2" xfId="11774"/>
    <cellStyle name="Normal 4 2 2 6 9 2 2" xfId="28224"/>
    <cellStyle name="Normal 4 2 2 6 9 3" xfId="19999"/>
    <cellStyle name="Normal 4 2 2 6 9 4" xfId="36453"/>
    <cellStyle name="Normal 4 2 2 7" xfId="224"/>
    <cellStyle name="Normal 4 2 2 7 10" xfId="5221"/>
    <cellStyle name="Normal 4 2 2 7 10 2" xfId="13446"/>
    <cellStyle name="Normal 4 2 2 7 10 2 2" xfId="29896"/>
    <cellStyle name="Normal 4 2 2 7 10 3" xfId="21671"/>
    <cellStyle name="Normal 4 2 2 7 10 4" xfId="38125"/>
    <cellStyle name="Normal 4 2 2 7 11" xfId="6866"/>
    <cellStyle name="Normal 4 2 2 7 11 2" xfId="15091"/>
    <cellStyle name="Normal 4 2 2 7 11 2 2" xfId="31541"/>
    <cellStyle name="Normal 4 2 2 7 11 3" xfId="23316"/>
    <cellStyle name="Normal 4 2 2 7 11 4" xfId="39770"/>
    <cellStyle name="Normal 4 2 2 7 12" xfId="8511"/>
    <cellStyle name="Normal 4 2 2 7 12 2" xfId="24961"/>
    <cellStyle name="Normal 4 2 2 7 13" xfId="16735"/>
    <cellStyle name="Normal 4 2 2 7 14" xfId="33188"/>
    <cellStyle name="Normal 4 2 2 7 15" xfId="41416"/>
    <cellStyle name="Normal 4 2 2 7 2" xfId="467"/>
    <cellStyle name="Normal 4 2 2 7 2 2" xfId="2164"/>
    <cellStyle name="Normal 4 2 2 7 2 2 2" xfId="10391"/>
    <cellStyle name="Normal 4 2 2 7 2 2 2 2" xfId="26841"/>
    <cellStyle name="Normal 4 2 2 7 2 2 3" xfId="18616"/>
    <cellStyle name="Normal 4 2 2 7 2 2 4" xfId="35070"/>
    <cellStyle name="Normal 4 2 2 7 2 3" xfId="3811"/>
    <cellStyle name="Normal 4 2 2 7 2 3 2" xfId="12036"/>
    <cellStyle name="Normal 4 2 2 7 2 3 2 2" xfId="28486"/>
    <cellStyle name="Normal 4 2 2 7 2 3 3" xfId="20261"/>
    <cellStyle name="Normal 4 2 2 7 2 3 4" xfId="36715"/>
    <cellStyle name="Normal 4 2 2 7 2 4" xfId="5456"/>
    <cellStyle name="Normal 4 2 2 7 2 4 2" xfId="13681"/>
    <cellStyle name="Normal 4 2 2 7 2 4 2 2" xfId="30131"/>
    <cellStyle name="Normal 4 2 2 7 2 4 3" xfId="21906"/>
    <cellStyle name="Normal 4 2 2 7 2 4 4" xfId="38360"/>
    <cellStyle name="Normal 4 2 2 7 2 5" xfId="7101"/>
    <cellStyle name="Normal 4 2 2 7 2 5 2" xfId="15326"/>
    <cellStyle name="Normal 4 2 2 7 2 5 2 2" xfId="31776"/>
    <cellStyle name="Normal 4 2 2 7 2 5 3" xfId="23551"/>
    <cellStyle name="Normal 4 2 2 7 2 5 4" xfId="40005"/>
    <cellStyle name="Normal 4 2 2 7 2 6" xfId="8746"/>
    <cellStyle name="Normal 4 2 2 7 2 6 2" xfId="25196"/>
    <cellStyle name="Normal 4 2 2 7 2 7" xfId="16970"/>
    <cellStyle name="Normal 4 2 2 7 2 8" xfId="33424"/>
    <cellStyle name="Normal 4 2 2 7 2 9" xfId="41651"/>
    <cellStyle name="Normal 4 2 2 7 3" xfId="706"/>
    <cellStyle name="Normal 4 2 2 7 3 2" xfId="2401"/>
    <cellStyle name="Normal 4 2 2 7 3 2 2" xfId="10626"/>
    <cellStyle name="Normal 4 2 2 7 3 2 2 2" xfId="27076"/>
    <cellStyle name="Normal 4 2 2 7 3 2 3" xfId="18851"/>
    <cellStyle name="Normal 4 2 2 7 3 2 4" xfId="35305"/>
    <cellStyle name="Normal 4 2 2 7 3 3" xfId="4046"/>
    <cellStyle name="Normal 4 2 2 7 3 3 2" xfId="12271"/>
    <cellStyle name="Normal 4 2 2 7 3 3 2 2" xfId="28721"/>
    <cellStyle name="Normal 4 2 2 7 3 3 3" xfId="20496"/>
    <cellStyle name="Normal 4 2 2 7 3 3 4" xfId="36950"/>
    <cellStyle name="Normal 4 2 2 7 3 4" xfId="5691"/>
    <cellStyle name="Normal 4 2 2 7 3 4 2" xfId="13916"/>
    <cellStyle name="Normal 4 2 2 7 3 4 2 2" xfId="30366"/>
    <cellStyle name="Normal 4 2 2 7 3 4 3" xfId="22141"/>
    <cellStyle name="Normal 4 2 2 7 3 4 4" xfId="38595"/>
    <cellStyle name="Normal 4 2 2 7 3 5" xfId="7336"/>
    <cellStyle name="Normal 4 2 2 7 3 5 2" xfId="15561"/>
    <cellStyle name="Normal 4 2 2 7 3 5 2 2" xfId="32011"/>
    <cellStyle name="Normal 4 2 2 7 3 5 3" xfId="23786"/>
    <cellStyle name="Normal 4 2 2 7 3 5 4" xfId="40240"/>
    <cellStyle name="Normal 4 2 2 7 3 6" xfId="8981"/>
    <cellStyle name="Normal 4 2 2 7 3 6 2" xfId="25431"/>
    <cellStyle name="Normal 4 2 2 7 3 7" xfId="17205"/>
    <cellStyle name="Normal 4 2 2 7 3 8" xfId="33659"/>
    <cellStyle name="Normal 4 2 2 7 3 9" xfId="41886"/>
    <cellStyle name="Normal 4 2 2 7 4" xfId="941"/>
    <cellStyle name="Normal 4 2 2 7 4 2" xfId="2636"/>
    <cellStyle name="Normal 4 2 2 7 4 2 2" xfId="10861"/>
    <cellStyle name="Normal 4 2 2 7 4 2 2 2" xfId="27311"/>
    <cellStyle name="Normal 4 2 2 7 4 2 3" xfId="19086"/>
    <cellStyle name="Normal 4 2 2 7 4 2 4" xfId="35540"/>
    <cellStyle name="Normal 4 2 2 7 4 3" xfId="4281"/>
    <cellStyle name="Normal 4 2 2 7 4 3 2" xfId="12506"/>
    <cellStyle name="Normal 4 2 2 7 4 3 2 2" xfId="28956"/>
    <cellStyle name="Normal 4 2 2 7 4 3 3" xfId="20731"/>
    <cellStyle name="Normal 4 2 2 7 4 3 4" xfId="37185"/>
    <cellStyle name="Normal 4 2 2 7 4 4" xfId="5926"/>
    <cellStyle name="Normal 4 2 2 7 4 4 2" xfId="14151"/>
    <cellStyle name="Normal 4 2 2 7 4 4 2 2" xfId="30601"/>
    <cellStyle name="Normal 4 2 2 7 4 4 3" xfId="22376"/>
    <cellStyle name="Normal 4 2 2 7 4 4 4" xfId="38830"/>
    <cellStyle name="Normal 4 2 2 7 4 5" xfId="7571"/>
    <cellStyle name="Normal 4 2 2 7 4 5 2" xfId="15796"/>
    <cellStyle name="Normal 4 2 2 7 4 5 2 2" xfId="32246"/>
    <cellStyle name="Normal 4 2 2 7 4 5 3" xfId="24021"/>
    <cellStyle name="Normal 4 2 2 7 4 5 4" xfId="40475"/>
    <cellStyle name="Normal 4 2 2 7 4 6" xfId="9216"/>
    <cellStyle name="Normal 4 2 2 7 4 6 2" xfId="25666"/>
    <cellStyle name="Normal 4 2 2 7 4 7" xfId="17440"/>
    <cellStyle name="Normal 4 2 2 7 4 8" xfId="33894"/>
    <cellStyle name="Normal 4 2 2 7 4 9" xfId="42121"/>
    <cellStyle name="Normal 4 2 2 7 5" xfId="1176"/>
    <cellStyle name="Normal 4 2 2 7 5 2" xfId="2871"/>
    <cellStyle name="Normal 4 2 2 7 5 2 2" xfId="11096"/>
    <cellStyle name="Normal 4 2 2 7 5 2 2 2" xfId="27546"/>
    <cellStyle name="Normal 4 2 2 7 5 2 3" xfId="19321"/>
    <cellStyle name="Normal 4 2 2 7 5 2 4" xfId="35775"/>
    <cellStyle name="Normal 4 2 2 7 5 3" xfId="4516"/>
    <cellStyle name="Normal 4 2 2 7 5 3 2" xfId="12741"/>
    <cellStyle name="Normal 4 2 2 7 5 3 2 2" xfId="29191"/>
    <cellStyle name="Normal 4 2 2 7 5 3 3" xfId="20966"/>
    <cellStyle name="Normal 4 2 2 7 5 3 4" xfId="37420"/>
    <cellStyle name="Normal 4 2 2 7 5 4" xfId="6161"/>
    <cellStyle name="Normal 4 2 2 7 5 4 2" xfId="14386"/>
    <cellStyle name="Normal 4 2 2 7 5 4 2 2" xfId="30836"/>
    <cellStyle name="Normal 4 2 2 7 5 4 3" xfId="22611"/>
    <cellStyle name="Normal 4 2 2 7 5 4 4" xfId="39065"/>
    <cellStyle name="Normal 4 2 2 7 5 5" xfId="7806"/>
    <cellStyle name="Normal 4 2 2 7 5 5 2" xfId="16031"/>
    <cellStyle name="Normal 4 2 2 7 5 5 2 2" xfId="32481"/>
    <cellStyle name="Normal 4 2 2 7 5 5 3" xfId="24256"/>
    <cellStyle name="Normal 4 2 2 7 5 5 4" xfId="40710"/>
    <cellStyle name="Normal 4 2 2 7 5 6" xfId="9451"/>
    <cellStyle name="Normal 4 2 2 7 5 6 2" xfId="25901"/>
    <cellStyle name="Normal 4 2 2 7 5 7" xfId="17675"/>
    <cellStyle name="Normal 4 2 2 7 5 8" xfId="34129"/>
    <cellStyle name="Normal 4 2 2 7 5 9" xfId="42356"/>
    <cellStyle name="Normal 4 2 2 7 6" xfId="1456"/>
    <cellStyle name="Normal 4 2 2 7 6 2" xfId="3106"/>
    <cellStyle name="Normal 4 2 2 7 6 2 2" xfId="11331"/>
    <cellStyle name="Normal 4 2 2 7 6 2 2 2" xfId="27781"/>
    <cellStyle name="Normal 4 2 2 7 6 2 3" xfId="19556"/>
    <cellStyle name="Normal 4 2 2 7 6 2 4" xfId="36010"/>
    <cellStyle name="Normal 4 2 2 7 6 3" xfId="4751"/>
    <cellStyle name="Normal 4 2 2 7 6 3 2" xfId="12976"/>
    <cellStyle name="Normal 4 2 2 7 6 3 2 2" xfId="29426"/>
    <cellStyle name="Normal 4 2 2 7 6 3 3" xfId="21201"/>
    <cellStyle name="Normal 4 2 2 7 6 3 4" xfId="37655"/>
    <cellStyle name="Normal 4 2 2 7 6 4" xfId="6396"/>
    <cellStyle name="Normal 4 2 2 7 6 4 2" xfId="14621"/>
    <cellStyle name="Normal 4 2 2 7 6 4 2 2" xfId="31071"/>
    <cellStyle name="Normal 4 2 2 7 6 4 3" xfId="22846"/>
    <cellStyle name="Normal 4 2 2 7 6 4 4" xfId="39300"/>
    <cellStyle name="Normal 4 2 2 7 6 5" xfId="8041"/>
    <cellStyle name="Normal 4 2 2 7 6 5 2" xfId="16266"/>
    <cellStyle name="Normal 4 2 2 7 6 5 2 2" xfId="32716"/>
    <cellStyle name="Normal 4 2 2 7 6 5 3" xfId="24491"/>
    <cellStyle name="Normal 4 2 2 7 6 5 4" xfId="40945"/>
    <cellStyle name="Normal 4 2 2 7 6 6" xfId="9686"/>
    <cellStyle name="Normal 4 2 2 7 6 6 2" xfId="26136"/>
    <cellStyle name="Normal 4 2 2 7 6 7" xfId="17910"/>
    <cellStyle name="Normal 4 2 2 7 6 8" xfId="34364"/>
    <cellStyle name="Normal 4 2 2 7 7" xfId="1691"/>
    <cellStyle name="Normal 4 2 2 7 7 2" xfId="3341"/>
    <cellStyle name="Normal 4 2 2 7 7 2 2" xfId="11566"/>
    <cellStyle name="Normal 4 2 2 7 7 2 2 2" xfId="28016"/>
    <cellStyle name="Normal 4 2 2 7 7 2 3" xfId="19791"/>
    <cellStyle name="Normal 4 2 2 7 7 2 4" xfId="36245"/>
    <cellStyle name="Normal 4 2 2 7 7 3" xfId="4986"/>
    <cellStyle name="Normal 4 2 2 7 7 3 2" xfId="13211"/>
    <cellStyle name="Normal 4 2 2 7 7 3 2 2" xfId="29661"/>
    <cellStyle name="Normal 4 2 2 7 7 3 3" xfId="21436"/>
    <cellStyle name="Normal 4 2 2 7 7 3 4" xfId="37890"/>
    <cellStyle name="Normal 4 2 2 7 7 4" xfId="6631"/>
    <cellStyle name="Normal 4 2 2 7 7 4 2" xfId="14856"/>
    <cellStyle name="Normal 4 2 2 7 7 4 2 2" xfId="31306"/>
    <cellStyle name="Normal 4 2 2 7 7 4 3" xfId="23081"/>
    <cellStyle name="Normal 4 2 2 7 7 4 4" xfId="39535"/>
    <cellStyle name="Normal 4 2 2 7 7 5" xfId="8276"/>
    <cellStyle name="Normal 4 2 2 7 7 5 2" xfId="16501"/>
    <cellStyle name="Normal 4 2 2 7 7 5 2 2" xfId="32951"/>
    <cellStyle name="Normal 4 2 2 7 7 5 3" xfId="24726"/>
    <cellStyle name="Normal 4 2 2 7 7 5 4" xfId="41180"/>
    <cellStyle name="Normal 4 2 2 7 7 6" xfId="9921"/>
    <cellStyle name="Normal 4 2 2 7 7 6 2" xfId="26371"/>
    <cellStyle name="Normal 4 2 2 7 7 7" xfId="18145"/>
    <cellStyle name="Normal 4 2 2 7 7 8" xfId="34599"/>
    <cellStyle name="Normal 4 2 2 7 8" xfId="1926"/>
    <cellStyle name="Normal 4 2 2 7 8 2" xfId="10156"/>
    <cellStyle name="Normal 4 2 2 7 8 2 2" xfId="26606"/>
    <cellStyle name="Normal 4 2 2 7 8 3" xfId="18380"/>
    <cellStyle name="Normal 4 2 2 7 8 4" xfId="34834"/>
    <cellStyle name="Normal 4 2 2 7 9" xfId="3576"/>
    <cellStyle name="Normal 4 2 2 7 9 2" xfId="11801"/>
    <cellStyle name="Normal 4 2 2 7 9 2 2" xfId="28251"/>
    <cellStyle name="Normal 4 2 2 7 9 3" xfId="20026"/>
    <cellStyle name="Normal 4 2 2 7 9 4" xfId="36480"/>
    <cellStyle name="Normal 4 2 2 8" xfId="253"/>
    <cellStyle name="Normal 4 2 2 8 10" xfId="5248"/>
    <cellStyle name="Normal 4 2 2 8 10 2" xfId="13473"/>
    <cellStyle name="Normal 4 2 2 8 10 2 2" xfId="29923"/>
    <cellStyle name="Normal 4 2 2 8 10 3" xfId="21698"/>
    <cellStyle name="Normal 4 2 2 8 10 4" xfId="38152"/>
    <cellStyle name="Normal 4 2 2 8 11" xfId="6893"/>
    <cellStyle name="Normal 4 2 2 8 11 2" xfId="15118"/>
    <cellStyle name="Normal 4 2 2 8 11 2 2" xfId="31568"/>
    <cellStyle name="Normal 4 2 2 8 11 3" xfId="23343"/>
    <cellStyle name="Normal 4 2 2 8 11 4" xfId="39797"/>
    <cellStyle name="Normal 4 2 2 8 12" xfId="8538"/>
    <cellStyle name="Normal 4 2 2 8 12 2" xfId="24988"/>
    <cellStyle name="Normal 4 2 2 8 13" xfId="16762"/>
    <cellStyle name="Normal 4 2 2 8 14" xfId="33215"/>
    <cellStyle name="Normal 4 2 2 8 15" xfId="41443"/>
    <cellStyle name="Normal 4 2 2 8 2" xfId="496"/>
    <cellStyle name="Normal 4 2 2 8 2 2" xfId="2191"/>
    <cellStyle name="Normal 4 2 2 8 2 2 2" xfId="10418"/>
    <cellStyle name="Normal 4 2 2 8 2 2 2 2" xfId="26868"/>
    <cellStyle name="Normal 4 2 2 8 2 2 3" xfId="18643"/>
    <cellStyle name="Normal 4 2 2 8 2 2 4" xfId="35097"/>
    <cellStyle name="Normal 4 2 2 8 2 3" xfId="3838"/>
    <cellStyle name="Normal 4 2 2 8 2 3 2" xfId="12063"/>
    <cellStyle name="Normal 4 2 2 8 2 3 2 2" xfId="28513"/>
    <cellStyle name="Normal 4 2 2 8 2 3 3" xfId="20288"/>
    <cellStyle name="Normal 4 2 2 8 2 3 4" xfId="36742"/>
    <cellStyle name="Normal 4 2 2 8 2 4" xfId="5483"/>
    <cellStyle name="Normal 4 2 2 8 2 4 2" xfId="13708"/>
    <cellStyle name="Normal 4 2 2 8 2 4 2 2" xfId="30158"/>
    <cellStyle name="Normal 4 2 2 8 2 4 3" xfId="21933"/>
    <cellStyle name="Normal 4 2 2 8 2 4 4" xfId="38387"/>
    <cellStyle name="Normal 4 2 2 8 2 5" xfId="7128"/>
    <cellStyle name="Normal 4 2 2 8 2 5 2" xfId="15353"/>
    <cellStyle name="Normal 4 2 2 8 2 5 2 2" xfId="31803"/>
    <cellStyle name="Normal 4 2 2 8 2 5 3" xfId="23578"/>
    <cellStyle name="Normal 4 2 2 8 2 5 4" xfId="40032"/>
    <cellStyle name="Normal 4 2 2 8 2 6" xfId="8773"/>
    <cellStyle name="Normal 4 2 2 8 2 6 2" xfId="25223"/>
    <cellStyle name="Normal 4 2 2 8 2 7" xfId="16997"/>
    <cellStyle name="Normal 4 2 2 8 2 8" xfId="33451"/>
    <cellStyle name="Normal 4 2 2 8 2 9" xfId="41678"/>
    <cellStyle name="Normal 4 2 2 8 3" xfId="733"/>
    <cellStyle name="Normal 4 2 2 8 3 2" xfId="2428"/>
    <cellStyle name="Normal 4 2 2 8 3 2 2" xfId="10653"/>
    <cellStyle name="Normal 4 2 2 8 3 2 2 2" xfId="27103"/>
    <cellStyle name="Normal 4 2 2 8 3 2 3" xfId="18878"/>
    <cellStyle name="Normal 4 2 2 8 3 2 4" xfId="35332"/>
    <cellStyle name="Normal 4 2 2 8 3 3" xfId="4073"/>
    <cellStyle name="Normal 4 2 2 8 3 3 2" xfId="12298"/>
    <cellStyle name="Normal 4 2 2 8 3 3 2 2" xfId="28748"/>
    <cellStyle name="Normal 4 2 2 8 3 3 3" xfId="20523"/>
    <cellStyle name="Normal 4 2 2 8 3 3 4" xfId="36977"/>
    <cellStyle name="Normal 4 2 2 8 3 4" xfId="5718"/>
    <cellStyle name="Normal 4 2 2 8 3 4 2" xfId="13943"/>
    <cellStyle name="Normal 4 2 2 8 3 4 2 2" xfId="30393"/>
    <cellStyle name="Normal 4 2 2 8 3 4 3" xfId="22168"/>
    <cellStyle name="Normal 4 2 2 8 3 4 4" xfId="38622"/>
    <cellStyle name="Normal 4 2 2 8 3 5" xfId="7363"/>
    <cellStyle name="Normal 4 2 2 8 3 5 2" xfId="15588"/>
    <cellStyle name="Normal 4 2 2 8 3 5 2 2" xfId="32038"/>
    <cellStyle name="Normal 4 2 2 8 3 5 3" xfId="23813"/>
    <cellStyle name="Normal 4 2 2 8 3 5 4" xfId="40267"/>
    <cellStyle name="Normal 4 2 2 8 3 6" xfId="9008"/>
    <cellStyle name="Normal 4 2 2 8 3 6 2" xfId="25458"/>
    <cellStyle name="Normal 4 2 2 8 3 7" xfId="17232"/>
    <cellStyle name="Normal 4 2 2 8 3 8" xfId="33686"/>
    <cellStyle name="Normal 4 2 2 8 3 9" xfId="41913"/>
    <cellStyle name="Normal 4 2 2 8 4" xfId="968"/>
    <cellStyle name="Normal 4 2 2 8 4 2" xfId="2663"/>
    <cellStyle name="Normal 4 2 2 8 4 2 2" xfId="10888"/>
    <cellStyle name="Normal 4 2 2 8 4 2 2 2" xfId="27338"/>
    <cellStyle name="Normal 4 2 2 8 4 2 3" xfId="19113"/>
    <cellStyle name="Normal 4 2 2 8 4 2 4" xfId="35567"/>
    <cellStyle name="Normal 4 2 2 8 4 3" xfId="4308"/>
    <cellStyle name="Normal 4 2 2 8 4 3 2" xfId="12533"/>
    <cellStyle name="Normal 4 2 2 8 4 3 2 2" xfId="28983"/>
    <cellStyle name="Normal 4 2 2 8 4 3 3" xfId="20758"/>
    <cellStyle name="Normal 4 2 2 8 4 3 4" xfId="37212"/>
    <cellStyle name="Normal 4 2 2 8 4 4" xfId="5953"/>
    <cellStyle name="Normal 4 2 2 8 4 4 2" xfId="14178"/>
    <cellStyle name="Normal 4 2 2 8 4 4 2 2" xfId="30628"/>
    <cellStyle name="Normal 4 2 2 8 4 4 3" xfId="22403"/>
    <cellStyle name="Normal 4 2 2 8 4 4 4" xfId="38857"/>
    <cellStyle name="Normal 4 2 2 8 4 5" xfId="7598"/>
    <cellStyle name="Normal 4 2 2 8 4 5 2" xfId="15823"/>
    <cellStyle name="Normal 4 2 2 8 4 5 2 2" xfId="32273"/>
    <cellStyle name="Normal 4 2 2 8 4 5 3" xfId="24048"/>
    <cellStyle name="Normal 4 2 2 8 4 5 4" xfId="40502"/>
    <cellStyle name="Normal 4 2 2 8 4 6" xfId="9243"/>
    <cellStyle name="Normal 4 2 2 8 4 6 2" xfId="25693"/>
    <cellStyle name="Normal 4 2 2 8 4 7" xfId="17467"/>
    <cellStyle name="Normal 4 2 2 8 4 8" xfId="33921"/>
    <cellStyle name="Normal 4 2 2 8 4 9" xfId="42148"/>
    <cellStyle name="Normal 4 2 2 8 5" xfId="1203"/>
    <cellStyle name="Normal 4 2 2 8 5 2" xfId="2898"/>
    <cellStyle name="Normal 4 2 2 8 5 2 2" xfId="11123"/>
    <cellStyle name="Normal 4 2 2 8 5 2 2 2" xfId="27573"/>
    <cellStyle name="Normal 4 2 2 8 5 2 3" xfId="19348"/>
    <cellStyle name="Normal 4 2 2 8 5 2 4" xfId="35802"/>
    <cellStyle name="Normal 4 2 2 8 5 3" xfId="4543"/>
    <cellStyle name="Normal 4 2 2 8 5 3 2" xfId="12768"/>
    <cellStyle name="Normal 4 2 2 8 5 3 2 2" xfId="29218"/>
    <cellStyle name="Normal 4 2 2 8 5 3 3" xfId="20993"/>
    <cellStyle name="Normal 4 2 2 8 5 3 4" xfId="37447"/>
    <cellStyle name="Normal 4 2 2 8 5 4" xfId="6188"/>
    <cellStyle name="Normal 4 2 2 8 5 4 2" xfId="14413"/>
    <cellStyle name="Normal 4 2 2 8 5 4 2 2" xfId="30863"/>
    <cellStyle name="Normal 4 2 2 8 5 4 3" xfId="22638"/>
    <cellStyle name="Normal 4 2 2 8 5 4 4" xfId="39092"/>
    <cellStyle name="Normal 4 2 2 8 5 5" xfId="7833"/>
    <cellStyle name="Normal 4 2 2 8 5 5 2" xfId="16058"/>
    <cellStyle name="Normal 4 2 2 8 5 5 2 2" xfId="32508"/>
    <cellStyle name="Normal 4 2 2 8 5 5 3" xfId="24283"/>
    <cellStyle name="Normal 4 2 2 8 5 5 4" xfId="40737"/>
    <cellStyle name="Normal 4 2 2 8 5 6" xfId="9478"/>
    <cellStyle name="Normal 4 2 2 8 5 6 2" xfId="25928"/>
    <cellStyle name="Normal 4 2 2 8 5 7" xfId="17702"/>
    <cellStyle name="Normal 4 2 2 8 5 8" xfId="34156"/>
    <cellStyle name="Normal 4 2 2 8 5 9" xfId="42383"/>
    <cellStyle name="Normal 4 2 2 8 6" xfId="1483"/>
    <cellStyle name="Normal 4 2 2 8 6 2" xfId="3133"/>
    <cellStyle name="Normal 4 2 2 8 6 2 2" xfId="11358"/>
    <cellStyle name="Normal 4 2 2 8 6 2 2 2" xfId="27808"/>
    <cellStyle name="Normal 4 2 2 8 6 2 3" xfId="19583"/>
    <cellStyle name="Normal 4 2 2 8 6 2 4" xfId="36037"/>
    <cellStyle name="Normal 4 2 2 8 6 3" xfId="4778"/>
    <cellStyle name="Normal 4 2 2 8 6 3 2" xfId="13003"/>
    <cellStyle name="Normal 4 2 2 8 6 3 2 2" xfId="29453"/>
    <cellStyle name="Normal 4 2 2 8 6 3 3" xfId="21228"/>
    <cellStyle name="Normal 4 2 2 8 6 3 4" xfId="37682"/>
    <cellStyle name="Normal 4 2 2 8 6 4" xfId="6423"/>
    <cellStyle name="Normal 4 2 2 8 6 4 2" xfId="14648"/>
    <cellStyle name="Normal 4 2 2 8 6 4 2 2" xfId="31098"/>
    <cellStyle name="Normal 4 2 2 8 6 4 3" xfId="22873"/>
    <cellStyle name="Normal 4 2 2 8 6 4 4" xfId="39327"/>
    <cellStyle name="Normal 4 2 2 8 6 5" xfId="8068"/>
    <cellStyle name="Normal 4 2 2 8 6 5 2" xfId="16293"/>
    <cellStyle name="Normal 4 2 2 8 6 5 2 2" xfId="32743"/>
    <cellStyle name="Normal 4 2 2 8 6 5 3" xfId="24518"/>
    <cellStyle name="Normal 4 2 2 8 6 5 4" xfId="40972"/>
    <cellStyle name="Normal 4 2 2 8 6 6" xfId="9713"/>
    <cellStyle name="Normal 4 2 2 8 6 6 2" xfId="26163"/>
    <cellStyle name="Normal 4 2 2 8 6 7" xfId="17937"/>
    <cellStyle name="Normal 4 2 2 8 6 8" xfId="34391"/>
    <cellStyle name="Normal 4 2 2 8 7" xfId="1718"/>
    <cellStyle name="Normal 4 2 2 8 7 2" xfId="3368"/>
    <cellStyle name="Normal 4 2 2 8 7 2 2" xfId="11593"/>
    <cellStyle name="Normal 4 2 2 8 7 2 2 2" xfId="28043"/>
    <cellStyle name="Normal 4 2 2 8 7 2 3" xfId="19818"/>
    <cellStyle name="Normal 4 2 2 8 7 2 4" xfId="36272"/>
    <cellStyle name="Normal 4 2 2 8 7 3" xfId="5013"/>
    <cellStyle name="Normal 4 2 2 8 7 3 2" xfId="13238"/>
    <cellStyle name="Normal 4 2 2 8 7 3 2 2" xfId="29688"/>
    <cellStyle name="Normal 4 2 2 8 7 3 3" xfId="21463"/>
    <cellStyle name="Normal 4 2 2 8 7 3 4" xfId="37917"/>
    <cellStyle name="Normal 4 2 2 8 7 4" xfId="6658"/>
    <cellStyle name="Normal 4 2 2 8 7 4 2" xfId="14883"/>
    <cellStyle name="Normal 4 2 2 8 7 4 2 2" xfId="31333"/>
    <cellStyle name="Normal 4 2 2 8 7 4 3" xfId="23108"/>
    <cellStyle name="Normal 4 2 2 8 7 4 4" xfId="39562"/>
    <cellStyle name="Normal 4 2 2 8 7 5" xfId="8303"/>
    <cellStyle name="Normal 4 2 2 8 7 5 2" xfId="16528"/>
    <cellStyle name="Normal 4 2 2 8 7 5 2 2" xfId="32978"/>
    <cellStyle name="Normal 4 2 2 8 7 5 3" xfId="24753"/>
    <cellStyle name="Normal 4 2 2 8 7 5 4" xfId="41207"/>
    <cellStyle name="Normal 4 2 2 8 7 6" xfId="9948"/>
    <cellStyle name="Normal 4 2 2 8 7 6 2" xfId="26398"/>
    <cellStyle name="Normal 4 2 2 8 7 7" xfId="18172"/>
    <cellStyle name="Normal 4 2 2 8 7 8" xfId="34626"/>
    <cellStyle name="Normal 4 2 2 8 8" xfId="1953"/>
    <cellStyle name="Normal 4 2 2 8 8 2" xfId="10183"/>
    <cellStyle name="Normal 4 2 2 8 8 2 2" xfId="26633"/>
    <cellStyle name="Normal 4 2 2 8 8 3" xfId="18407"/>
    <cellStyle name="Normal 4 2 2 8 8 4" xfId="34861"/>
    <cellStyle name="Normal 4 2 2 8 9" xfId="3603"/>
    <cellStyle name="Normal 4 2 2 8 9 2" xfId="11828"/>
    <cellStyle name="Normal 4 2 2 8 9 2 2" xfId="28278"/>
    <cellStyle name="Normal 4 2 2 8 9 3" xfId="20053"/>
    <cellStyle name="Normal 4 2 2 8 9 4" xfId="36507"/>
    <cellStyle name="Normal 4 2 2 9" xfId="282"/>
    <cellStyle name="Normal 4 2 2 9 2" xfId="1983"/>
    <cellStyle name="Normal 4 2 2 9 2 2" xfId="10210"/>
    <cellStyle name="Normal 4 2 2 9 2 2 2" xfId="26660"/>
    <cellStyle name="Normal 4 2 2 9 2 3" xfId="18435"/>
    <cellStyle name="Normal 4 2 2 9 2 4" xfId="34889"/>
    <cellStyle name="Normal 4 2 2 9 3" xfId="3630"/>
    <cellStyle name="Normal 4 2 2 9 3 2" xfId="11855"/>
    <cellStyle name="Normal 4 2 2 9 3 2 2" xfId="28305"/>
    <cellStyle name="Normal 4 2 2 9 3 3" xfId="20080"/>
    <cellStyle name="Normal 4 2 2 9 3 4" xfId="36534"/>
    <cellStyle name="Normal 4 2 2 9 4" xfId="5275"/>
    <cellStyle name="Normal 4 2 2 9 4 2" xfId="13500"/>
    <cellStyle name="Normal 4 2 2 9 4 2 2" xfId="29950"/>
    <cellStyle name="Normal 4 2 2 9 4 3" xfId="21725"/>
    <cellStyle name="Normal 4 2 2 9 4 4" xfId="38179"/>
    <cellStyle name="Normal 4 2 2 9 5" xfId="6920"/>
    <cellStyle name="Normal 4 2 2 9 5 2" xfId="15145"/>
    <cellStyle name="Normal 4 2 2 9 5 2 2" xfId="31595"/>
    <cellStyle name="Normal 4 2 2 9 5 3" xfId="23370"/>
    <cellStyle name="Normal 4 2 2 9 5 4" xfId="39824"/>
    <cellStyle name="Normal 4 2 2 9 6" xfId="8565"/>
    <cellStyle name="Normal 4 2 2 9 6 2" xfId="25015"/>
    <cellStyle name="Normal 4 2 2 9 7" xfId="16789"/>
    <cellStyle name="Normal 4 2 2 9 8" xfId="33243"/>
    <cellStyle name="Normal 4 2 2 9 9" xfId="41470"/>
    <cellStyle name="Normal 4 2 20" xfId="8323"/>
    <cellStyle name="Normal 4 2 20 2" xfId="24773"/>
    <cellStyle name="Normal 4 2 21" xfId="16547"/>
    <cellStyle name="Normal 4 2 22" xfId="33000"/>
    <cellStyle name="Normal 4 2 23" xfId="41228"/>
    <cellStyle name="Normal 4 2 3" xfId="59"/>
    <cellStyle name="Normal 4 2 3 10" xfId="3413"/>
    <cellStyle name="Normal 4 2 3 10 2" xfId="11638"/>
    <cellStyle name="Normal 4 2 3 10 2 2" xfId="28088"/>
    <cellStyle name="Normal 4 2 3 10 3" xfId="19863"/>
    <cellStyle name="Normal 4 2 3 10 4" xfId="36317"/>
    <cellStyle name="Normal 4 2 3 11" xfId="5058"/>
    <cellStyle name="Normal 4 2 3 11 2" xfId="13283"/>
    <cellStyle name="Normal 4 2 3 11 2 2" xfId="29733"/>
    <cellStyle name="Normal 4 2 3 11 3" xfId="21508"/>
    <cellStyle name="Normal 4 2 3 11 4" xfId="37962"/>
    <cellStyle name="Normal 4 2 3 12" xfId="6703"/>
    <cellStyle name="Normal 4 2 3 12 2" xfId="14928"/>
    <cellStyle name="Normal 4 2 3 12 2 2" xfId="31378"/>
    <cellStyle name="Normal 4 2 3 12 3" xfId="23153"/>
    <cellStyle name="Normal 4 2 3 12 4" xfId="39607"/>
    <cellStyle name="Normal 4 2 3 13" xfId="8348"/>
    <cellStyle name="Normal 4 2 3 13 2" xfId="24798"/>
    <cellStyle name="Normal 4 2 3 14" xfId="16572"/>
    <cellStyle name="Normal 4 2 3 15" xfId="33025"/>
    <cellStyle name="Normal 4 2 3 16" xfId="41253"/>
    <cellStyle name="Normal 4 2 3 2" xfId="109"/>
    <cellStyle name="Normal 4 2 3 2 10" xfId="5108"/>
    <cellStyle name="Normal 4 2 3 2 10 2" xfId="13333"/>
    <cellStyle name="Normal 4 2 3 2 10 2 2" xfId="29783"/>
    <cellStyle name="Normal 4 2 3 2 10 3" xfId="21558"/>
    <cellStyle name="Normal 4 2 3 2 10 4" xfId="38012"/>
    <cellStyle name="Normal 4 2 3 2 11" xfId="6753"/>
    <cellStyle name="Normal 4 2 3 2 11 2" xfId="14978"/>
    <cellStyle name="Normal 4 2 3 2 11 2 2" xfId="31428"/>
    <cellStyle name="Normal 4 2 3 2 11 3" xfId="23203"/>
    <cellStyle name="Normal 4 2 3 2 11 4" xfId="39657"/>
    <cellStyle name="Normal 4 2 3 2 12" xfId="8398"/>
    <cellStyle name="Normal 4 2 3 2 12 2" xfId="24848"/>
    <cellStyle name="Normal 4 2 3 2 13" xfId="16622"/>
    <cellStyle name="Normal 4 2 3 2 14" xfId="33075"/>
    <cellStyle name="Normal 4 2 3 2 15" xfId="41303"/>
    <cellStyle name="Normal 4 2 3 2 2" xfId="352"/>
    <cellStyle name="Normal 4 2 3 2 2 2" xfId="2051"/>
    <cellStyle name="Normal 4 2 3 2 2 2 2" xfId="10278"/>
    <cellStyle name="Normal 4 2 3 2 2 2 2 2" xfId="26728"/>
    <cellStyle name="Normal 4 2 3 2 2 2 3" xfId="18503"/>
    <cellStyle name="Normal 4 2 3 2 2 2 4" xfId="34957"/>
    <cellStyle name="Normal 4 2 3 2 2 3" xfId="3698"/>
    <cellStyle name="Normal 4 2 3 2 2 3 2" xfId="11923"/>
    <cellStyle name="Normal 4 2 3 2 2 3 2 2" xfId="28373"/>
    <cellStyle name="Normal 4 2 3 2 2 3 3" xfId="20148"/>
    <cellStyle name="Normal 4 2 3 2 2 3 4" xfId="36602"/>
    <cellStyle name="Normal 4 2 3 2 2 4" xfId="5343"/>
    <cellStyle name="Normal 4 2 3 2 2 4 2" xfId="13568"/>
    <cellStyle name="Normal 4 2 3 2 2 4 2 2" xfId="30018"/>
    <cellStyle name="Normal 4 2 3 2 2 4 3" xfId="21793"/>
    <cellStyle name="Normal 4 2 3 2 2 4 4" xfId="38247"/>
    <cellStyle name="Normal 4 2 3 2 2 5" xfId="6988"/>
    <cellStyle name="Normal 4 2 3 2 2 5 2" xfId="15213"/>
    <cellStyle name="Normal 4 2 3 2 2 5 2 2" xfId="31663"/>
    <cellStyle name="Normal 4 2 3 2 2 5 3" xfId="23438"/>
    <cellStyle name="Normal 4 2 3 2 2 5 4" xfId="39892"/>
    <cellStyle name="Normal 4 2 3 2 2 6" xfId="8633"/>
    <cellStyle name="Normal 4 2 3 2 2 6 2" xfId="25083"/>
    <cellStyle name="Normal 4 2 3 2 2 7" xfId="16857"/>
    <cellStyle name="Normal 4 2 3 2 2 8" xfId="33311"/>
    <cellStyle name="Normal 4 2 3 2 2 9" xfId="41538"/>
    <cellStyle name="Normal 4 2 3 2 3" xfId="593"/>
    <cellStyle name="Normal 4 2 3 2 3 2" xfId="2288"/>
    <cellStyle name="Normal 4 2 3 2 3 2 2" xfId="10513"/>
    <cellStyle name="Normal 4 2 3 2 3 2 2 2" xfId="26963"/>
    <cellStyle name="Normal 4 2 3 2 3 2 3" xfId="18738"/>
    <cellStyle name="Normal 4 2 3 2 3 2 4" xfId="35192"/>
    <cellStyle name="Normal 4 2 3 2 3 3" xfId="3933"/>
    <cellStyle name="Normal 4 2 3 2 3 3 2" xfId="12158"/>
    <cellStyle name="Normal 4 2 3 2 3 3 2 2" xfId="28608"/>
    <cellStyle name="Normal 4 2 3 2 3 3 3" xfId="20383"/>
    <cellStyle name="Normal 4 2 3 2 3 3 4" xfId="36837"/>
    <cellStyle name="Normal 4 2 3 2 3 4" xfId="5578"/>
    <cellStyle name="Normal 4 2 3 2 3 4 2" xfId="13803"/>
    <cellStyle name="Normal 4 2 3 2 3 4 2 2" xfId="30253"/>
    <cellStyle name="Normal 4 2 3 2 3 4 3" xfId="22028"/>
    <cellStyle name="Normal 4 2 3 2 3 4 4" xfId="38482"/>
    <cellStyle name="Normal 4 2 3 2 3 5" xfId="7223"/>
    <cellStyle name="Normal 4 2 3 2 3 5 2" xfId="15448"/>
    <cellStyle name="Normal 4 2 3 2 3 5 2 2" xfId="31898"/>
    <cellStyle name="Normal 4 2 3 2 3 5 3" xfId="23673"/>
    <cellStyle name="Normal 4 2 3 2 3 5 4" xfId="40127"/>
    <cellStyle name="Normal 4 2 3 2 3 6" xfId="8868"/>
    <cellStyle name="Normal 4 2 3 2 3 6 2" xfId="25318"/>
    <cellStyle name="Normal 4 2 3 2 3 7" xfId="17092"/>
    <cellStyle name="Normal 4 2 3 2 3 8" xfId="33546"/>
    <cellStyle name="Normal 4 2 3 2 3 9" xfId="41773"/>
    <cellStyle name="Normal 4 2 3 2 4" xfId="828"/>
    <cellStyle name="Normal 4 2 3 2 4 2" xfId="2523"/>
    <cellStyle name="Normal 4 2 3 2 4 2 2" xfId="10748"/>
    <cellStyle name="Normal 4 2 3 2 4 2 2 2" xfId="27198"/>
    <cellStyle name="Normal 4 2 3 2 4 2 3" xfId="18973"/>
    <cellStyle name="Normal 4 2 3 2 4 2 4" xfId="35427"/>
    <cellStyle name="Normal 4 2 3 2 4 3" xfId="4168"/>
    <cellStyle name="Normal 4 2 3 2 4 3 2" xfId="12393"/>
    <cellStyle name="Normal 4 2 3 2 4 3 2 2" xfId="28843"/>
    <cellStyle name="Normal 4 2 3 2 4 3 3" xfId="20618"/>
    <cellStyle name="Normal 4 2 3 2 4 3 4" xfId="37072"/>
    <cellStyle name="Normal 4 2 3 2 4 4" xfId="5813"/>
    <cellStyle name="Normal 4 2 3 2 4 4 2" xfId="14038"/>
    <cellStyle name="Normal 4 2 3 2 4 4 2 2" xfId="30488"/>
    <cellStyle name="Normal 4 2 3 2 4 4 3" xfId="22263"/>
    <cellStyle name="Normal 4 2 3 2 4 4 4" xfId="38717"/>
    <cellStyle name="Normal 4 2 3 2 4 5" xfId="7458"/>
    <cellStyle name="Normal 4 2 3 2 4 5 2" xfId="15683"/>
    <cellStyle name="Normal 4 2 3 2 4 5 2 2" xfId="32133"/>
    <cellStyle name="Normal 4 2 3 2 4 5 3" xfId="23908"/>
    <cellStyle name="Normal 4 2 3 2 4 5 4" xfId="40362"/>
    <cellStyle name="Normal 4 2 3 2 4 6" xfId="9103"/>
    <cellStyle name="Normal 4 2 3 2 4 6 2" xfId="25553"/>
    <cellStyle name="Normal 4 2 3 2 4 7" xfId="17327"/>
    <cellStyle name="Normal 4 2 3 2 4 8" xfId="33781"/>
    <cellStyle name="Normal 4 2 3 2 4 9" xfId="42008"/>
    <cellStyle name="Normal 4 2 3 2 5" xfId="1063"/>
    <cellStyle name="Normal 4 2 3 2 5 2" xfId="2758"/>
    <cellStyle name="Normal 4 2 3 2 5 2 2" xfId="10983"/>
    <cellStyle name="Normal 4 2 3 2 5 2 2 2" xfId="27433"/>
    <cellStyle name="Normal 4 2 3 2 5 2 3" xfId="19208"/>
    <cellStyle name="Normal 4 2 3 2 5 2 4" xfId="35662"/>
    <cellStyle name="Normal 4 2 3 2 5 3" xfId="4403"/>
    <cellStyle name="Normal 4 2 3 2 5 3 2" xfId="12628"/>
    <cellStyle name="Normal 4 2 3 2 5 3 2 2" xfId="29078"/>
    <cellStyle name="Normal 4 2 3 2 5 3 3" xfId="20853"/>
    <cellStyle name="Normal 4 2 3 2 5 3 4" xfId="37307"/>
    <cellStyle name="Normal 4 2 3 2 5 4" xfId="6048"/>
    <cellStyle name="Normal 4 2 3 2 5 4 2" xfId="14273"/>
    <cellStyle name="Normal 4 2 3 2 5 4 2 2" xfId="30723"/>
    <cellStyle name="Normal 4 2 3 2 5 4 3" xfId="22498"/>
    <cellStyle name="Normal 4 2 3 2 5 4 4" xfId="38952"/>
    <cellStyle name="Normal 4 2 3 2 5 5" xfId="7693"/>
    <cellStyle name="Normal 4 2 3 2 5 5 2" xfId="15918"/>
    <cellStyle name="Normal 4 2 3 2 5 5 2 2" xfId="32368"/>
    <cellStyle name="Normal 4 2 3 2 5 5 3" xfId="24143"/>
    <cellStyle name="Normal 4 2 3 2 5 5 4" xfId="40597"/>
    <cellStyle name="Normal 4 2 3 2 5 6" xfId="9338"/>
    <cellStyle name="Normal 4 2 3 2 5 6 2" xfId="25788"/>
    <cellStyle name="Normal 4 2 3 2 5 7" xfId="17562"/>
    <cellStyle name="Normal 4 2 3 2 5 8" xfId="34016"/>
    <cellStyle name="Normal 4 2 3 2 5 9" xfId="42243"/>
    <cellStyle name="Normal 4 2 3 2 6" xfId="1343"/>
    <cellStyle name="Normal 4 2 3 2 6 2" xfId="2993"/>
    <cellStyle name="Normal 4 2 3 2 6 2 2" xfId="11218"/>
    <cellStyle name="Normal 4 2 3 2 6 2 2 2" xfId="27668"/>
    <cellStyle name="Normal 4 2 3 2 6 2 3" xfId="19443"/>
    <cellStyle name="Normal 4 2 3 2 6 2 4" xfId="35897"/>
    <cellStyle name="Normal 4 2 3 2 6 3" xfId="4638"/>
    <cellStyle name="Normal 4 2 3 2 6 3 2" xfId="12863"/>
    <cellStyle name="Normal 4 2 3 2 6 3 2 2" xfId="29313"/>
    <cellStyle name="Normal 4 2 3 2 6 3 3" xfId="21088"/>
    <cellStyle name="Normal 4 2 3 2 6 3 4" xfId="37542"/>
    <cellStyle name="Normal 4 2 3 2 6 4" xfId="6283"/>
    <cellStyle name="Normal 4 2 3 2 6 4 2" xfId="14508"/>
    <cellStyle name="Normal 4 2 3 2 6 4 2 2" xfId="30958"/>
    <cellStyle name="Normal 4 2 3 2 6 4 3" xfId="22733"/>
    <cellStyle name="Normal 4 2 3 2 6 4 4" xfId="39187"/>
    <cellStyle name="Normal 4 2 3 2 6 5" xfId="7928"/>
    <cellStyle name="Normal 4 2 3 2 6 5 2" xfId="16153"/>
    <cellStyle name="Normal 4 2 3 2 6 5 2 2" xfId="32603"/>
    <cellStyle name="Normal 4 2 3 2 6 5 3" xfId="24378"/>
    <cellStyle name="Normal 4 2 3 2 6 5 4" xfId="40832"/>
    <cellStyle name="Normal 4 2 3 2 6 6" xfId="9573"/>
    <cellStyle name="Normal 4 2 3 2 6 6 2" xfId="26023"/>
    <cellStyle name="Normal 4 2 3 2 6 7" xfId="17797"/>
    <cellStyle name="Normal 4 2 3 2 6 8" xfId="34251"/>
    <cellStyle name="Normal 4 2 3 2 7" xfId="1578"/>
    <cellStyle name="Normal 4 2 3 2 7 2" xfId="3228"/>
    <cellStyle name="Normal 4 2 3 2 7 2 2" xfId="11453"/>
    <cellStyle name="Normal 4 2 3 2 7 2 2 2" xfId="27903"/>
    <cellStyle name="Normal 4 2 3 2 7 2 3" xfId="19678"/>
    <cellStyle name="Normal 4 2 3 2 7 2 4" xfId="36132"/>
    <cellStyle name="Normal 4 2 3 2 7 3" xfId="4873"/>
    <cellStyle name="Normal 4 2 3 2 7 3 2" xfId="13098"/>
    <cellStyle name="Normal 4 2 3 2 7 3 2 2" xfId="29548"/>
    <cellStyle name="Normal 4 2 3 2 7 3 3" xfId="21323"/>
    <cellStyle name="Normal 4 2 3 2 7 3 4" xfId="37777"/>
    <cellStyle name="Normal 4 2 3 2 7 4" xfId="6518"/>
    <cellStyle name="Normal 4 2 3 2 7 4 2" xfId="14743"/>
    <cellStyle name="Normal 4 2 3 2 7 4 2 2" xfId="31193"/>
    <cellStyle name="Normal 4 2 3 2 7 4 3" xfId="22968"/>
    <cellStyle name="Normal 4 2 3 2 7 4 4" xfId="39422"/>
    <cellStyle name="Normal 4 2 3 2 7 5" xfId="8163"/>
    <cellStyle name="Normal 4 2 3 2 7 5 2" xfId="16388"/>
    <cellStyle name="Normal 4 2 3 2 7 5 2 2" xfId="32838"/>
    <cellStyle name="Normal 4 2 3 2 7 5 3" xfId="24613"/>
    <cellStyle name="Normal 4 2 3 2 7 5 4" xfId="41067"/>
    <cellStyle name="Normal 4 2 3 2 7 6" xfId="9808"/>
    <cellStyle name="Normal 4 2 3 2 7 6 2" xfId="26258"/>
    <cellStyle name="Normal 4 2 3 2 7 7" xfId="18032"/>
    <cellStyle name="Normal 4 2 3 2 7 8" xfId="34486"/>
    <cellStyle name="Normal 4 2 3 2 8" xfId="1813"/>
    <cellStyle name="Normal 4 2 3 2 8 2" xfId="10043"/>
    <cellStyle name="Normal 4 2 3 2 8 2 2" xfId="26493"/>
    <cellStyle name="Normal 4 2 3 2 8 3" xfId="18267"/>
    <cellStyle name="Normal 4 2 3 2 8 4" xfId="34721"/>
    <cellStyle name="Normal 4 2 3 2 9" xfId="3463"/>
    <cellStyle name="Normal 4 2 3 2 9 2" xfId="11688"/>
    <cellStyle name="Normal 4 2 3 2 9 2 2" xfId="28138"/>
    <cellStyle name="Normal 4 2 3 2 9 3" xfId="19913"/>
    <cellStyle name="Normal 4 2 3 2 9 4" xfId="36367"/>
    <cellStyle name="Normal 4 2 3 3" xfId="302"/>
    <cellStyle name="Normal 4 2 3 3 2" xfId="2001"/>
    <cellStyle name="Normal 4 2 3 3 2 2" xfId="10228"/>
    <cellStyle name="Normal 4 2 3 3 2 2 2" xfId="26678"/>
    <cellStyle name="Normal 4 2 3 3 2 3" xfId="18453"/>
    <cellStyle name="Normal 4 2 3 3 2 4" xfId="34907"/>
    <cellStyle name="Normal 4 2 3 3 3" xfId="3648"/>
    <cellStyle name="Normal 4 2 3 3 3 2" xfId="11873"/>
    <cellStyle name="Normal 4 2 3 3 3 2 2" xfId="28323"/>
    <cellStyle name="Normal 4 2 3 3 3 3" xfId="20098"/>
    <cellStyle name="Normal 4 2 3 3 3 4" xfId="36552"/>
    <cellStyle name="Normal 4 2 3 3 4" xfId="5293"/>
    <cellStyle name="Normal 4 2 3 3 4 2" xfId="13518"/>
    <cellStyle name="Normal 4 2 3 3 4 2 2" xfId="29968"/>
    <cellStyle name="Normal 4 2 3 3 4 3" xfId="21743"/>
    <cellStyle name="Normal 4 2 3 3 4 4" xfId="38197"/>
    <cellStyle name="Normal 4 2 3 3 5" xfId="6938"/>
    <cellStyle name="Normal 4 2 3 3 5 2" xfId="15163"/>
    <cellStyle name="Normal 4 2 3 3 5 2 2" xfId="31613"/>
    <cellStyle name="Normal 4 2 3 3 5 3" xfId="23388"/>
    <cellStyle name="Normal 4 2 3 3 5 4" xfId="39842"/>
    <cellStyle name="Normal 4 2 3 3 6" xfId="8583"/>
    <cellStyle name="Normal 4 2 3 3 6 2" xfId="25033"/>
    <cellStyle name="Normal 4 2 3 3 7" xfId="16807"/>
    <cellStyle name="Normal 4 2 3 3 8" xfId="33261"/>
    <cellStyle name="Normal 4 2 3 3 9" xfId="41488"/>
    <cellStyle name="Normal 4 2 3 4" xfId="543"/>
    <cellStyle name="Normal 4 2 3 4 2" xfId="2238"/>
    <cellStyle name="Normal 4 2 3 4 2 2" xfId="10463"/>
    <cellStyle name="Normal 4 2 3 4 2 2 2" xfId="26913"/>
    <cellStyle name="Normal 4 2 3 4 2 3" xfId="18688"/>
    <cellStyle name="Normal 4 2 3 4 2 4" xfId="35142"/>
    <cellStyle name="Normal 4 2 3 4 3" xfId="3883"/>
    <cellStyle name="Normal 4 2 3 4 3 2" xfId="12108"/>
    <cellStyle name="Normal 4 2 3 4 3 2 2" xfId="28558"/>
    <cellStyle name="Normal 4 2 3 4 3 3" xfId="20333"/>
    <cellStyle name="Normal 4 2 3 4 3 4" xfId="36787"/>
    <cellStyle name="Normal 4 2 3 4 4" xfId="5528"/>
    <cellStyle name="Normal 4 2 3 4 4 2" xfId="13753"/>
    <cellStyle name="Normal 4 2 3 4 4 2 2" xfId="30203"/>
    <cellStyle name="Normal 4 2 3 4 4 3" xfId="21978"/>
    <cellStyle name="Normal 4 2 3 4 4 4" xfId="38432"/>
    <cellStyle name="Normal 4 2 3 4 5" xfId="7173"/>
    <cellStyle name="Normal 4 2 3 4 5 2" xfId="15398"/>
    <cellStyle name="Normal 4 2 3 4 5 2 2" xfId="31848"/>
    <cellStyle name="Normal 4 2 3 4 5 3" xfId="23623"/>
    <cellStyle name="Normal 4 2 3 4 5 4" xfId="40077"/>
    <cellStyle name="Normal 4 2 3 4 6" xfId="8818"/>
    <cellStyle name="Normal 4 2 3 4 6 2" xfId="25268"/>
    <cellStyle name="Normal 4 2 3 4 7" xfId="17042"/>
    <cellStyle name="Normal 4 2 3 4 8" xfId="33496"/>
    <cellStyle name="Normal 4 2 3 4 9" xfId="41723"/>
    <cellStyle name="Normal 4 2 3 5" xfId="778"/>
    <cellStyle name="Normal 4 2 3 5 2" xfId="2473"/>
    <cellStyle name="Normal 4 2 3 5 2 2" xfId="10698"/>
    <cellStyle name="Normal 4 2 3 5 2 2 2" xfId="27148"/>
    <cellStyle name="Normal 4 2 3 5 2 3" xfId="18923"/>
    <cellStyle name="Normal 4 2 3 5 2 4" xfId="35377"/>
    <cellStyle name="Normal 4 2 3 5 3" xfId="4118"/>
    <cellStyle name="Normal 4 2 3 5 3 2" xfId="12343"/>
    <cellStyle name="Normal 4 2 3 5 3 2 2" xfId="28793"/>
    <cellStyle name="Normal 4 2 3 5 3 3" xfId="20568"/>
    <cellStyle name="Normal 4 2 3 5 3 4" xfId="37022"/>
    <cellStyle name="Normal 4 2 3 5 4" xfId="5763"/>
    <cellStyle name="Normal 4 2 3 5 4 2" xfId="13988"/>
    <cellStyle name="Normal 4 2 3 5 4 2 2" xfId="30438"/>
    <cellStyle name="Normal 4 2 3 5 4 3" xfId="22213"/>
    <cellStyle name="Normal 4 2 3 5 4 4" xfId="38667"/>
    <cellStyle name="Normal 4 2 3 5 5" xfId="7408"/>
    <cellStyle name="Normal 4 2 3 5 5 2" xfId="15633"/>
    <cellStyle name="Normal 4 2 3 5 5 2 2" xfId="32083"/>
    <cellStyle name="Normal 4 2 3 5 5 3" xfId="23858"/>
    <cellStyle name="Normal 4 2 3 5 5 4" xfId="40312"/>
    <cellStyle name="Normal 4 2 3 5 6" xfId="9053"/>
    <cellStyle name="Normal 4 2 3 5 6 2" xfId="25503"/>
    <cellStyle name="Normal 4 2 3 5 7" xfId="17277"/>
    <cellStyle name="Normal 4 2 3 5 8" xfId="33731"/>
    <cellStyle name="Normal 4 2 3 5 9" xfId="41958"/>
    <cellStyle name="Normal 4 2 3 6" xfId="1013"/>
    <cellStyle name="Normal 4 2 3 6 2" xfId="2708"/>
    <cellStyle name="Normal 4 2 3 6 2 2" xfId="10933"/>
    <cellStyle name="Normal 4 2 3 6 2 2 2" xfId="27383"/>
    <cellStyle name="Normal 4 2 3 6 2 3" xfId="19158"/>
    <cellStyle name="Normal 4 2 3 6 2 4" xfId="35612"/>
    <cellStyle name="Normal 4 2 3 6 3" xfId="4353"/>
    <cellStyle name="Normal 4 2 3 6 3 2" xfId="12578"/>
    <cellStyle name="Normal 4 2 3 6 3 2 2" xfId="29028"/>
    <cellStyle name="Normal 4 2 3 6 3 3" xfId="20803"/>
    <cellStyle name="Normal 4 2 3 6 3 4" xfId="37257"/>
    <cellStyle name="Normal 4 2 3 6 4" xfId="5998"/>
    <cellStyle name="Normal 4 2 3 6 4 2" xfId="14223"/>
    <cellStyle name="Normal 4 2 3 6 4 2 2" xfId="30673"/>
    <cellStyle name="Normal 4 2 3 6 4 3" xfId="22448"/>
    <cellStyle name="Normal 4 2 3 6 4 4" xfId="38902"/>
    <cellStyle name="Normal 4 2 3 6 5" xfId="7643"/>
    <cellStyle name="Normal 4 2 3 6 5 2" xfId="15868"/>
    <cellStyle name="Normal 4 2 3 6 5 2 2" xfId="32318"/>
    <cellStyle name="Normal 4 2 3 6 5 3" xfId="24093"/>
    <cellStyle name="Normal 4 2 3 6 5 4" xfId="40547"/>
    <cellStyle name="Normal 4 2 3 6 6" xfId="9288"/>
    <cellStyle name="Normal 4 2 3 6 6 2" xfId="25738"/>
    <cellStyle name="Normal 4 2 3 6 7" xfId="17512"/>
    <cellStyle name="Normal 4 2 3 6 8" xfId="33966"/>
    <cellStyle name="Normal 4 2 3 6 9" xfId="42193"/>
    <cellStyle name="Normal 4 2 3 7" xfId="1293"/>
    <cellStyle name="Normal 4 2 3 7 2" xfId="2943"/>
    <cellStyle name="Normal 4 2 3 7 2 2" xfId="11168"/>
    <cellStyle name="Normal 4 2 3 7 2 2 2" xfId="27618"/>
    <cellStyle name="Normal 4 2 3 7 2 3" xfId="19393"/>
    <cellStyle name="Normal 4 2 3 7 2 4" xfId="35847"/>
    <cellStyle name="Normal 4 2 3 7 3" xfId="4588"/>
    <cellStyle name="Normal 4 2 3 7 3 2" xfId="12813"/>
    <cellStyle name="Normal 4 2 3 7 3 2 2" xfId="29263"/>
    <cellStyle name="Normal 4 2 3 7 3 3" xfId="21038"/>
    <cellStyle name="Normal 4 2 3 7 3 4" xfId="37492"/>
    <cellStyle name="Normal 4 2 3 7 4" xfId="6233"/>
    <cellStyle name="Normal 4 2 3 7 4 2" xfId="14458"/>
    <cellStyle name="Normal 4 2 3 7 4 2 2" xfId="30908"/>
    <cellStyle name="Normal 4 2 3 7 4 3" xfId="22683"/>
    <cellStyle name="Normal 4 2 3 7 4 4" xfId="39137"/>
    <cellStyle name="Normal 4 2 3 7 5" xfId="7878"/>
    <cellStyle name="Normal 4 2 3 7 5 2" xfId="16103"/>
    <cellStyle name="Normal 4 2 3 7 5 2 2" xfId="32553"/>
    <cellStyle name="Normal 4 2 3 7 5 3" xfId="24328"/>
    <cellStyle name="Normal 4 2 3 7 5 4" xfId="40782"/>
    <cellStyle name="Normal 4 2 3 7 6" xfId="9523"/>
    <cellStyle name="Normal 4 2 3 7 6 2" xfId="25973"/>
    <cellStyle name="Normal 4 2 3 7 7" xfId="17747"/>
    <cellStyle name="Normal 4 2 3 7 8" xfId="34201"/>
    <cellStyle name="Normal 4 2 3 8" xfId="1528"/>
    <cellStyle name="Normal 4 2 3 8 2" xfId="3178"/>
    <cellStyle name="Normal 4 2 3 8 2 2" xfId="11403"/>
    <cellStyle name="Normal 4 2 3 8 2 2 2" xfId="27853"/>
    <cellStyle name="Normal 4 2 3 8 2 3" xfId="19628"/>
    <cellStyle name="Normal 4 2 3 8 2 4" xfId="36082"/>
    <cellStyle name="Normal 4 2 3 8 3" xfId="4823"/>
    <cellStyle name="Normal 4 2 3 8 3 2" xfId="13048"/>
    <cellStyle name="Normal 4 2 3 8 3 2 2" xfId="29498"/>
    <cellStyle name="Normal 4 2 3 8 3 3" xfId="21273"/>
    <cellStyle name="Normal 4 2 3 8 3 4" xfId="37727"/>
    <cellStyle name="Normal 4 2 3 8 4" xfId="6468"/>
    <cellStyle name="Normal 4 2 3 8 4 2" xfId="14693"/>
    <cellStyle name="Normal 4 2 3 8 4 2 2" xfId="31143"/>
    <cellStyle name="Normal 4 2 3 8 4 3" xfId="22918"/>
    <cellStyle name="Normal 4 2 3 8 4 4" xfId="39372"/>
    <cellStyle name="Normal 4 2 3 8 5" xfId="8113"/>
    <cellStyle name="Normal 4 2 3 8 5 2" xfId="16338"/>
    <cellStyle name="Normal 4 2 3 8 5 2 2" xfId="32788"/>
    <cellStyle name="Normal 4 2 3 8 5 3" xfId="24563"/>
    <cellStyle name="Normal 4 2 3 8 5 4" xfId="41017"/>
    <cellStyle name="Normal 4 2 3 8 6" xfId="9758"/>
    <cellStyle name="Normal 4 2 3 8 6 2" xfId="26208"/>
    <cellStyle name="Normal 4 2 3 8 7" xfId="17982"/>
    <cellStyle name="Normal 4 2 3 8 8" xfId="34436"/>
    <cellStyle name="Normal 4 2 3 9" xfId="1763"/>
    <cellStyle name="Normal 4 2 3 9 2" xfId="9993"/>
    <cellStyle name="Normal 4 2 3 9 2 2" xfId="26443"/>
    <cellStyle name="Normal 4 2 3 9 3" xfId="18217"/>
    <cellStyle name="Normal 4 2 3 9 4" xfId="34671"/>
    <cellStyle name="Normal 4 2 4" xfId="84"/>
    <cellStyle name="Normal 4 2 4 10" xfId="5083"/>
    <cellStyle name="Normal 4 2 4 10 2" xfId="13308"/>
    <cellStyle name="Normal 4 2 4 10 2 2" xfId="29758"/>
    <cellStyle name="Normal 4 2 4 10 3" xfId="21533"/>
    <cellStyle name="Normal 4 2 4 10 4" xfId="37987"/>
    <cellStyle name="Normal 4 2 4 11" xfId="6728"/>
    <cellStyle name="Normal 4 2 4 11 2" xfId="14953"/>
    <cellStyle name="Normal 4 2 4 11 2 2" xfId="31403"/>
    <cellStyle name="Normal 4 2 4 11 3" xfId="23178"/>
    <cellStyle name="Normal 4 2 4 11 4" xfId="39632"/>
    <cellStyle name="Normal 4 2 4 12" xfId="8373"/>
    <cellStyle name="Normal 4 2 4 12 2" xfId="24823"/>
    <cellStyle name="Normal 4 2 4 13" xfId="16597"/>
    <cellStyle name="Normal 4 2 4 14" xfId="33050"/>
    <cellStyle name="Normal 4 2 4 15" xfId="41278"/>
    <cellStyle name="Normal 4 2 4 2" xfId="327"/>
    <cellStyle name="Normal 4 2 4 2 2" xfId="2026"/>
    <cellStyle name="Normal 4 2 4 2 2 2" xfId="10253"/>
    <cellStyle name="Normal 4 2 4 2 2 2 2" xfId="26703"/>
    <cellStyle name="Normal 4 2 4 2 2 3" xfId="18478"/>
    <cellStyle name="Normal 4 2 4 2 2 4" xfId="34932"/>
    <cellStyle name="Normal 4 2 4 2 3" xfId="3673"/>
    <cellStyle name="Normal 4 2 4 2 3 2" xfId="11898"/>
    <cellStyle name="Normal 4 2 4 2 3 2 2" xfId="28348"/>
    <cellStyle name="Normal 4 2 4 2 3 3" xfId="20123"/>
    <cellStyle name="Normal 4 2 4 2 3 4" xfId="36577"/>
    <cellStyle name="Normal 4 2 4 2 4" xfId="5318"/>
    <cellStyle name="Normal 4 2 4 2 4 2" xfId="13543"/>
    <cellStyle name="Normal 4 2 4 2 4 2 2" xfId="29993"/>
    <cellStyle name="Normal 4 2 4 2 4 3" xfId="21768"/>
    <cellStyle name="Normal 4 2 4 2 4 4" xfId="38222"/>
    <cellStyle name="Normal 4 2 4 2 5" xfId="6963"/>
    <cellStyle name="Normal 4 2 4 2 5 2" xfId="15188"/>
    <cellStyle name="Normal 4 2 4 2 5 2 2" xfId="31638"/>
    <cellStyle name="Normal 4 2 4 2 5 3" xfId="23413"/>
    <cellStyle name="Normal 4 2 4 2 5 4" xfId="39867"/>
    <cellStyle name="Normal 4 2 4 2 6" xfId="8608"/>
    <cellStyle name="Normal 4 2 4 2 6 2" xfId="25058"/>
    <cellStyle name="Normal 4 2 4 2 7" xfId="16832"/>
    <cellStyle name="Normal 4 2 4 2 8" xfId="33286"/>
    <cellStyle name="Normal 4 2 4 2 9" xfId="41513"/>
    <cellStyle name="Normal 4 2 4 3" xfId="568"/>
    <cellStyle name="Normal 4 2 4 3 2" xfId="2263"/>
    <cellStyle name="Normal 4 2 4 3 2 2" xfId="10488"/>
    <cellStyle name="Normal 4 2 4 3 2 2 2" xfId="26938"/>
    <cellStyle name="Normal 4 2 4 3 2 3" xfId="18713"/>
    <cellStyle name="Normal 4 2 4 3 2 4" xfId="35167"/>
    <cellStyle name="Normal 4 2 4 3 3" xfId="3908"/>
    <cellStyle name="Normal 4 2 4 3 3 2" xfId="12133"/>
    <cellStyle name="Normal 4 2 4 3 3 2 2" xfId="28583"/>
    <cellStyle name="Normal 4 2 4 3 3 3" xfId="20358"/>
    <cellStyle name="Normal 4 2 4 3 3 4" xfId="36812"/>
    <cellStyle name="Normal 4 2 4 3 4" xfId="5553"/>
    <cellStyle name="Normal 4 2 4 3 4 2" xfId="13778"/>
    <cellStyle name="Normal 4 2 4 3 4 2 2" xfId="30228"/>
    <cellStyle name="Normal 4 2 4 3 4 3" xfId="22003"/>
    <cellStyle name="Normal 4 2 4 3 4 4" xfId="38457"/>
    <cellStyle name="Normal 4 2 4 3 5" xfId="7198"/>
    <cellStyle name="Normal 4 2 4 3 5 2" xfId="15423"/>
    <cellStyle name="Normal 4 2 4 3 5 2 2" xfId="31873"/>
    <cellStyle name="Normal 4 2 4 3 5 3" xfId="23648"/>
    <cellStyle name="Normal 4 2 4 3 5 4" xfId="40102"/>
    <cellStyle name="Normal 4 2 4 3 6" xfId="8843"/>
    <cellStyle name="Normal 4 2 4 3 6 2" xfId="25293"/>
    <cellStyle name="Normal 4 2 4 3 7" xfId="17067"/>
    <cellStyle name="Normal 4 2 4 3 8" xfId="33521"/>
    <cellStyle name="Normal 4 2 4 3 9" xfId="41748"/>
    <cellStyle name="Normal 4 2 4 4" xfId="803"/>
    <cellStyle name="Normal 4 2 4 4 2" xfId="2498"/>
    <cellStyle name="Normal 4 2 4 4 2 2" xfId="10723"/>
    <cellStyle name="Normal 4 2 4 4 2 2 2" xfId="27173"/>
    <cellStyle name="Normal 4 2 4 4 2 3" xfId="18948"/>
    <cellStyle name="Normal 4 2 4 4 2 4" xfId="35402"/>
    <cellStyle name="Normal 4 2 4 4 3" xfId="4143"/>
    <cellStyle name="Normal 4 2 4 4 3 2" xfId="12368"/>
    <cellStyle name="Normal 4 2 4 4 3 2 2" xfId="28818"/>
    <cellStyle name="Normal 4 2 4 4 3 3" xfId="20593"/>
    <cellStyle name="Normal 4 2 4 4 3 4" xfId="37047"/>
    <cellStyle name="Normal 4 2 4 4 4" xfId="5788"/>
    <cellStyle name="Normal 4 2 4 4 4 2" xfId="14013"/>
    <cellStyle name="Normal 4 2 4 4 4 2 2" xfId="30463"/>
    <cellStyle name="Normal 4 2 4 4 4 3" xfId="22238"/>
    <cellStyle name="Normal 4 2 4 4 4 4" xfId="38692"/>
    <cellStyle name="Normal 4 2 4 4 5" xfId="7433"/>
    <cellStyle name="Normal 4 2 4 4 5 2" xfId="15658"/>
    <cellStyle name="Normal 4 2 4 4 5 2 2" xfId="32108"/>
    <cellStyle name="Normal 4 2 4 4 5 3" xfId="23883"/>
    <cellStyle name="Normal 4 2 4 4 5 4" xfId="40337"/>
    <cellStyle name="Normal 4 2 4 4 6" xfId="9078"/>
    <cellStyle name="Normal 4 2 4 4 6 2" xfId="25528"/>
    <cellStyle name="Normal 4 2 4 4 7" xfId="17302"/>
    <cellStyle name="Normal 4 2 4 4 8" xfId="33756"/>
    <cellStyle name="Normal 4 2 4 4 9" xfId="41983"/>
    <cellStyle name="Normal 4 2 4 5" xfId="1038"/>
    <cellStyle name="Normal 4 2 4 5 2" xfId="2733"/>
    <cellStyle name="Normal 4 2 4 5 2 2" xfId="10958"/>
    <cellStyle name="Normal 4 2 4 5 2 2 2" xfId="27408"/>
    <cellStyle name="Normal 4 2 4 5 2 3" xfId="19183"/>
    <cellStyle name="Normal 4 2 4 5 2 4" xfId="35637"/>
    <cellStyle name="Normal 4 2 4 5 3" xfId="4378"/>
    <cellStyle name="Normal 4 2 4 5 3 2" xfId="12603"/>
    <cellStyle name="Normal 4 2 4 5 3 2 2" xfId="29053"/>
    <cellStyle name="Normal 4 2 4 5 3 3" xfId="20828"/>
    <cellStyle name="Normal 4 2 4 5 3 4" xfId="37282"/>
    <cellStyle name="Normal 4 2 4 5 4" xfId="6023"/>
    <cellStyle name="Normal 4 2 4 5 4 2" xfId="14248"/>
    <cellStyle name="Normal 4 2 4 5 4 2 2" xfId="30698"/>
    <cellStyle name="Normal 4 2 4 5 4 3" xfId="22473"/>
    <cellStyle name="Normal 4 2 4 5 4 4" xfId="38927"/>
    <cellStyle name="Normal 4 2 4 5 5" xfId="7668"/>
    <cellStyle name="Normal 4 2 4 5 5 2" xfId="15893"/>
    <cellStyle name="Normal 4 2 4 5 5 2 2" xfId="32343"/>
    <cellStyle name="Normal 4 2 4 5 5 3" xfId="24118"/>
    <cellStyle name="Normal 4 2 4 5 5 4" xfId="40572"/>
    <cellStyle name="Normal 4 2 4 5 6" xfId="9313"/>
    <cellStyle name="Normal 4 2 4 5 6 2" xfId="25763"/>
    <cellStyle name="Normal 4 2 4 5 7" xfId="17537"/>
    <cellStyle name="Normal 4 2 4 5 8" xfId="33991"/>
    <cellStyle name="Normal 4 2 4 5 9" xfId="42218"/>
    <cellStyle name="Normal 4 2 4 6" xfId="1318"/>
    <cellStyle name="Normal 4 2 4 6 2" xfId="2968"/>
    <cellStyle name="Normal 4 2 4 6 2 2" xfId="11193"/>
    <cellStyle name="Normal 4 2 4 6 2 2 2" xfId="27643"/>
    <cellStyle name="Normal 4 2 4 6 2 3" xfId="19418"/>
    <cellStyle name="Normal 4 2 4 6 2 4" xfId="35872"/>
    <cellStyle name="Normal 4 2 4 6 3" xfId="4613"/>
    <cellStyle name="Normal 4 2 4 6 3 2" xfId="12838"/>
    <cellStyle name="Normal 4 2 4 6 3 2 2" xfId="29288"/>
    <cellStyle name="Normal 4 2 4 6 3 3" xfId="21063"/>
    <cellStyle name="Normal 4 2 4 6 3 4" xfId="37517"/>
    <cellStyle name="Normal 4 2 4 6 4" xfId="6258"/>
    <cellStyle name="Normal 4 2 4 6 4 2" xfId="14483"/>
    <cellStyle name="Normal 4 2 4 6 4 2 2" xfId="30933"/>
    <cellStyle name="Normal 4 2 4 6 4 3" xfId="22708"/>
    <cellStyle name="Normal 4 2 4 6 4 4" xfId="39162"/>
    <cellStyle name="Normal 4 2 4 6 5" xfId="7903"/>
    <cellStyle name="Normal 4 2 4 6 5 2" xfId="16128"/>
    <cellStyle name="Normal 4 2 4 6 5 2 2" xfId="32578"/>
    <cellStyle name="Normal 4 2 4 6 5 3" xfId="24353"/>
    <cellStyle name="Normal 4 2 4 6 5 4" xfId="40807"/>
    <cellStyle name="Normal 4 2 4 6 6" xfId="9548"/>
    <cellStyle name="Normal 4 2 4 6 6 2" xfId="25998"/>
    <cellStyle name="Normal 4 2 4 6 7" xfId="17772"/>
    <cellStyle name="Normal 4 2 4 6 8" xfId="34226"/>
    <cellStyle name="Normal 4 2 4 7" xfId="1553"/>
    <cellStyle name="Normal 4 2 4 7 2" xfId="3203"/>
    <cellStyle name="Normal 4 2 4 7 2 2" xfId="11428"/>
    <cellStyle name="Normal 4 2 4 7 2 2 2" xfId="27878"/>
    <cellStyle name="Normal 4 2 4 7 2 3" xfId="19653"/>
    <cellStyle name="Normal 4 2 4 7 2 4" xfId="36107"/>
    <cellStyle name="Normal 4 2 4 7 3" xfId="4848"/>
    <cellStyle name="Normal 4 2 4 7 3 2" xfId="13073"/>
    <cellStyle name="Normal 4 2 4 7 3 2 2" xfId="29523"/>
    <cellStyle name="Normal 4 2 4 7 3 3" xfId="21298"/>
    <cellStyle name="Normal 4 2 4 7 3 4" xfId="37752"/>
    <cellStyle name="Normal 4 2 4 7 4" xfId="6493"/>
    <cellStyle name="Normal 4 2 4 7 4 2" xfId="14718"/>
    <cellStyle name="Normal 4 2 4 7 4 2 2" xfId="31168"/>
    <cellStyle name="Normal 4 2 4 7 4 3" xfId="22943"/>
    <cellStyle name="Normal 4 2 4 7 4 4" xfId="39397"/>
    <cellStyle name="Normal 4 2 4 7 5" xfId="8138"/>
    <cellStyle name="Normal 4 2 4 7 5 2" xfId="16363"/>
    <cellStyle name="Normal 4 2 4 7 5 2 2" xfId="32813"/>
    <cellStyle name="Normal 4 2 4 7 5 3" xfId="24588"/>
    <cellStyle name="Normal 4 2 4 7 5 4" xfId="41042"/>
    <cellStyle name="Normal 4 2 4 7 6" xfId="9783"/>
    <cellStyle name="Normal 4 2 4 7 6 2" xfId="26233"/>
    <cellStyle name="Normal 4 2 4 7 7" xfId="18007"/>
    <cellStyle name="Normal 4 2 4 7 8" xfId="34461"/>
    <cellStyle name="Normal 4 2 4 8" xfId="1788"/>
    <cellStyle name="Normal 4 2 4 8 2" xfId="10018"/>
    <cellStyle name="Normal 4 2 4 8 2 2" xfId="26468"/>
    <cellStyle name="Normal 4 2 4 8 3" xfId="18242"/>
    <cellStyle name="Normal 4 2 4 8 4" xfId="34696"/>
    <cellStyle name="Normal 4 2 4 9" xfId="3438"/>
    <cellStyle name="Normal 4 2 4 9 2" xfId="11663"/>
    <cellStyle name="Normal 4 2 4 9 2 2" xfId="28113"/>
    <cellStyle name="Normal 4 2 4 9 3" xfId="19888"/>
    <cellStyle name="Normal 4 2 4 9 4" xfId="36342"/>
    <cellStyle name="Normal 4 2 5" xfId="134"/>
    <cellStyle name="Normal 4 2 5 10" xfId="5133"/>
    <cellStyle name="Normal 4 2 5 10 2" xfId="13358"/>
    <cellStyle name="Normal 4 2 5 10 2 2" xfId="29808"/>
    <cellStyle name="Normal 4 2 5 10 3" xfId="21583"/>
    <cellStyle name="Normal 4 2 5 10 4" xfId="38037"/>
    <cellStyle name="Normal 4 2 5 11" xfId="6778"/>
    <cellStyle name="Normal 4 2 5 11 2" xfId="15003"/>
    <cellStyle name="Normal 4 2 5 11 2 2" xfId="31453"/>
    <cellStyle name="Normal 4 2 5 11 3" xfId="23228"/>
    <cellStyle name="Normal 4 2 5 11 4" xfId="39682"/>
    <cellStyle name="Normal 4 2 5 12" xfId="8423"/>
    <cellStyle name="Normal 4 2 5 12 2" xfId="24873"/>
    <cellStyle name="Normal 4 2 5 13" xfId="16647"/>
    <cellStyle name="Normal 4 2 5 14" xfId="33100"/>
    <cellStyle name="Normal 4 2 5 15" xfId="41328"/>
    <cellStyle name="Normal 4 2 5 2" xfId="377"/>
    <cellStyle name="Normal 4 2 5 2 2" xfId="2076"/>
    <cellStyle name="Normal 4 2 5 2 2 2" xfId="10303"/>
    <cellStyle name="Normal 4 2 5 2 2 2 2" xfId="26753"/>
    <cellStyle name="Normal 4 2 5 2 2 3" xfId="18528"/>
    <cellStyle name="Normal 4 2 5 2 2 4" xfId="34982"/>
    <cellStyle name="Normal 4 2 5 2 3" xfId="3723"/>
    <cellStyle name="Normal 4 2 5 2 3 2" xfId="11948"/>
    <cellStyle name="Normal 4 2 5 2 3 2 2" xfId="28398"/>
    <cellStyle name="Normal 4 2 5 2 3 3" xfId="20173"/>
    <cellStyle name="Normal 4 2 5 2 3 4" xfId="36627"/>
    <cellStyle name="Normal 4 2 5 2 4" xfId="5368"/>
    <cellStyle name="Normal 4 2 5 2 4 2" xfId="13593"/>
    <cellStyle name="Normal 4 2 5 2 4 2 2" xfId="30043"/>
    <cellStyle name="Normal 4 2 5 2 4 3" xfId="21818"/>
    <cellStyle name="Normal 4 2 5 2 4 4" xfId="38272"/>
    <cellStyle name="Normal 4 2 5 2 5" xfId="7013"/>
    <cellStyle name="Normal 4 2 5 2 5 2" xfId="15238"/>
    <cellStyle name="Normal 4 2 5 2 5 2 2" xfId="31688"/>
    <cellStyle name="Normal 4 2 5 2 5 3" xfId="23463"/>
    <cellStyle name="Normal 4 2 5 2 5 4" xfId="39917"/>
    <cellStyle name="Normal 4 2 5 2 6" xfId="8658"/>
    <cellStyle name="Normal 4 2 5 2 6 2" xfId="25108"/>
    <cellStyle name="Normal 4 2 5 2 7" xfId="16882"/>
    <cellStyle name="Normal 4 2 5 2 8" xfId="33336"/>
    <cellStyle name="Normal 4 2 5 2 9" xfId="41563"/>
    <cellStyle name="Normal 4 2 5 3" xfId="618"/>
    <cellStyle name="Normal 4 2 5 3 2" xfId="2313"/>
    <cellStyle name="Normal 4 2 5 3 2 2" xfId="10538"/>
    <cellStyle name="Normal 4 2 5 3 2 2 2" xfId="26988"/>
    <cellStyle name="Normal 4 2 5 3 2 3" xfId="18763"/>
    <cellStyle name="Normal 4 2 5 3 2 4" xfId="35217"/>
    <cellStyle name="Normal 4 2 5 3 3" xfId="3958"/>
    <cellStyle name="Normal 4 2 5 3 3 2" xfId="12183"/>
    <cellStyle name="Normal 4 2 5 3 3 2 2" xfId="28633"/>
    <cellStyle name="Normal 4 2 5 3 3 3" xfId="20408"/>
    <cellStyle name="Normal 4 2 5 3 3 4" xfId="36862"/>
    <cellStyle name="Normal 4 2 5 3 4" xfId="5603"/>
    <cellStyle name="Normal 4 2 5 3 4 2" xfId="13828"/>
    <cellStyle name="Normal 4 2 5 3 4 2 2" xfId="30278"/>
    <cellStyle name="Normal 4 2 5 3 4 3" xfId="22053"/>
    <cellStyle name="Normal 4 2 5 3 4 4" xfId="38507"/>
    <cellStyle name="Normal 4 2 5 3 5" xfId="7248"/>
    <cellStyle name="Normal 4 2 5 3 5 2" xfId="15473"/>
    <cellStyle name="Normal 4 2 5 3 5 2 2" xfId="31923"/>
    <cellStyle name="Normal 4 2 5 3 5 3" xfId="23698"/>
    <cellStyle name="Normal 4 2 5 3 5 4" xfId="40152"/>
    <cellStyle name="Normal 4 2 5 3 6" xfId="8893"/>
    <cellStyle name="Normal 4 2 5 3 6 2" xfId="25343"/>
    <cellStyle name="Normal 4 2 5 3 7" xfId="17117"/>
    <cellStyle name="Normal 4 2 5 3 8" xfId="33571"/>
    <cellStyle name="Normal 4 2 5 3 9" xfId="41798"/>
    <cellStyle name="Normal 4 2 5 4" xfId="853"/>
    <cellStyle name="Normal 4 2 5 4 2" xfId="2548"/>
    <cellStyle name="Normal 4 2 5 4 2 2" xfId="10773"/>
    <cellStyle name="Normal 4 2 5 4 2 2 2" xfId="27223"/>
    <cellStyle name="Normal 4 2 5 4 2 3" xfId="18998"/>
    <cellStyle name="Normal 4 2 5 4 2 4" xfId="35452"/>
    <cellStyle name="Normal 4 2 5 4 3" xfId="4193"/>
    <cellStyle name="Normal 4 2 5 4 3 2" xfId="12418"/>
    <cellStyle name="Normal 4 2 5 4 3 2 2" xfId="28868"/>
    <cellStyle name="Normal 4 2 5 4 3 3" xfId="20643"/>
    <cellStyle name="Normal 4 2 5 4 3 4" xfId="37097"/>
    <cellStyle name="Normal 4 2 5 4 4" xfId="5838"/>
    <cellStyle name="Normal 4 2 5 4 4 2" xfId="14063"/>
    <cellStyle name="Normal 4 2 5 4 4 2 2" xfId="30513"/>
    <cellStyle name="Normal 4 2 5 4 4 3" xfId="22288"/>
    <cellStyle name="Normal 4 2 5 4 4 4" xfId="38742"/>
    <cellStyle name="Normal 4 2 5 4 5" xfId="7483"/>
    <cellStyle name="Normal 4 2 5 4 5 2" xfId="15708"/>
    <cellStyle name="Normal 4 2 5 4 5 2 2" xfId="32158"/>
    <cellStyle name="Normal 4 2 5 4 5 3" xfId="23933"/>
    <cellStyle name="Normal 4 2 5 4 5 4" xfId="40387"/>
    <cellStyle name="Normal 4 2 5 4 6" xfId="9128"/>
    <cellStyle name="Normal 4 2 5 4 6 2" xfId="25578"/>
    <cellStyle name="Normal 4 2 5 4 7" xfId="17352"/>
    <cellStyle name="Normal 4 2 5 4 8" xfId="33806"/>
    <cellStyle name="Normal 4 2 5 4 9" xfId="42033"/>
    <cellStyle name="Normal 4 2 5 5" xfId="1088"/>
    <cellStyle name="Normal 4 2 5 5 2" xfId="2783"/>
    <cellStyle name="Normal 4 2 5 5 2 2" xfId="11008"/>
    <cellStyle name="Normal 4 2 5 5 2 2 2" xfId="27458"/>
    <cellStyle name="Normal 4 2 5 5 2 3" xfId="19233"/>
    <cellStyle name="Normal 4 2 5 5 2 4" xfId="35687"/>
    <cellStyle name="Normal 4 2 5 5 3" xfId="4428"/>
    <cellStyle name="Normal 4 2 5 5 3 2" xfId="12653"/>
    <cellStyle name="Normal 4 2 5 5 3 2 2" xfId="29103"/>
    <cellStyle name="Normal 4 2 5 5 3 3" xfId="20878"/>
    <cellStyle name="Normal 4 2 5 5 3 4" xfId="37332"/>
    <cellStyle name="Normal 4 2 5 5 4" xfId="6073"/>
    <cellStyle name="Normal 4 2 5 5 4 2" xfId="14298"/>
    <cellStyle name="Normal 4 2 5 5 4 2 2" xfId="30748"/>
    <cellStyle name="Normal 4 2 5 5 4 3" xfId="22523"/>
    <cellStyle name="Normal 4 2 5 5 4 4" xfId="38977"/>
    <cellStyle name="Normal 4 2 5 5 5" xfId="7718"/>
    <cellStyle name="Normal 4 2 5 5 5 2" xfId="15943"/>
    <cellStyle name="Normal 4 2 5 5 5 2 2" xfId="32393"/>
    <cellStyle name="Normal 4 2 5 5 5 3" xfId="24168"/>
    <cellStyle name="Normal 4 2 5 5 5 4" xfId="40622"/>
    <cellStyle name="Normal 4 2 5 5 6" xfId="9363"/>
    <cellStyle name="Normal 4 2 5 5 6 2" xfId="25813"/>
    <cellStyle name="Normal 4 2 5 5 7" xfId="17587"/>
    <cellStyle name="Normal 4 2 5 5 8" xfId="34041"/>
    <cellStyle name="Normal 4 2 5 5 9" xfId="42268"/>
    <cellStyle name="Normal 4 2 5 6" xfId="1368"/>
    <cellStyle name="Normal 4 2 5 6 2" xfId="3018"/>
    <cellStyle name="Normal 4 2 5 6 2 2" xfId="11243"/>
    <cellStyle name="Normal 4 2 5 6 2 2 2" xfId="27693"/>
    <cellStyle name="Normal 4 2 5 6 2 3" xfId="19468"/>
    <cellStyle name="Normal 4 2 5 6 2 4" xfId="35922"/>
    <cellStyle name="Normal 4 2 5 6 3" xfId="4663"/>
    <cellStyle name="Normal 4 2 5 6 3 2" xfId="12888"/>
    <cellStyle name="Normal 4 2 5 6 3 2 2" xfId="29338"/>
    <cellStyle name="Normal 4 2 5 6 3 3" xfId="21113"/>
    <cellStyle name="Normal 4 2 5 6 3 4" xfId="37567"/>
    <cellStyle name="Normal 4 2 5 6 4" xfId="6308"/>
    <cellStyle name="Normal 4 2 5 6 4 2" xfId="14533"/>
    <cellStyle name="Normal 4 2 5 6 4 2 2" xfId="30983"/>
    <cellStyle name="Normal 4 2 5 6 4 3" xfId="22758"/>
    <cellStyle name="Normal 4 2 5 6 4 4" xfId="39212"/>
    <cellStyle name="Normal 4 2 5 6 5" xfId="7953"/>
    <cellStyle name="Normal 4 2 5 6 5 2" xfId="16178"/>
    <cellStyle name="Normal 4 2 5 6 5 2 2" xfId="32628"/>
    <cellStyle name="Normal 4 2 5 6 5 3" xfId="24403"/>
    <cellStyle name="Normal 4 2 5 6 5 4" xfId="40857"/>
    <cellStyle name="Normal 4 2 5 6 6" xfId="9598"/>
    <cellStyle name="Normal 4 2 5 6 6 2" xfId="26048"/>
    <cellStyle name="Normal 4 2 5 6 7" xfId="17822"/>
    <cellStyle name="Normal 4 2 5 6 8" xfId="34276"/>
    <cellStyle name="Normal 4 2 5 7" xfId="1603"/>
    <cellStyle name="Normal 4 2 5 7 2" xfId="3253"/>
    <cellStyle name="Normal 4 2 5 7 2 2" xfId="11478"/>
    <cellStyle name="Normal 4 2 5 7 2 2 2" xfId="27928"/>
    <cellStyle name="Normal 4 2 5 7 2 3" xfId="19703"/>
    <cellStyle name="Normal 4 2 5 7 2 4" xfId="36157"/>
    <cellStyle name="Normal 4 2 5 7 3" xfId="4898"/>
    <cellStyle name="Normal 4 2 5 7 3 2" xfId="13123"/>
    <cellStyle name="Normal 4 2 5 7 3 2 2" xfId="29573"/>
    <cellStyle name="Normal 4 2 5 7 3 3" xfId="21348"/>
    <cellStyle name="Normal 4 2 5 7 3 4" xfId="37802"/>
    <cellStyle name="Normal 4 2 5 7 4" xfId="6543"/>
    <cellStyle name="Normal 4 2 5 7 4 2" xfId="14768"/>
    <cellStyle name="Normal 4 2 5 7 4 2 2" xfId="31218"/>
    <cellStyle name="Normal 4 2 5 7 4 3" xfId="22993"/>
    <cellStyle name="Normal 4 2 5 7 4 4" xfId="39447"/>
    <cellStyle name="Normal 4 2 5 7 5" xfId="8188"/>
    <cellStyle name="Normal 4 2 5 7 5 2" xfId="16413"/>
    <cellStyle name="Normal 4 2 5 7 5 2 2" xfId="32863"/>
    <cellStyle name="Normal 4 2 5 7 5 3" xfId="24638"/>
    <cellStyle name="Normal 4 2 5 7 5 4" xfId="41092"/>
    <cellStyle name="Normal 4 2 5 7 6" xfId="9833"/>
    <cellStyle name="Normal 4 2 5 7 6 2" xfId="26283"/>
    <cellStyle name="Normal 4 2 5 7 7" xfId="18057"/>
    <cellStyle name="Normal 4 2 5 7 8" xfId="34511"/>
    <cellStyle name="Normal 4 2 5 8" xfId="1838"/>
    <cellStyle name="Normal 4 2 5 8 2" xfId="10068"/>
    <cellStyle name="Normal 4 2 5 8 2 2" xfId="26518"/>
    <cellStyle name="Normal 4 2 5 8 3" xfId="18292"/>
    <cellStyle name="Normal 4 2 5 8 4" xfId="34746"/>
    <cellStyle name="Normal 4 2 5 9" xfId="3488"/>
    <cellStyle name="Normal 4 2 5 9 2" xfId="11713"/>
    <cellStyle name="Normal 4 2 5 9 2 2" xfId="28163"/>
    <cellStyle name="Normal 4 2 5 9 3" xfId="19938"/>
    <cellStyle name="Normal 4 2 5 9 4" xfId="36392"/>
    <cellStyle name="Normal 4 2 6" xfId="161"/>
    <cellStyle name="Normal 4 2 6 10" xfId="5160"/>
    <cellStyle name="Normal 4 2 6 10 2" xfId="13385"/>
    <cellStyle name="Normal 4 2 6 10 2 2" xfId="29835"/>
    <cellStyle name="Normal 4 2 6 10 3" xfId="21610"/>
    <cellStyle name="Normal 4 2 6 10 4" xfId="38064"/>
    <cellStyle name="Normal 4 2 6 11" xfId="6805"/>
    <cellStyle name="Normal 4 2 6 11 2" xfId="15030"/>
    <cellStyle name="Normal 4 2 6 11 2 2" xfId="31480"/>
    <cellStyle name="Normal 4 2 6 11 3" xfId="23255"/>
    <cellStyle name="Normal 4 2 6 11 4" xfId="39709"/>
    <cellStyle name="Normal 4 2 6 12" xfId="8450"/>
    <cellStyle name="Normal 4 2 6 12 2" xfId="24900"/>
    <cellStyle name="Normal 4 2 6 13" xfId="16674"/>
    <cellStyle name="Normal 4 2 6 14" xfId="33127"/>
    <cellStyle name="Normal 4 2 6 15" xfId="41355"/>
    <cellStyle name="Normal 4 2 6 2" xfId="404"/>
    <cellStyle name="Normal 4 2 6 2 2" xfId="2103"/>
    <cellStyle name="Normal 4 2 6 2 2 2" xfId="10330"/>
    <cellStyle name="Normal 4 2 6 2 2 2 2" xfId="26780"/>
    <cellStyle name="Normal 4 2 6 2 2 3" xfId="18555"/>
    <cellStyle name="Normal 4 2 6 2 2 4" xfId="35009"/>
    <cellStyle name="Normal 4 2 6 2 3" xfId="3750"/>
    <cellStyle name="Normal 4 2 6 2 3 2" xfId="11975"/>
    <cellStyle name="Normal 4 2 6 2 3 2 2" xfId="28425"/>
    <cellStyle name="Normal 4 2 6 2 3 3" xfId="20200"/>
    <cellStyle name="Normal 4 2 6 2 3 4" xfId="36654"/>
    <cellStyle name="Normal 4 2 6 2 4" xfId="5395"/>
    <cellStyle name="Normal 4 2 6 2 4 2" xfId="13620"/>
    <cellStyle name="Normal 4 2 6 2 4 2 2" xfId="30070"/>
    <cellStyle name="Normal 4 2 6 2 4 3" xfId="21845"/>
    <cellStyle name="Normal 4 2 6 2 4 4" xfId="38299"/>
    <cellStyle name="Normal 4 2 6 2 5" xfId="7040"/>
    <cellStyle name="Normal 4 2 6 2 5 2" xfId="15265"/>
    <cellStyle name="Normal 4 2 6 2 5 2 2" xfId="31715"/>
    <cellStyle name="Normal 4 2 6 2 5 3" xfId="23490"/>
    <cellStyle name="Normal 4 2 6 2 5 4" xfId="39944"/>
    <cellStyle name="Normal 4 2 6 2 6" xfId="8685"/>
    <cellStyle name="Normal 4 2 6 2 6 2" xfId="25135"/>
    <cellStyle name="Normal 4 2 6 2 7" xfId="16909"/>
    <cellStyle name="Normal 4 2 6 2 8" xfId="33363"/>
    <cellStyle name="Normal 4 2 6 2 9" xfId="41590"/>
    <cellStyle name="Normal 4 2 6 3" xfId="645"/>
    <cellStyle name="Normal 4 2 6 3 2" xfId="2340"/>
    <cellStyle name="Normal 4 2 6 3 2 2" xfId="10565"/>
    <cellStyle name="Normal 4 2 6 3 2 2 2" xfId="27015"/>
    <cellStyle name="Normal 4 2 6 3 2 3" xfId="18790"/>
    <cellStyle name="Normal 4 2 6 3 2 4" xfId="35244"/>
    <cellStyle name="Normal 4 2 6 3 3" xfId="3985"/>
    <cellStyle name="Normal 4 2 6 3 3 2" xfId="12210"/>
    <cellStyle name="Normal 4 2 6 3 3 2 2" xfId="28660"/>
    <cellStyle name="Normal 4 2 6 3 3 3" xfId="20435"/>
    <cellStyle name="Normal 4 2 6 3 3 4" xfId="36889"/>
    <cellStyle name="Normal 4 2 6 3 4" xfId="5630"/>
    <cellStyle name="Normal 4 2 6 3 4 2" xfId="13855"/>
    <cellStyle name="Normal 4 2 6 3 4 2 2" xfId="30305"/>
    <cellStyle name="Normal 4 2 6 3 4 3" xfId="22080"/>
    <cellStyle name="Normal 4 2 6 3 4 4" xfId="38534"/>
    <cellStyle name="Normal 4 2 6 3 5" xfId="7275"/>
    <cellStyle name="Normal 4 2 6 3 5 2" xfId="15500"/>
    <cellStyle name="Normal 4 2 6 3 5 2 2" xfId="31950"/>
    <cellStyle name="Normal 4 2 6 3 5 3" xfId="23725"/>
    <cellStyle name="Normal 4 2 6 3 5 4" xfId="40179"/>
    <cellStyle name="Normal 4 2 6 3 6" xfId="8920"/>
    <cellStyle name="Normal 4 2 6 3 6 2" xfId="25370"/>
    <cellStyle name="Normal 4 2 6 3 7" xfId="17144"/>
    <cellStyle name="Normal 4 2 6 3 8" xfId="33598"/>
    <cellStyle name="Normal 4 2 6 3 9" xfId="41825"/>
    <cellStyle name="Normal 4 2 6 4" xfId="880"/>
    <cellStyle name="Normal 4 2 6 4 2" xfId="2575"/>
    <cellStyle name="Normal 4 2 6 4 2 2" xfId="10800"/>
    <cellStyle name="Normal 4 2 6 4 2 2 2" xfId="27250"/>
    <cellStyle name="Normal 4 2 6 4 2 3" xfId="19025"/>
    <cellStyle name="Normal 4 2 6 4 2 4" xfId="35479"/>
    <cellStyle name="Normal 4 2 6 4 3" xfId="4220"/>
    <cellStyle name="Normal 4 2 6 4 3 2" xfId="12445"/>
    <cellStyle name="Normal 4 2 6 4 3 2 2" xfId="28895"/>
    <cellStyle name="Normal 4 2 6 4 3 3" xfId="20670"/>
    <cellStyle name="Normal 4 2 6 4 3 4" xfId="37124"/>
    <cellStyle name="Normal 4 2 6 4 4" xfId="5865"/>
    <cellStyle name="Normal 4 2 6 4 4 2" xfId="14090"/>
    <cellStyle name="Normal 4 2 6 4 4 2 2" xfId="30540"/>
    <cellStyle name="Normal 4 2 6 4 4 3" xfId="22315"/>
    <cellStyle name="Normal 4 2 6 4 4 4" xfId="38769"/>
    <cellStyle name="Normal 4 2 6 4 5" xfId="7510"/>
    <cellStyle name="Normal 4 2 6 4 5 2" xfId="15735"/>
    <cellStyle name="Normal 4 2 6 4 5 2 2" xfId="32185"/>
    <cellStyle name="Normal 4 2 6 4 5 3" xfId="23960"/>
    <cellStyle name="Normal 4 2 6 4 5 4" xfId="40414"/>
    <cellStyle name="Normal 4 2 6 4 6" xfId="9155"/>
    <cellStyle name="Normal 4 2 6 4 6 2" xfId="25605"/>
    <cellStyle name="Normal 4 2 6 4 7" xfId="17379"/>
    <cellStyle name="Normal 4 2 6 4 8" xfId="33833"/>
    <cellStyle name="Normal 4 2 6 4 9" xfId="42060"/>
    <cellStyle name="Normal 4 2 6 5" xfId="1115"/>
    <cellStyle name="Normal 4 2 6 5 2" xfId="2810"/>
    <cellStyle name="Normal 4 2 6 5 2 2" xfId="11035"/>
    <cellStyle name="Normal 4 2 6 5 2 2 2" xfId="27485"/>
    <cellStyle name="Normal 4 2 6 5 2 3" xfId="19260"/>
    <cellStyle name="Normal 4 2 6 5 2 4" xfId="35714"/>
    <cellStyle name="Normal 4 2 6 5 3" xfId="4455"/>
    <cellStyle name="Normal 4 2 6 5 3 2" xfId="12680"/>
    <cellStyle name="Normal 4 2 6 5 3 2 2" xfId="29130"/>
    <cellStyle name="Normal 4 2 6 5 3 3" xfId="20905"/>
    <cellStyle name="Normal 4 2 6 5 3 4" xfId="37359"/>
    <cellStyle name="Normal 4 2 6 5 4" xfId="6100"/>
    <cellStyle name="Normal 4 2 6 5 4 2" xfId="14325"/>
    <cellStyle name="Normal 4 2 6 5 4 2 2" xfId="30775"/>
    <cellStyle name="Normal 4 2 6 5 4 3" xfId="22550"/>
    <cellStyle name="Normal 4 2 6 5 4 4" xfId="39004"/>
    <cellStyle name="Normal 4 2 6 5 5" xfId="7745"/>
    <cellStyle name="Normal 4 2 6 5 5 2" xfId="15970"/>
    <cellStyle name="Normal 4 2 6 5 5 2 2" xfId="32420"/>
    <cellStyle name="Normal 4 2 6 5 5 3" xfId="24195"/>
    <cellStyle name="Normal 4 2 6 5 5 4" xfId="40649"/>
    <cellStyle name="Normal 4 2 6 5 6" xfId="9390"/>
    <cellStyle name="Normal 4 2 6 5 6 2" xfId="25840"/>
    <cellStyle name="Normal 4 2 6 5 7" xfId="17614"/>
    <cellStyle name="Normal 4 2 6 5 8" xfId="34068"/>
    <cellStyle name="Normal 4 2 6 5 9" xfId="42295"/>
    <cellStyle name="Normal 4 2 6 6" xfId="1395"/>
    <cellStyle name="Normal 4 2 6 6 2" xfId="3045"/>
    <cellStyle name="Normal 4 2 6 6 2 2" xfId="11270"/>
    <cellStyle name="Normal 4 2 6 6 2 2 2" xfId="27720"/>
    <cellStyle name="Normal 4 2 6 6 2 3" xfId="19495"/>
    <cellStyle name="Normal 4 2 6 6 2 4" xfId="35949"/>
    <cellStyle name="Normal 4 2 6 6 3" xfId="4690"/>
    <cellStyle name="Normal 4 2 6 6 3 2" xfId="12915"/>
    <cellStyle name="Normal 4 2 6 6 3 2 2" xfId="29365"/>
    <cellStyle name="Normal 4 2 6 6 3 3" xfId="21140"/>
    <cellStyle name="Normal 4 2 6 6 3 4" xfId="37594"/>
    <cellStyle name="Normal 4 2 6 6 4" xfId="6335"/>
    <cellStyle name="Normal 4 2 6 6 4 2" xfId="14560"/>
    <cellStyle name="Normal 4 2 6 6 4 2 2" xfId="31010"/>
    <cellStyle name="Normal 4 2 6 6 4 3" xfId="22785"/>
    <cellStyle name="Normal 4 2 6 6 4 4" xfId="39239"/>
    <cellStyle name="Normal 4 2 6 6 5" xfId="7980"/>
    <cellStyle name="Normal 4 2 6 6 5 2" xfId="16205"/>
    <cellStyle name="Normal 4 2 6 6 5 2 2" xfId="32655"/>
    <cellStyle name="Normal 4 2 6 6 5 3" xfId="24430"/>
    <cellStyle name="Normal 4 2 6 6 5 4" xfId="40884"/>
    <cellStyle name="Normal 4 2 6 6 6" xfId="9625"/>
    <cellStyle name="Normal 4 2 6 6 6 2" xfId="26075"/>
    <cellStyle name="Normal 4 2 6 6 7" xfId="17849"/>
    <cellStyle name="Normal 4 2 6 6 8" xfId="34303"/>
    <cellStyle name="Normal 4 2 6 7" xfId="1630"/>
    <cellStyle name="Normal 4 2 6 7 2" xfId="3280"/>
    <cellStyle name="Normal 4 2 6 7 2 2" xfId="11505"/>
    <cellStyle name="Normal 4 2 6 7 2 2 2" xfId="27955"/>
    <cellStyle name="Normal 4 2 6 7 2 3" xfId="19730"/>
    <cellStyle name="Normal 4 2 6 7 2 4" xfId="36184"/>
    <cellStyle name="Normal 4 2 6 7 3" xfId="4925"/>
    <cellStyle name="Normal 4 2 6 7 3 2" xfId="13150"/>
    <cellStyle name="Normal 4 2 6 7 3 2 2" xfId="29600"/>
    <cellStyle name="Normal 4 2 6 7 3 3" xfId="21375"/>
    <cellStyle name="Normal 4 2 6 7 3 4" xfId="37829"/>
    <cellStyle name="Normal 4 2 6 7 4" xfId="6570"/>
    <cellStyle name="Normal 4 2 6 7 4 2" xfId="14795"/>
    <cellStyle name="Normal 4 2 6 7 4 2 2" xfId="31245"/>
    <cellStyle name="Normal 4 2 6 7 4 3" xfId="23020"/>
    <cellStyle name="Normal 4 2 6 7 4 4" xfId="39474"/>
    <cellStyle name="Normal 4 2 6 7 5" xfId="8215"/>
    <cellStyle name="Normal 4 2 6 7 5 2" xfId="16440"/>
    <cellStyle name="Normal 4 2 6 7 5 2 2" xfId="32890"/>
    <cellStyle name="Normal 4 2 6 7 5 3" xfId="24665"/>
    <cellStyle name="Normal 4 2 6 7 5 4" xfId="41119"/>
    <cellStyle name="Normal 4 2 6 7 6" xfId="9860"/>
    <cellStyle name="Normal 4 2 6 7 6 2" xfId="26310"/>
    <cellStyle name="Normal 4 2 6 7 7" xfId="18084"/>
    <cellStyle name="Normal 4 2 6 7 8" xfId="34538"/>
    <cellStyle name="Normal 4 2 6 8" xfId="1865"/>
    <cellStyle name="Normal 4 2 6 8 2" xfId="10095"/>
    <cellStyle name="Normal 4 2 6 8 2 2" xfId="26545"/>
    <cellStyle name="Normal 4 2 6 8 3" xfId="18319"/>
    <cellStyle name="Normal 4 2 6 8 4" xfId="34773"/>
    <cellStyle name="Normal 4 2 6 9" xfId="3515"/>
    <cellStyle name="Normal 4 2 6 9 2" xfId="11740"/>
    <cellStyle name="Normal 4 2 6 9 2 2" xfId="28190"/>
    <cellStyle name="Normal 4 2 6 9 3" xfId="19965"/>
    <cellStyle name="Normal 4 2 6 9 4" xfId="36419"/>
    <cellStyle name="Normal 4 2 7" xfId="190"/>
    <cellStyle name="Normal 4 2 7 10" xfId="5187"/>
    <cellStyle name="Normal 4 2 7 10 2" xfId="13412"/>
    <cellStyle name="Normal 4 2 7 10 2 2" xfId="29862"/>
    <cellStyle name="Normal 4 2 7 10 3" xfId="21637"/>
    <cellStyle name="Normal 4 2 7 10 4" xfId="38091"/>
    <cellStyle name="Normal 4 2 7 11" xfId="6832"/>
    <cellStyle name="Normal 4 2 7 11 2" xfId="15057"/>
    <cellStyle name="Normal 4 2 7 11 2 2" xfId="31507"/>
    <cellStyle name="Normal 4 2 7 11 3" xfId="23282"/>
    <cellStyle name="Normal 4 2 7 11 4" xfId="39736"/>
    <cellStyle name="Normal 4 2 7 12" xfId="8477"/>
    <cellStyle name="Normal 4 2 7 12 2" xfId="24927"/>
    <cellStyle name="Normal 4 2 7 13" xfId="16701"/>
    <cellStyle name="Normal 4 2 7 14" xfId="33154"/>
    <cellStyle name="Normal 4 2 7 15" xfId="41382"/>
    <cellStyle name="Normal 4 2 7 2" xfId="433"/>
    <cellStyle name="Normal 4 2 7 2 2" xfId="2130"/>
    <cellStyle name="Normal 4 2 7 2 2 2" xfId="10357"/>
    <cellStyle name="Normal 4 2 7 2 2 2 2" xfId="26807"/>
    <cellStyle name="Normal 4 2 7 2 2 3" xfId="18582"/>
    <cellStyle name="Normal 4 2 7 2 2 4" xfId="35036"/>
    <cellStyle name="Normal 4 2 7 2 3" xfId="3777"/>
    <cellStyle name="Normal 4 2 7 2 3 2" xfId="12002"/>
    <cellStyle name="Normal 4 2 7 2 3 2 2" xfId="28452"/>
    <cellStyle name="Normal 4 2 7 2 3 3" xfId="20227"/>
    <cellStyle name="Normal 4 2 7 2 3 4" xfId="36681"/>
    <cellStyle name="Normal 4 2 7 2 4" xfId="5422"/>
    <cellStyle name="Normal 4 2 7 2 4 2" xfId="13647"/>
    <cellStyle name="Normal 4 2 7 2 4 2 2" xfId="30097"/>
    <cellStyle name="Normal 4 2 7 2 4 3" xfId="21872"/>
    <cellStyle name="Normal 4 2 7 2 4 4" xfId="38326"/>
    <cellStyle name="Normal 4 2 7 2 5" xfId="7067"/>
    <cellStyle name="Normal 4 2 7 2 5 2" xfId="15292"/>
    <cellStyle name="Normal 4 2 7 2 5 2 2" xfId="31742"/>
    <cellStyle name="Normal 4 2 7 2 5 3" xfId="23517"/>
    <cellStyle name="Normal 4 2 7 2 5 4" xfId="39971"/>
    <cellStyle name="Normal 4 2 7 2 6" xfId="8712"/>
    <cellStyle name="Normal 4 2 7 2 6 2" xfId="25162"/>
    <cellStyle name="Normal 4 2 7 2 7" xfId="16936"/>
    <cellStyle name="Normal 4 2 7 2 8" xfId="33390"/>
    <cellStyle name="Normal 4 2 7 2 9" xfId="41617"/>
    <cellStyle name="Normal 4 2 7 3" xfId="672"/>
    <cellStyle name="Normal 4 2 7 3 2" xfId="2367"/>
    <cellStyle name="Normal 4 2 7 3 2 2" xfId="10592"/>
    <cellStyle name="Normal 4 2 7 3 2 2 2" xfId="27042"/>
    <cellStyle name="Normal 4 2 7 3 2 3" xfId="18817"/>
    <cellStyle name="Normal 4 2 7 3 2 4" xfId="35271"/>
    <cellStyle name="Normal 4 2 7 3 3" xfId="4012"/>
    <cellStyle name="Normal 4 2 7 3 3 2" xfId="12237"/>
    <cellStyle name="Normal 4 2 7 3 3 2 2" xfId="28687"/>
    <cellStyle name="Normal 4 2 7 3 3 3" xfId="20462"/>
    <cellStyle name="Normal 4 2 7 3 3 4" xfId="36916"/>
    <cellStyle name="Normal 4 2 7 3 4" xfId="5657"/>
    <cellStyle name="Normal 4 2 7 3 4 2" xfId="13882"/>
    <cellStyle name="Normal 4 2 7 3 4 2 2" xfId="30332"/>
    <cellStyle name="Normal 4 2 7 3 4 3" xfId="22107"/>
    <cellStyle name="Normal 4 2 7 3 4 4" xfId="38561"/>
    <cellStyle name="Normal 4 2 7 3 5" xfId="7302"/>
    <cellStyle name="Normal 4 2 7 3 5 2" xfId="15527"/>
    <cellStyle name="Normal 4 2 7 3 5 2 2" xfId="31977"/>
    <cellStyle name="Normal 4 2 7 3 5 3" xfId="23752"/>
    <cellStyle name="Normal 4 2 7 3 5 4" xfId="40206"/>
    <cellStyle name="Normal 4 2 7 3 6" xfId="8947"/>
    <cellStyle name="Normal 4 2 7 3 6 2" xfId="25397"/>
    <cellStyle name="Normal 4 2 7 3 7" xfId="17171"/>
    <cellStyle name="Normal 4 2 7 3 8" xfId="33625"/>
    <cellStyle name="Normal 4 2 7 3 9" xfId="41852"/>
    <cellStyle name="Normal 4 2 7 4" xfId="907"/>
    <cellStyle name="Normal 4 2 7 4 2" xfId="2602"/>
    <cellStyle name="Normal 4 2 7 4 2 2" xfId="10827"/>
    <cellStyle name="Normal 4 2 7 4 2 2 2" xfId="27277"/>
    <cellStyle name="Normal 4 2 7 4 2 3" xfId="19052"/>
    <cellStyle name="Normal 4 2 7 4 2 4" xfId="35506"/>
    <cellStyle name="Normal 4 2 7 4 3" xfId="4247"/>
    <cellStyle name="Normal 4 2 7 4 3 2" xfId="12472"/>
    <cellStyle name="Normal 4 2 7 4 3 2 2" xfId="28922"/>
    <cellStyle name="Normal 4 2 7 4 3 3" xfId="20697"/>
    <cellStyle name="Normal 4 2 7 4 3 4" xfId="37151"/>
    <cellStyle name="Normal 4 2 7 4 4" xfId="5892"/>
    <cellStyle name="Normal 4 2 7 4 4 2" xfId="14117"/>
    <cellStyle name="Normal 4 2 7 4 4 2 2" xfId="30567"/>
    <cellStyle name="Normal 4 2 7 4 4 3" xfId="22342"/>
    <cellStyle name="Normal 4 2 7 4 4 4" xfId="38796"/>
    <cellStyle name="Normal 4 2 7 4 5" xfId="7537"/>
    <cellStyle name="Normal 4 2 7 4 5 2" xfId="15762"/>
    <cellStyle name="Normal 4 2 7 4 5 2 2" xfId="32212"/>
    <cellStyle name="Normal 4 2 7 4 5 3" xfId="23987"/>
    <cellStyle name="Normal 4 2 7 4 5 4" xfId="40441"/>
    <cellStyle name="Normal 4 2 7 4 6" xfId="9182"/>
    <cellStyle name="Normal 4 2 7 4 6 2" xfId="25632"/>
    <cellStyle name="Normal 4 2 7 4 7" xfId="17406"/>
    <cellStyle name="Normal 4 2 7 4 8" xfId="33860"/>
    <cellStyle name="Normal 4 2 7 4 9" xfId="42087"/>
    <cellStyle name="Normal 4 2 7 5" xfId="1142"/>
    <cellStyle name="Normal 4 2 7 5 2" xfId="2837"/>
    <cellStyle name="Normal 4 2 7 5 2 2" xfId="11062"/>
    <cellStyle name="Normal 4 2 7 5 2 2 2" xfId="27512"/>
    <cellStyle name="Normal 4 2 7 5 2 3" xfId="19287"/>
    <cellStyle name="Normal 4 2 7 5 2 4" xfId="35741"/>
    <cellStyle name="Normal 4 2 7 5 3" xfId="4482"/>
    <cellStyle name="Normal 4 2 7 5 3 2" xfId="12707"/>
    <cellStyle name="Normal 4 2 7 5 3 2 2" xfId="29157"/>
    <cellStyle name="Normal 4 2 7 5 3 3" xfId="20932"/>
    <cellStyle name="Normal 4 2 7 5 3 4" xfId="37386"/>
    <cellStyle name="Normal 4 2 7 5 4" xfId="6127"/>
    <cellStyle name="Normal 4 2 7 5 4 2" xfId="14352"/>
    <cellStyle name="Normal 4 2 7 5 4 2 2" xfId="30802"/>
    <cellStyle name="Normal 4 2 7 5 4 3" xfId="22577"/>
    <cellStyle name="Normal 4 2 7 5 4 4" xfId="39031"/>
    <cellStyle name="Normal 4 2 7 5 5" xfId="7772"/>
    <cellStyle name="Normal 4 2 7 5 5 2" xfId="15997"/>
    <cellStyle name="Normal 4 2 7 5 5 2 2" xfId="32447"/>
    <cellStyle name="Normal 4 2 7 5 5 3" xfId="24222"/>
    <cellStyle name="Normal 4 2 7 5 5 4" xfId="40676"/>
    <cellStyle name="Normal 4 2 7 5 6" xfId="9417"/>
    <cellStyle name="Normal 4 2 7 5 6 2" xfId="25867"/>
    <cellStyle name="Normal 4 2 7 5 7" xfId="17641"/>
    <cellStyle name="Normal 4 2 7 5 8" xfId="34095"/>
    <cellStyle name="Normal 4 2 7 5 9" xfId="42322"/>
    <cellStyle name="Normal 4 2 7 6" xfId="1422"/>
    <cellStyle name="Normal 4 2 7 6 2" xfId="3072"/>
    <cellStyle name="Normal 4 2 7 6 2 2" xfId="11297"/>
    <cellStyle name="Normal 4 2 7 6 2 2 2" xfId="27747"/>
    <cellStyle name="Normal 4 2 7 6 2 3" xfId="19522"/>
    <cellStyle name="Normal 4 2 7 6 2 4" xfId="35976"/>
    <cellStyle name="Normal 4 2 7 6 3" xfId="4717"/>
    <cellStyle name="Normal 4 2 7 6 3 2" xfId="12942"/>
    <cellStyle name="Normal 4 2 7 6 3 2 2" xfId="29392"/>
    <cellStyle name="Normal 4 2 7 6 3 3" xfId="21167"/>
    <cellStyle name="Normal 4 2 7 6 3 4" xfId="37621"/>
    <cellStyle name="Normal 4 2 7 6 4" xfId="6362"/>
    <cellStyle name="Normal 4 2 7 6 4 2" xfId="14587"/>
    <cellStyle name="Normal 4 2 7 6 4 2 2" xfId="31037"/>
    <cellStyle name="Normal 4 2 7 6 4 3" xfId="22812"/>
    <cellStyle name="Normal 4 2 7 6 4 4" xfId="39266"/>
    <cellStyle name="Normal 4 2 7 6 5" xfId="8007"/>
    <cellStyle name="Normal 4 2 7 6 5 2" xfId="16232"/>
    <cellStyle name="Normal 4 2 7 6 5 2 2" xfId="32682"/>
    <cellStyle name="Normal 4 2 7 6 5 3" xfId="24457"/>
    <cellStyle name="Normal 4 2 7 6 5 4" xfId="40911"/>
    <cellStyle name="Normal 4 2 7 6 6" xfId="9652"/>
    <cellStyle name="Normal 4 2 7 6 6 2" xfId="26102"/>
    <cellStyle name="Normal 4 2 7 6 7" xfId="17876"/>
    <cellStyle name="Normal 4 2 7 6 8" xfId="34330"/>
    <cellStyle name="Normal 4 2 7 7" xfId="1657"/>
    <cellStyle name="Normal 4 2 7 7 2" xfId="3307"/>
    <cellStyle name="Normal 4 2 7 7 2 2" xfId="11532"/>
    <cellStyle name="Normal 4 2 7 7 2 2 2" xfId="27982"/>
    <cellStyle name="Normal 4 2 7 7 2 3" xfId="19757"/>
    <cellStyle name="Normal 4 2 7 7 2 4" xfId="36211"/>
    <cellStyle name="Normal 4 2 7 7 3" xfId="4952"/>
    <cellStyle name="Normal 4 2 7 7 3 2" xfId="13177"/>
    <cellStyle name="Normal 4 2 7 7 3 2 2" xfId="29627"/>
    <cellStyle name="Normal 4 2 7 7 3 3" xfId="21402"/>
    <cellStyle name="Normal 4 2 7 7 3 4" xfId="37856"/>
    <cellStyle name="Normal 4 2 7 7 4" xfId="6597"/>
    <cellStyle name="Normal 4 2 7 7 4 2" xfId="14822"/>
    <cellStyle name="Normal 4 2 7 7 4 2 2" xfId="31272"/>
    <cellStyle name="Normal 4 2 7 7 4 3" xfId="23047"/>
    <cellStyle name="Normal 4 2 7 7 4 4" xfId="39501"/>
    <cellStyle name="Normal 4 2 7 7 5" xfId="8242"/>
    <cellStyle name="Normal 4 2 7 7 5 2" xfId="16467"/>
    <cellStyle name="Normal 4 2 7 7 5 2 2" xfId="32917"/>
    <cellStyle name="Normal 4 2 7 7 5 3" xfId="24692"/>
    <cellStyle name="Normal 4 2 7 7 5 4" xfId="41146"/>
    <cellStyle name="Normal 4 2 7 7 6" xfId="9887"/>
    <cellStyle name="Normal 4 2 7 7 6 2" xfId="26337"/>
    <cellStyle name="Normal 4 2 7 7 7" xfId="18111"/>
    <cellStyle name="Normal 4 2 7 7 8" xfId="34565"/>
    <cellStyle name="Normal 4 2 7 8" xfId="1892"/>
    <cellStyle name="Normal 4 2 7 8 2" xfId="10122"/>
    <cellStyle name="Normal 4 2 7 8 2 2" xfId="26572"/>
    <cellStyle name="Normal 4 2 7 8 3" xfId="18346"/>
    <cellStyle name="Normal 4 2 7 8 4" xfId="34800"/>
    <cellStyle name="Normal 4 2 7 9" xfId="3542"/>
    <cellStyle name="Normal 4 2 7 9 2" xfId="11767"/>
    <cellStyle name="Normal 4 2 7 9 2 2" xfId="28217"/>
    <cellStyle name="Normal 4 2 7 9 3" xfId="19992"/>
    <cellStyle name="Normal 4 2 7 9 4" xfId="36446"/>
    <cellStyle name="Normal 4 2 8" xfId="217"/>
    <cellStyle name="Normal 4 2 8 10" xfId="5214"/>
    <cellStyle name="Normal 4 2 8 10 2" xfId="13439"/>
    <cellStyle name="Normal 4 2 8 10 2 2" xfId="29889"/>
    <cellStyle name="Normal 4 2 8 10 3" xfId="21664"/>
    <cellStyle name="Normal 4 2 8 10 4" xfId="38118"/>
    <cellStyle name="Normal 4 2 8 11" xfId="6859"/>
    <cellStyle name="Normal 4 2 8 11 2" xfId="15084"/>
    <cellStyle name="Normal 4 2 8 11 2 2" xfId="31534"/>
    <cellStyle name="Normal 4 2 8 11 3" xfId="23309"/>
    <cellStyle name="Normal 4 2 8 11 4" xfId="39763"/>
    <cellStyle name="Normal 4 2 8 12" xfId="8504"/>
    <cellStyle name="Normal 4 2 8 12 2" xfId="24954"/>
    <cellStyle name="Normal 4 2 8 13" xfId="16728"/>
    <cellStyle name="Normal 4 2 8 14" xfId="33181"/>
    <cellStyle name="Normal 4 2 8 15" xfId="41409"/>
    <cellStyle name="Normal 4 2 8 2" xfId="460"/>
    <cellStyle name="Normal 4 2 8 2 2" xfId="2157"/>
    <cellStyle name="Normal 4 2 8 2 2 2" xfId="10384"/>
    <cellStyle name="Normal 4 2 8 2 2 2 2" xfId="26834"/>
    <cellStyle name="Normal 4 2 8 2 2 3" xfId="18609"/>
    <cellStyle name="Normal 4 2 8 2 2 4" xfId="35063"/>
    <cellStyle name="Normal 4 2 8 2 3" xfId="3804"/>
    <cellStyle name="Normal 4 2 8 2 3 2" xfId="12029"/>
    <cellStyle name="Normal 4 2 8 2 3 2 2" xfId="28479"/>
    <cellStyle name="Normal 4 2 8 2 3 3" xfId="20254"/>
    <cellStyle name="Normal 4 2 8 2 3 4" xfId="36708"/>
    <cellStyle name="Normal 4 2 8 2 4" xfId="5449"/>
    <cellStyle name="Normal 4 2 8 2 4 2" xfId="13674"/>
    <cellStyle name="Normal 4 2 8 2 4 2 2" xfId="30124"/>
    <cellStyle name="Normal 4 2 8 2 4 3" xfId="21899"/>
    <cellStyle name="Normal 4 2 8 2 4 4" xfId="38353"/>
    <cellStyle name="Normal 4 2 8 2 5" xfId="7094"/>
    <cellStyle name="Normal 4 2 8 2 5 2" xfId="15319"/>
    <cellStyle name="Normal 4 2 8 2 5 2 2" xfId="31769"/>
    <cellStyle name="Normal 4 2 8 2 5 3" xfId="23544"/>
    <cellStyle name="Normal 4 2 8 2 5 4" xfId="39998"/>
    <cellStyle name="Normal 4 2 8 2 6" xfId="8739"/>
    <cellStyle name="Normal 4 2 8 2 6 2" xfId="25189"/>
    <cellStyle name="Normal 4 2 8 2 7" xfId="16963"/>
    <cellStyle name="Normal 4 2 8 2 8" xfId="33417"/>
    <cellStyle name="Normal 4 2 8 2 9" xfId="41644"/>
    <cellStyle name="Normal 4 2 8 3" xfId="699"/>
    <cellStyle name="Normal 4 2 8 3 2" xfId="2394"/>
    <cellStyle name="Normal 4 2 8 3 2 2" xfId="10619"/>
    <cellStyle name="Normal 4 2 8 3 2 2 2" xfId="27069"/>
    <cellStyle name="Normal 4 2 8 3 2 3" xfId="18844"/>
    <cellStyle name="Normal 4 2 8 3 2 4" xfId="35298"/>
    <cellStyle name="Normal 4 2 8 3 3" xfId="4039"/>
    <cellStyle name="Normal 4 2 8 3 3 2" xfId="12264"/>
    <cellStyle name="Normal 4 2 8 3 3 2 2" xfId="28714"/>
    <cellStyle name="Normal 4 2 8 3 3 3" xfId="20489"/>
    <cellStyle name="Normal 4 2 8 3 3 4" xfId="36943"/>
    <cellStyle name="Normal 4 2 8 3 4" xfId="5684"/>
    <cellStyle name="Normal 4 2 8 3 4 2" xfId="13909"/>
    <cellStyle name="Normal 4 2 8 3 4 2 2" xfId="30359"/>
    <cellStyle name="Normal 4 2 8 3 4 3" xfId="22134"/>
    <cellStyle name="Normal 4 2 8 3 4 4" xfId="38588"/>
    <cellStyle name="Normal 4 2 8 3 5" xfId="7329"/>
    <cellStyle name="Normal 4 2 8 3 5 2" xfId="15554"/>
    <cellStyle name="Normal 4 2 8 3 5 2 2" xfId="32004"/>
    <cellStyle name="Normal 4 2 8 3 5 3" xfId="23779"/>
    <cellStyle name="Normal 4 2 8 3 5 4" xfId="40233"/>
    <cellStyle name="Normal 4 2 8 3 6" xfId="8974"/>
    <cellStyle name="Normal 4 2 8 3 6 2" xfId="25424"/>
    <cellStyle name="Normal 4 2 8 3 7" xfId="17198"/>
    <cellStyle name="Normal 4 2 8 3 8" xfId="33652"/>
    <cellStyle name="Normal 4 2 8 3 9" xfId="41879"/>
    <cellStyle name="Normal 4 2 8 4" xfId="934"/>
    <cellStyle name="Normal 4 2 8 4 2" xfId="2629"/>
    <cellStyle name="Normal 4 2 8 4 2 2" xfId="10854"/>
    <cellStyle name="Normal 4 2 8 4 2 2 2" xfId="27304"/>
    <cellStyle name="Normal 4 2 8 4 2 3" xfId="19079"/>
    <cellStyle name="Normal 4 2 8 4 2 4" xfId="35533"/>
    <cellStyle name="Normal 4 2 8 4 3" xfId="4274"/>
    <cellStyle name="Normal 4 2 8 4 3 2" xfId="12499"/>
    <cellStyle name="Normal 4 2 8 4 3 2 2" xfId="28949"/>
    <cellStyle name="Normal 4 2 8 4 3 3" xfId="20724"/>
    <cellStyle name="Normal 4 2 8 4 3 4" xfId="37178"/>
    <cellStyle name="Normal 4 2 8 4 4" xfId="5919"/>
    <cellStyle name="Normal 4 2 8 4 4 2" xfId="14144"/>
    <cellStyle name="Normal 4 2 8 4 4 2 2" xfId="30594"/>
    <cellStyle name="Normal 4 2 8 4 4 3" xfId="22369"/>
    <cellStyle name="Normal 4 2 8 4 4 4" xfId="38823"/>
    <cellStyle name="Normal 4 2 8 4 5" xfId="7564"/>
    <cellStyle name="Normal 4 2 8 4 5 2" xfId="15789"/>
    <cellStyle name="Normal 4 2 8 4 5 2 2" xfId="32239"/>
    <cellStyle name="Normal 4 2 8 4 5 3" xfId="24014"/>
    <cellStyle name="Normal 4 2 8 4 5 4" xfId="40468"/>
    <cellStyle name="Normal 4 2 8 4 6" xfId="9209"/>
    <cellStyle name="Normal 4 2 8 4 6 2" xfId="25659"/>
    <cellStyle name="Normal 4 2 8 4 7" xfId="17433"/>
    <cellStyle name="Normal 4 2 8 4 8" xfId="33887"/>
    <cellStyle name="Normal 4 2 8 4 9" xfId="42114"/>
    <cellStyle name="Normal 4 2 8 5" xfId="1169"/>
    <cellStyle name="Normal 4 2 8 5 2" xfId="2864"/>
    <cellStyle name="Normal 4 2 8 5 2 2" xfId="11089"/>
    <cellStyle name="Normal 4 2 8 5 2 2 2" xfId="27539"/>
    <cellStyle name="Normal 4 2 8 5 2 3" xfId="19314"/>
    <cellStyle name="Normal 4 2 8 5 2 4" xfId="35768"/>
    <cellStyle name="Normal 4 2 8 5 3" xfId="4509"/>
    <cellStyle name="Normal 4 2 8 5 3 2" xfId="12734"/>
    <cellStyle name="Normal 4 2 8 5 3 2 2" xfId="29184"/>
    <cellStyle name="Normal 4 2 8 5 3 3" xfId="20959"/>
    <cellStyle name="Normal 4 2 8 5 3 4" xfId="37413"/>
    <cellStyle name="Normal 4 2 8 5 4" xfId="6154"/>
    <cellStyle name="Normal 4 2 8 5 4 2" xfId="14379"/>
    <cellStyle name="Normal 4 2 8 5 4 2 2" xfId="30829"/>
    <cellStyle name="Normal 4 2 8 5 4 3" xfId="22604"/>
    <cellStyle name="Normal 4 2 8 5 4 4" xfId="39058"/>
    <cellStyle name="Normal 4 2 8 5 5" xfId="7799"/>
    <cellStyle name="Normal 4 2 8 5 5 2" xfId="16024"/>
    <cellStyle name="Normal 4 2 8 5 5 2 2" xfId="32474"/>
    <cellStyle name="Normal 4 2 8 5 5 3" xfId="24249"/>
    <cellStyle name="Normal 4 2 8 5 5 4" xfId="40703"/>
    <cellStyle name="Normal 4 2 8 5 6" xfId="9444"/>
    <cellStyle name="Normal 4 2 8 5 6 2" xfId="25894"/>
    <cellStyle name="Normal 4 2 8 5 7" xfId="17668"/>
    <cellStyle name="Normal 4 2 8 5 8" xfId="34122"/>
    <cellStyle name="Normal 4 2 8 5 9" xfId="42349"/>
    <cellStyle name="Normal 4 2 8 6" xfId="1449"/>
    <cellStyle name="Normal 4 2 8 6 2" xfId="3099"/>
    <cellStyle name="Normal 4 2 8 6 2 2" xfId="11324"/>
    <cellStyle name="Normal 4 2 8 6 2 2 2" xfId="27774"/>
    <cellStyle name="Normal 4 2 8 6 2 3" xfId="19549"/>
    <cellStyle name="Normal 4 2 8 6 2 4" xfId="36003"/>
    <cellStyle name="Normal 4 2 8 6 3" xfId="4744"/>
    <cellStyle name="Normal 4 2 8 6 3 2" xfId="12969"/>
    <cellStyle name="Normal 4 2 8 6 3 2 2" xfId="29419"/>
    <cellStyle name="Normal 4 2 8 6 3 3" xfId="21194"/>
    <cellStyle name="Normal 4 2 8 6 3 4" xfId="37648"/>
    <cellStyle name="Normal 4 2 8 6 4" xfId="6389"/>
    <cellStyle name="Normal 4 2 8 6 4 2" xfId="14614"/>
    <cellStyle name="Normal 4 2 8 6 4 2 2" xfId="31064"/>
    <cellStyle name="Normal 4 2 8 6 4 3" xfId="22839"/>
    <cellStyle name="Normal 4 2 8 6 4 4" xfId="39293"/>
    <cellStyle name="Normal 4 2 8 6 5" xfId="8034"/>
    <cellStyle name="Normal 4 2 8 6 5 2" xfId="16259"/>
    <cellStyle name="Normal 4 2 8 6 5 2 2" xfId="32709"/>
    <cellStyle name="Normal 4 2 8 6 5 3" xfId="24484"/>
    <cellStyle name="Normal 4 2 8 6 5 4" xfId="40938"/>
    <cellStyle name="Normal 4 2 8 6 6" xfId="9679"/>
    <cellStyle name="Normal 4 2 8 6 6 2" xfId="26129"/>
    <cellStyle name="Normal 4 2 8 6 7" xfId="17903"/>
    <cellStyle name="Normal 4 2 8 6 8" xfId="34357"/>
    <cellStyle name="Normal 4 2 8 7" xfId="1684"/>
    <cellStyle name="Normal 4 2 8 7 2" xfId="3334"/>
    <cellStyle name="Normal 4 2 8 7 2 2" xfId="11559"/>
    <cellStyle name="Normal 4 2 8 7 2 2 2" xfId="28009"/>
    <cellStyle name="Normal 4 2 8 7 2 3" xfId="19784"/>
    <cellStyle name="Normal 4 2 8 7 2 4" xfId="36238"/>
    <cellStyle name="Normal 4 2 8 7 3" xfId="4979"/>
    <cellStyle name="Normal 4 2 8 7 3 2" xfId="13204"/>
    <cellStyle name="Normal 4 2 8 7 3 2 2" xfId="29654"/>
    <cellStyle name="Normal 4 2 8 7 3 3" xfId="21429"/>
    <cellStyle name="Normal 4 2 8 7 3 4" xfId="37883"/>
    <cellStyle name="Normal 4 2 8 7 4" xfId="6624"/>
    <cellStyle name="Normal 4 2 8 7 4 2" xfId="14849"/>
    <cellStyle name="Normal 4 2 8 7 4 2 2" xfId="31299"/>
    <cellStyle name="Normal 4 2 8 7 4 3" xfId="23074"/>
    <cellStyle name="Normal 4 2 8 7 4 4" xfId="39528"/>
    <cellStyle name="Normal 4 2 8 7 5" xfId="8269"/>
    <cellStyle name="Normal 4 2 8 7 5 2" xfId="16494"/>
    <cellStyle name="Normal 4 2 8 7 5 2 2" xfId="32944"/>
    <cellStyle name="Normal 4 2 8 7 5 3" xfId="24719"/>
    <cellStyle name="Normal 4 2 8 7 5 4" xfId="41173"/>
    <cellStyle name="Normal 4 2 8 7 6" xfId="9914"/>
    <cellStyle name="Normal 4 2 8 7 6 2" xfId="26364"/>
    <cellStyle name="Normal 4 2 8 7 7" xfId="18138"/>
    <cellStyle name="Normal 4 2 8 7 8" xfId="34592"/>
    <cellStyle name="Normal 4 2 8 8" xfId="1919"/>
    <cellStyle name="Normal 4 2 8 8 2" xfId="10149"/>
    <cellStyle name="Normal 4 2 8 8 2 2" xfId="26599"/>
    <cellStyle name="Normal 4 2 8 8 3" xfId="18373"/>
    <cellStyle name="Normal 4 2 8 8 4" xfId="34827"/>
    <cellStyle name="Normal 4 2 8 9" xfId="3569"/>
    <cellStyle name="Normal 4 2 8 9 2" xfId="11794"/>
    <cellStyle name="Normal 4 2 8 9 2 2" xfId="28244"/>
    <cellStyle name="Normal 4 2 8 9 3" xfId="20019"/>
    <cellStyle name="Normal 4 2 8 9 4" xfId="36473"/>
    <cellStyle name="Normal 4 2 9" xfId="246"/>
    <cellStyle name="Normal 4 2 9 10" xfId="5241"/>
    <cellStyle name="Normal 4 2 9 10 2" xfId="13466"/>
    <cellStyle name="Normal 4 2 9 10 2 2" xfId="29916"/>
    <cellStyle name="Normal 4 2 9 10 3" xfId="21691"/>
    <cellStyle name="Normal 4 2 9 10 4" xfId="38145"/>
    <cellStyle name="Normal 4 2 9 11" xfId="6886"/>
    <cellStyle name="Normal 4 2 9 11 2" xfId="15111"/>
    <cellStyle name="Normal 4 2 9 11 2 2" xfId="31561"/>
    <cellStyle name="Normal 4 2 9 11 3" xfId="23336"/>
    <cellStyle name="Normal 4 2 9 11 4" xfId="39790"/>
    <cellStyle name="Normal 4 2 9 12" xfId="8531"/>
    <cellStyle name="Normal 4 2 9 12 2" xfId="24981"/>
    <cellStyle name="Normal 4 2 9 13" xfId="16755"/>
    <cellStyle name="Normal 4 2 9 14" xfId="33208"/>
    <cellStyle name="Normal 4 2 9 15" xfId="41436"/>
    <cellStyle name="Normal 4 2 9 2" xfId="489"/>
    <cellStyle name="Normal 4 2 9 2 2" xfId="2184"/>
    <cellStyle name="Normal 4 2 9 2 2 2" xfId="10411"/>
    <cellStyle name="Normal 4 2 9 2 2 2 2" xfId="26861"/>
    <cellStyle name="Normal 4 2 9 2 2 3" xfId="18636"/>
    <cellStyle name="Normal 4 2 9 2 2 4" xfId="35090"/>
    <cellStyle name="Normal 4 2 9 2 3" xfId="3831"/>
    <cellStyle name="Normal 4 2 9 2 3 2" xfId="12056"/>
    <cellStyle name="Normal 4 2 9 2 3 2 2" xfId="28506"/>
    <cellStyle name="Normal 4 2 9 2 3 3" xfId="20281"/>
    <cellStyle name="Normal 4 2 9 2 3 4" xfId="36735"/>
    <cellStyle name="Normal 4 2 9 2 4" xfId="5476"/>
    <cellStyle name="Normal 4 2 9 2 4 2" xfId="13701"/>
    <cellStyle name="Normal 4 2 9 2 4 2 2" xfId="30151"/>
    <cellStyle name="Normal 4 2 9 2 4 3" xfId="21926"/>
    <cellStyle name="Normal 4 2 9 2 4 4" xfId="38380"/>
    <cellStyle name="Normal 4 2 9 2 5" xfId="7121"/>
    <cellStyle name="Normal 4 2 9 2 5 2" xfId="15346"/>
    <cellStyle name="Normal 4 2 9 2 5 2 2" xfId="31796"/>
    <cellStyle name="Normal 4 2 9 2 5 3" xfId="23571"/>
    <cellStyle name="Normal 4 2 9 2 5 4" xfId="40025"/>
    <cellStyle name="Normal 4 2 9 2 6" xfId="8766"/>
    <cellStyle name="Normal 4 2 9 2 6 2" xfId="25216"/>
    <cellStyle name="Normal 4 2 9 2 7" xfId="16990"/>
    <cellStyle name="Normal 4 2 9 2 8" xfId="33444"/>
    <cellStyle name="Normal 4 2 9 2 9" xfId="41671"/>
    <cellStyle name="Normal 4 2 9 3" xfId="726"/>
    <cellStyle name="Normal 4 2 9 3 2" xfId="2421"/>
    <cellStyle name="Normal 4 2 9 3 2 2" xfId="10646"/>
    <cellStyle name="Normal 4 2 9 3 2 2 2" xfId="27096"/>
    <cellStyle name="Normal 4 2 9 3 2 3" xfId="18871"/>
    <cellStyle name="Normal 4 2 9 3 2 4" xfId="35325"/>
    <cellStyle name="Normal 4 2 9 3 3" xfId="4066"/>
    <cellStyle name="Normal 4 2 9 3 3 2" xfId="12291"/>
    <cellStyle name="Normal 4 2 9 3 3 2 2" xfId="28741"/>
    <cellStyle name="Normal 4 2 9 3 3 3" xfId="20516"/>
    <cellStyle name="Normal 4 2 9 3 3 4" xfId="36970"/>
    <cellStyle name="Normal 4 2 9 3 4" xfId="5711"/>
    <cellStyle name="Normal 4 2 9 3 4 2" xfId="13936"/>
    <cellStyle name="Normal 4 2 9 3 4 2 2" xfId="30386"/>
    <cellStyle name="Normal 4 2 9 3 4 3" xfId="22161"/>
    <cellStyle name="Normal 4 2 9 3 4 4" xfId="38615"/>
    <cellStyle name="Normal 4 2 9 3 5" xfId="7356"/>
    <cellStyle name="Normal 4 2 9 3 5 2" xfId="15581"/>
    <cellStyle name="Normal 4 2 9 3 5 2 2" xfId="32031"/>
    <cellStyle name="Normal 4 2 9 3 5 3" xfId="23806"/>
    <cellStyle name="Normal 4 2 9 3 5 4" xfId="40260"/>
    <cellStyle name="Normal 4 2 9 3 6" xfId="9001"/>
    <cellStyle name="Normal 4 2 9 3 6 2" xfId="25451"/>
    <cellStyle name="Normal 4 2 9 3 7" xfId="17225"/>
    <cellStyle name="Normal 4 2 9 3 8" xfId="33679"/>
    <cellStyle name="Normal 4 2 9 3 9" xfId="41906"/>
    <cellStyle name="Normal 4 2 9 4" xfId="961"/>
    <cellStyle name="Normal 4 2 9 4 2" xfId="2656"/>
    <cellStyle name="Normal 4 2 9 4 2 2" xfId="10881"/>
    <cellStyle name="Normal 4 2 9 4 2 2 2" xfId="27331"/>
    <cellStyle name="Normal 4 2 9 4 2 3" xfId="19106"/>
    <cellStyle name="Normal 4 2 9 4 2 4" xfId="35560"/>
    <cellStyle name="Normal 4 2 9 4 3" xfId="4301"/>
    <cellStyle name="Normal 4 2 9 4 3 2" xfId="12526"/>
    <cellStyle name="Normal 4 2 9 4 3 2 2" xfId="28976"/>
    <cellStyle name="Normal 4 2 9 4 3 3" xfId="20751"/>
    <cellStyle name="Normal 4 2 9 4 3 4" xfId="37205"/>
    <cellStyle name="Normal 4 2 9 4 4" xfId="5946"/>
    <cellStyle name="Normal 4 2 9 4 4 2" xfId="14171"/>
    <cellStyle name="Normal 4 2 9 4 4 2 2" xfId="30621"/>
    <cellStyle name="Normal 4 2 9 4 4 3" xfId="22396"/>
    <cellStyle name="Normal 4 2 9 4 4 4" xfId="38850"/>
    <cellStyle name="Normal 4 2 9 4 5" xfId="7591"/>
    <cellStyle name="Normal 4 2 9 4 5 2" xfId="15816"/>
    <cellStyle name="Normal 4 2 9 4 5 2 2" xfId="32266"/>
    <cellStyle name="Normal 4 2 9 4 5 3" xfId="24041"/>
    <cellStyle name="Normal 4 2 9 4 5 4" xfId="40495"/>
    <cellStyle name="Normal 4 2 9 4 6" xfId="9236"/>
    <cellStyle name="Normal 4 2 9 4 6 2" xfId="25686"/>
    <cellStyle name="Normal 4 2 9 4 7" xfId="17460"/>
    <cellStyle name="Normal 4 2 9 4 8" xfId="33914"/>
    <cellStyle name="Normal 4 2 9 4 9" xfId="42141"/>
    <cellStyle name="Normal 4 2 9 5" xfId="1196"/>
    <cellStyle name="Normal 4 2 9 5 2" xfId="2891"/>
    <cellStyle name="Normal 4 2 9 5 2 2" xfId="11116"/>
    <cellStyle name="Normal 4 2 9 5 2 2 2" xfId="27566"/>
    <cellStyle name="Normal 4 2 9 5 2 3" xfId="19341"/>
    <cellStyle name="Normal 4 2 9 5 2 4" xfId="35795"/>
    <cellStyle name="Normal 4 2 9 5 3" xfId="4536"/>
    <cellStyle name="Normal 4 2 9 5 3 2" xfId="12761"/>
    <cellStyle name="Normal 4 2 9 5 3 2 2" xfId="29211"/>
    <cellStyle name="Normal 4 2 9 5 3 3" xfId="20986"/>
    <cellStyle name="Normal 4 2 9 5 3 4" xfId="37440"/>
    <cellStyle name="Normal 4 2 9 5 4" xfId="6181"/>
    <cellStyle name="Normal 4 2 9 5 4 2" xfId="14406"/>
    <cellStyle name="Normal 4 2 9 5 4 2 2" xfId="30856"/>
    <cellStyle name="Normal 4 2 9 5 4 3" xfId="22631"/>
    <cellStyle name="Normal 4 2 9 5 4 4" xfId="39085"/>
    <cellStyle name="Normal 4 2 9 5 5" xfId="7826"/>
    <cellStyle name="Normal 4 2 9 5 5 2" xfId="16051"/>
    <cellStyle name="Normal 4 2 9 5 5 2 2" xfId="32501"/>
    <cellStyle name="Normal 4 2 9 5 5 3" xfId="24276"/>
    <cellStyle name="Normal 4 2 9 5 5 4" xfId="40730"/>
    <cellStyle name="Normal 4 2 9 5 6" xfId="9471"/>
    <cellStyle name="Normal 4 2 9 5 6 2" xfId="25921"/>
    <cellStyle name="Normal 4 2 9 5 7" xfId="17695"/>
    <cellStyle name="Normal 4 2 9 5 8" xfId="34149"/>
    <cellStyle name="Normal 4 2 9 5 9" xfId="42376"/>
    <cellStyle name="Normal 4 2 9 6" xfId="1476"/>
    <cellStyle name="Normal 4 2 9 6 2" xfId="3126"/>
    <cellStyle name="Normal 4 2 9 6 2 2" xfId="11351"/>
    <cellStyle name="Normal 4 2 9 6 2 2 2" xfId="27801"/>
    <cellStyle name="Normal 4 2 9 6 2 3" xfId="19576"/>
    <cellStyle name="Normal 4 2 9 6 2 4" xfId="36030"/>
    <cellStyle name="Normal 4 2 9 6 3" xfId="4771"/>
    <cellStyle name="Normal 4 2 9 6 3 2" xfId="12996"/>
    <cellStyle name="Normal 4 2 9 6 3 2 2" xfId="29446"/>
    <cellStyle name="Normal 4 2 9 6 3 3" xfId="21221"/>
    <cellStyle name="Normal 4 2 9 6 3 4" xfId="37675"/>
    <cellStyle name="Normal 4 2 9 6 4" xfId="6416"/>
    <cellStyle name="Normal 4 2 9 6 4 2" xfId="14641"/>
    <cellStyle name="Normal 4 2 9 6 4 2 2" xfId="31091"/>
    <cellStyle name="Normal 4 2 9 6 4 3" xfId="22866"/>
    <cellStyle name="Normal 4 2 9 6 4 4" xfId="39320"/>
    <cellStyle name="Normal 4 2 9 6 5" xfId="8061"/>
    <cellStyle name="Normal 4 2 9 6 5 2" xfId="16286"/>
    <cellStyle name="Normal 4 2 9 6 5 2 2" xfId="32736"/>
    <cellStyle name="Normal 4 2 9 6 5 3" xfId="24511"/>
    <cellStyle name="Normal 4 2 9 6 5 4" xfId="40965"/>
    <cellStyle name="Normal 4 2 9 6 6" xfId="9706"/>
    <cellStyle name="Normal 4 2 9 6 6 2" xfId="26156"/>
    <cellStyle name="Normal 4 2 9 6 7" xfId="17930"/>
    <cellStyle name="Normal 4 2 9 6 8" xfId="34384"/>
    <cellStyle name="Normal 4 2 9 7" xfId="1711"/>
    <cellStyle name="Normal 4 2 9 7 2" xfId="3361"/>
    <cellStyle name="Normal 4 2 9 7 2 2" xfId="11586"/>
    <cellStyle name="Normal 4 2 9 7 2 2 2" xfId="28036"/>
    <cellStyle name="Normal 4 2 9 7 2 3" xfId="19811"/>
    <cellStyle name="Normal 4 2 9 7 2 4" xfId="36265"/>
    <cellStyle name="Normal 4 2 9 7 3" xfId="5006"/>
    <cellStyle name="Normal 4 2 9 7 3 2" xfId="13231"/>
    <cellStyle name="Normal 4 2 9 7 3 2 2" xfId="29681"/>
    <cellStyle name="Normal 4 2 9 7 3 3" xfId="21456"/>
    <cellStyle name="Normal 4 2 9 7 3 4" xfId="37910"/>
    <cellStyle name="Normal 4 2 9 7 4" xfId="6651"/>
    <cellStyle name="Normal 4 2 9 7 4 2" xfId="14876"/>
    <cellStyle name="Normal 4 2 9 7 4 2 2" xfId="31326"/>
    <cellStyle name="Normal 4 2 9 7 4 3" xfId="23101"/>
    <cellStyle name="Normal 4 2 9 7 4 4" xfId="39555"/>
    <cellStyle name="Normal 4 2 9 7 5" xfId="8296"/>
    <cellStyle name="Normal 4 2 9 7 5 2" xfId="16521"/>
    <cellStyle name="Normal 4 2 9 7 5 2 2" xfId="32971"/>
    <cellStyle name="Normal 4 2 9 7 5 3" xfId="24746"/>
    <cellStyle name="Normal 4 2 9 7 5 4" xfId="41200"/>
    <cellStyle name="Normal 4 2 9 7 6" xfId="9941"/>
    <cellStyle name="Normal 4 2 9 7 6 2" xfId="26391"/>
    <cellStyle name="Normal 4 2 9 7 7" xfId="18165"/>
    <cellStyle name="Normal 4 2 9 7 8" xfId="34619"/>
    <cellStyle name="Normal 4 2 9 8" xfId="1946"/>
    <cellStyle name="Normal 4 2 9 8 2" xfId="10176"/>
    <cellStyle name="Normal 4 2 9 8 2 2" xfId="26626"/>
    <cellStyle name="Normal 4 2 9 8 3" xfId="18400"/>
    <cellStyle name="Normal 4 2 9 8 4" xfId="34854"/>
    <cellStyle name="Normal 4 2 9 9" xfId="3596"/>
    <cellStyle name="Normal 4 2 9 9 2" xfId="11821"/>
    <cellStyle name="Normal 4 2 9 9 2 2" xfId="28271"/>
    <cellStyle name="Normal 4 2 9 9 3" xfId="20046"/>
    <cellStyle name="Normal 4 2 9 9 4" xfId="36500"/>
    <cellStyle name="Normal 4 20" xfId="751"/>
    <cellStyle name="Normal 4 20 2" xfId="2446"/>
    <cellStyle name="Normal 4 20 2 2" xfId="10671"/>
    <cellStyle name="Normal 4 20 2 2 2" xfId="27121"/>
    <cellStyle name="Normal 4 20 2 3" xfId="18896"/>
    <cellStyle name="Normal 4 20 2 4" xfId="35350"/>
    <cellStyle name="Normal 4 20 3" xfId="4091"/>
    <cellStyle name="Normal 4 20 3 2" xfId="12316"/>
    <cellStyle name="Normal 4 20 3 2 2" xfId="28766"/>
    <cellStyle name="Normal 4 20 3 3" xfId="20541"/>
    <cellStyle name="Normal 4 20 3 4" xfId="36995"/>
    <cellStyle name="Normal 4 20 4" xfId="5736"/>
    <cellStyle name="Normal 4 20 4 2" xfId="13961"/>
    <cellStyle name="Normal 4 20 4 2 2" xfId="30411"/>
    <cellStyle name="Normal 4 20 4 3" xfId="22186"/>
    <cellStyle name="Normal 4 20 4 4" xfId="38640"/>
    <cellStyle name="Normal 4 20 5" xfId="7381"/>
    <cellStyle name="Normal 4 20 5 2" xfId="15606"/>
    <cellStyle name="Normal 4 20 5 2 2" xfId="32056"/>
    <cellStyle name="Normal 4 20 5 3" xfId="23831"/>
    <cellStyle name="Normal 4 20 5 4" xfId="40285"/>
    <cellStyle name="Normal 4 20 6" xfId="9026"/>
    <cellStyle name="Normal 4 20 6 2" xfId="25476"/>
    <cellStyle name="Normal 4 20 7" xfId="17250"/>
    <cellStyle name="Normal 4 20 8" xfId="33704"/>
    <cellStyle name="Normal 4 20 9" xfId="41931"/>
    <cellStyle name="Normal 4 21" xfId="986"/>
    <cellStyle name="Normal 4 21 2" xfId="2681"/>
    <cellStyle name="Normal 4 21 2 2" xfId="10906"/>
    <cellStyle name="Normal 4 21 2 2 2" xfId="27356"/>
    <cellStyle name="Normal 4 21 2 3" xfId="19131"/>
    <cellStyle name="Normal 4 21 2 4" xfId="35585"/>
    <cellStyle name="Normal 4 21 3" xfId="4326"/>
    <cellStyle name="Normal 4 21 3 2" xfId="12551"/>
    <cellStyle name="Normal 4 21 3 2 2" xfId="29001"/>
    <cellStyle name="Normal 4 21 3 3" xfId="20776"/>
    <cellStyle name="Normal 4 21 3 4" xfId="37230"/>
    <cellStyle name="Normal 4 21 4" xfId="5971"/>
    <cellStyle name="Normal 4 21 4 2" xfId="14196"/>
    <cellStyle name="Normal 4 21 4 2 2" xfId="30646"/>
    <cellStyle name="Normal 4 21 4 3" xfId="22421"/>
    <cellStyle name="Normal 4 21 4 4" xfId="38875"/>
    <cellStyle name="Normal 4 21 5" xfId="7616"/>
    <cellStyle name="Normal 4 21 5 2" xfId="15841"/>
    <cellStyle name="Normal 4 21 5 2 2" xfId="32291"/>
    <cellStyle name="Normal 4 21 5 3" xfId="24066"/>
    <cellStyle name="Normal 4 21 5 4" xfId="40520"/>
    <cellStyle name="Normal 4 21 6" xfId="9261"/>
    <cellStyle name="Normal 4 21 6 2" xfId="25711"/>
    <cellStyle name="Normal 4 21 7" xfId="17485"/>
    <cellStyle name="Normal 4 21 8" xfId="33939"/>
    <cellStyle name="Normal 4 21 9" xfId="42166"/>
    <cellStyle name="Normal 4 22" xfId="1266"/>
    <cellStyle name="Normal 4 22 2" xfId="2916"/>
    <cellStyle name="Normal 4 22 2 2" xfId="11141"/>
    <cellStyle name="Normal 4 22 2 2 2" xfId="27591"/>
    <cellStyle name="Normal 4 22 2 3" xfId="19366"/>
    <cellStyle name="Normal 4 22 2 4" xfId="35820"/>
    <cellStyle name="Normal 4 22 3" xfId="4561"/>
    <cellStyle name="Normal 4 22 3 2" xfId="12786"/>
    <cellStyle name="Normal 4 22 3 2 2" xfId="29236"/>
    <cellStyle name="Normal 4 22 3 3" xfId="21011"/>
    <cellStyle name="Normal 4 22 3 4" xfId="37465"/>
    <cellStyle name="Normal 4 22 4" xfId="6206"/>
    <cellStyle name="Normal 4 22 4 2" xfId="14431"/>
    <cellStyle name="Normal 4 22 4 2 2" xfId="30881"/>
    <cellStyle name="Normal 4 22 4 3" xfId="22656"/>
    <cellStyle name="Normal 4 22 4 4" xfId="39110"/>
    <cellStyle name="Normal 4 22 5" xfId="7851"/>
    <cellStyle name="Normal 4 22 5 2" xfId="16076"/>
    <cellStyle name="Normal 4 22 5 2 2" xfId="32526"/>
    <cellStyle name="Normal 4 22 5 3" xfId="24301"/>
    <cellStyle name="Normal 4 22 5 4" xfId="40755"/>
    <cellStyle name="Normal 4 22 6" xfId="9496"/>
    <cellStyle name="Normal 4 22 6 2" xfId="25946"/>
    <cellStyle name="Normal 4 22 7" xfId="17720"/>
    <cellStyle name="Normal 4 22 8" xfId="34174"/>
    <cellStyle name="Normal 4 23" xfId="1501"/>
    <cellStyle name="Normal 4 23 2" xfId="3151"/>
    <cellStyle name="Normal 4 23 2 2" xfId="11376"/>
    <cellStyle name="Normal 4 23 2 2 2" xfId="27826"/>
    <cellStyle name="Normal 4 23 2 3" xfId="19601"/>
    <cellStyle name="Normal 4 23 2 4" xfId="36055"/>
    <cellStyle name="Normal 4 23 3" xfId="4796"/>
    <cellStyle name="Normal 4 23 3 2" xfId="13021"/>
    <cellStyle name="Normal 4 23 3 2 2" xfId="29471"/>
    <cellStyle name="Normal 4 23 3 3" xfId="21246"/>
    <cellStyle name="Normal 4 23 3 4" xfId="37700"/>
    <cellStyle name="Normal 4 23 4" xfId="6441"/>
    <cellStyle name="Normal 4 23 4 2" xfId="14666"/>
    <cellStyle name="Normal 4 23 4 2 2" xfId="31116"/>
    <cellStyle name="Normal 4 23 4 3" xfId="22891"/>
    <cellStyle name="Normal 4 23 4 4" xfId="39345"/>
    <cellStyle name="Normal 4 23 5" xfId="8086"/>
    <cellStyle name="Normal 4 23 5 2" xfId="16311"/>
    <cellStyle name="Normal 4 23 5 2 2" xfId="32761"/>
    <cellStyle name="Normal 4 23 5 3" xfId="24536"/>
    <cellStyle name="Normal 4 23 5 4" xfId="40990"/>
    <cellStyle name="Normal 4 23 6" xfId="9731"/>
    <cellStyle name="Normal 4 23 6 2" xfId="26181"/>
    <cellStyle name="Normal 4 23 7" xfId="17955"/>
    <cellStyle name="Normal 4 23 8" xfId="34409"/>
    <cellStyle name="Normal 4 24" xfId="1736"/>
    <cellStyle name="Normal 4 24 2" xfId="9966"/>
    <cellStyle name="Normal 4 24 2 2" xfId="26416"/>
    <cellStyle name="Normal 4 24 3" xfId="18190"/>
    <cellStyle name="Normal 4 24 4" xfId="34644"/>
    <cellStyle name="Normal 4 25" xfId="3386"/>
    <cellStyle name="Normal 4 25 2" xfId="11611"/>
    <cellStyle name="Normal 4 25 2 2" xfId="28061"/>
    <cellStyle name="Normal 4 25 3" xfId="19836"/>
    <cellStyle name="Normal 4 25 4" xfId="36290"/>
    <cellStyle name="Normal 4 26" xfId="5031"/>
    <cellStyle name="Normal 4 26 2" xfId="13256"/>
    <cellStyle name="Normal 4 26 2 2" xfId="29706"/>
    <cellStyle name="Normal 4 26 3" xfId="21481"/>
    <cellStyle name="Normal 4 26 4" xfId="37935"/>
    <cellStyle name="Normal 4 27" xfId="6676"/>
    <cellStyle name="Normal 4 27 2" xfId="14901"/>
    <cellStyle name="Normal 4 27 2 2" xfId="31351"/>
    <cellStyle name="Normal 4 27 3" xfId="23126"/>
    <cellStyle name="Normal 4 27 4" xfId="39580"/>
    <cellStyle name="Normal 4 28" xfId="8321"/>
    <cellStyle name="Normal 4 28 2" xfId="24771"/>
    <cellStyle name="Normal 4 29" xfId="16545"/>
    <cellStyle name="Normal 4 3" xfId="34"/>
    <cellStyle name="Normal 4 3 10" xfId="277"/>
    <cellStyle name="Normal 4 3 10 2" xfId="1978"/>
    <cellStyle name="Normal 4 3 10 2 2" xfId="10205"/>
    <cellStyle name="Normal 4 3 10 2 2 2" xfId="26655"/>
    <cellStyle name="Normal 4 3 10 2 3" xfId="18430"/>
    <cellStyle name="Normal 4 3 10 2 4" xfId="34884"/>
    <cellStyle name="Normal 4 3 10 3" xfId="3625"/>
    <cellStyle name="Normal 4 3 10 3 2" xfId="11850"/>
    <cellStyle name="Normal 4 3 10 3 2 2" xfId="28300"/>
    <cellStyle name="Normal 4 3 10 3 3" xfId="20075"/>
    <cellStyle name="Normal 4 3 10 3 4" xfId="36529"/>
    <cellStyle name="Normal 4 3 10 4" xfId="5270"/>
    <cellStyle name="Normal 4 3 10 4 2" xfId="13495"/>
    <cellStyle name="Normal 4 3 10 4 2 2" xfId="29945"/>
    <cellStyle name="Normal 4 3 10 4 3" xfId="21720"/>
    <cellStyle name="Normal 4 3 10 4 4" xfId="38174"/>
    <cellStyle name="Normal 4 3 10 5" xfId="6915"/>
    <cellStyle name="Normal 4 3 10 5 2" xfId="15140"/>
    <cellStyle name="Normal 4 3 10 5 2 2" xfId="31590"/>
    <cellStyle name="Normal 4 3 10 5 3" xfId="23365"/>
    <cellStyle name="Normal 4 3 10 5 4" xfId="39819"/>
    <cellStyle name="Normal 4 3 10 6" xfId="8560"/>
    <cellStyle name="Normal 4 3 10 6 2" xfId="25010"/>
    <cellStyle name="Normal 4 3 10 7" xfId="16784"/>
    <cellStyle name="Normal 4 3 10 8" xfId="33238"/>
    <cellStyle name="Normal 4 3 10 9" xfId="41465"/>
    <cellStyle name="Normal 4 3 11" xfId="520"/>
    <cellStyle name="Normal 4 3 11 2" xfId="2215"/>
    <cellStyle name="Normal 4 3 11 2 2" xfId="10440"/>
    <cellStyle name="Normal 4 3 11 2 2 2" xfId="26890"/>
    <cellStyle name="Normal 4 3 11 2 3" xfId="18665"/>
    <cellStyle name="Normal 4 3 11 2 4" xfId="35119"/>
    <cellStyle name="Normal 4 3 11 3" xfId="3860"/>
    <cellStyle name="Normal 4 3 11 3 2" xfId="12085"/>
    <cellStyle name="Normal 4 3 11 3 2 2" xfId="28535"/>
    <cellStyle name="Normal 4 3 11 3 3" xfId="20310"/>
    <cellStyle name="Normal 4 3 11 3 4" xfId="36764"/>
    <cellStyle name="Normal 4 3 11 4" xfId="5505"/>
    <cellStyle name="Normal 4 3 11 4 2" xfId="13730"/>
    <cellStyle name="Normal 4 3 11 4 2 2" xfId="30180"/>
    <cellStyle name="Normal 4 3 11 4 3" xfId="21955"/>
    <cellStyle name="Normal 4 3 11 4 4" xfId="38409"/>
    <cellStyle name="Normal 4 3 11 5" xfId="7150"/>
    <cellStyle name="Normal 4 3 11 5 2" xfId="15375"/>
    <cellStyle name="Normal 4 3 11 5 2 2" xfId="31825"/>
    <cellStyle name="Normal 4 3 11 5 3" xfId="23600"/>
    <cellStyle name="Normal 4 3 11 5 4" xfId="40054"/>
    <cellStyle name="Normal 4 3 11 6" xfId="8795"/>
    <cellStyle name="Normal 4 3 11 6 2" xfId="25245"/>
    <cellStyle name="Normal 4 3 11 7" xfId="17019"/>
    <cellStyle name="Normal 4 3 11 8" xfId="33473"/>
    <cellStyle name="Normal 4 3 11 9" xfId="41700"/>
    <cellStyle name="Normal 4 3 12" xfId="755"/>
    <cellStyle name="Normal 4 3 12 2" xfId="2450"/>
    <cellStyle name="Normal 4 3 12 2 2" xfId="10675"/>
    <cellStyle name="Normal 4 3 12 2 2 2" xfId="27125"/>
    <cellStyle name="Normal 4 3 12 2 3" xfId="18900"/>
    <cellStyle name="Normal 4 3 12 2 4" xfId="35354"/>
    <cellStyle name="Normal 4 3 12 3" xfId="4095"/>
    <cellStyle name="Normal 4 3 12 3 2" xfId="12320"/>
    <cellStyle name="Normal 4 3 12 3 2 2" xfId="28770"/>
    <cellStyle name="Normal 4 3 12 3 3" xfId="20545"/>
    <cellStyle name="Normal 4 3 12 3 4" xfId="36999"/>
    <cellStyle name="Normal 4 3 12 4" xfId="5740"/>
    <cellStyle name="Normal 4 3 12 4 2" xfId="13965"/>
    <cellStyle name="Normal 4 3 12 4 2 2" xfId="30415"/>
    <cellStyle name="Normal 4 3 12 4 3" xfId="22190"/>
    <cellStyle name="Normal 4 3 12 4 4" xfId="38644"/>
    <cellStyle name="Normal 4 3 12 5" xfId="7385"/>
    <cellStyle name="Normal 4 3 12 5 2" xfId="15610"/>
    <cellStyle name="Normal 4 3 12 5 2 2" xfId="32060"/>
    <cellStyle name="Normal 4 3 12 5 3" xfId="23835"/>
    <cellStyle name="Normal 4 3 12 5 4" xfId="40289"/>
    <cellStyle name="Normal 4 3 12 6" xfId="9030"/>
    <cellStyle name="Normal 4 3 12 6 2" xfId="25480"/>
    <cellStyle name="Normal 4 3 12 7" xfId="17254"/>
    <cellStyle name="Normal 4 3 12 8" xfId="33708"/>
    <cellStyle name="Normal 4 3 12 9" xfId="41935"/>
    <cellStyle name="Normal 4 3 13" xfId="990"/>
    <cellStyle name="Normal 4 3 13 2" xfId="2685"/>
    <cellStyle name="Normal 4 3 13 2 2" xfId="10910"/>
    <cellStyle name="Normal 4 3 13 2 2 2" xfId="27360"/>
    <cellStyle name="Normal 4 3 13 2 3" xfId="19135"/>
    <cellStyle name="Normal 4 3 13 2 4" xfId="35589"/>
    <cellStyle name="Normal 4 3 13 3" xfId="4330"/>
    <cellStyle name="Normal 4 3 13 3 2" xfId="12555"/>
    <cellStyle name="Normal 4 3 13 3 2 2" xfId="29005"/>
    <cellStyle name="Normal 4 3 13 3 3" xfId="20780"/>
    <cellStyle name="Normal 4 3 13 3 4" xfId="37234"/>
    <cellStyle name="Normal 4 3 13 4" xfId="5975"/>
    <cellStyle name="Normal 4 3 13 4 2" xfId="14200"/>
    <cellStyle name="Normal 4 3 13 4 2 2" xfId="30650"/>
    <cellStyle name="Normal 4 3 13 4 3" xfId="22425"/>
    <cellStyle name="Normal 4 3 13 4 4" xfId="38879"/>
    <cellStyle name="Normal 4 3 13 5" xfId="7620"/>
    <cellStyle name="Normal 4 3 13 5 2" xfId="15845"/>
    <cellStyle name="Normal 4 3 13 5 2 2" xfId="32295"/>
    <cellStyle name="Normal 4 3 13 5 3" xfId="24070"/>
    <cellStyle name="Normal 4 3 13 5 4" xfId="40524"/>
    <cellStyle name="Normal 4 3 13 6" xfId="9265"/>
    <cellStyle name="Normal 4 3 13 6 2" xfId="25715"/>
    <cellStyle name="Normal 4 3 13 7" xfId="17489"/>
    <cellStyle name="Normal 4 3 13 8" xfId="33943"/>
    <cellStyle name="Normal 4 3 13 9" xfId="42170"/>
    <cellStyle name="Normal 4 3 14" xfId="1270"/>
    <cellStyle name="Normal 4 3 14 2" xfId="2920"/>
    <cellStyle name="Normal 4 3 14 2 2" xfId="11145"/>
    <cellStyle name="Normal 4 3 14 2 2 2" xfId="27595"/>
    <cellStyle name="Normal 4 3 14 2 3" xfId="19370"/>
    <cellStyle name="Normal 4 3 14 2 4" xfId="35824"/>
    <cellStyle name="Normal 4 3 14 3" xfId="4565"/>
    <cellStyle name="Normal 4 3 14 3 2" xfId="12790"/>
    <cellStyle name="Normal 4 3 14 3 2 2" xfId="29240"/>
    <cellStyle name="Normal 4 3 14 3 3" xfId="21015"/>
    <cellStyle name="Normal 4 3 14 3 4" xfId="37469"/>
    <cellStyle name="Normal 4 3 14 4" xfId="6210"/>
    <cellStyle name="Normal 4 3 14 4 2" xfId="14435"/>
    <cellStyle name="Normal 4 3 14 4 2 2" xfId="30885"/>
    <cellStyle name="Normal 4 3 14 4 3" xfId="22660"/>
    <cellStyle name="Normal 4 3 14 4 4" xfId="39114"/>
    <cellStyle name="Normal 4 3 14 5" xfId="7855"/>
    <cellStyle name="Normal 4 3 14 5 2" xfId="16080"/>
    <cellStyle name="Normal 4 3 14 5 2 2" xfId="32530"/>
    <cellStyle name="Normal 4 3 14 5 3" xfId="24305"/>
    <cellStyle name="Normal 4 3 14 5 4" xfId="40759"/>
    <cellStyle name="Normal 4 3 14 6" xfId="9500"/>
    <cellStyle name="Normal 4 3 14 6 2" xfId="25950"/>
    <cellStyle name="Normal 4 3 14 7" xfId="17724"/>
    <cellStyle name="Normal 4 3 14 8" xfId="34178"/>
    <cellStyle name="Normal 4 3 15" xfId="1505"/>
    <cellStyle name="Normal 4 3 15 2" xfId="3155"/>
    <cellStyle name="Normal 4 3 15 2 2" xfId="11380"/>
    <cellStyle name="Normal 4 3 15 2 2 2" xfId="27830"/>
    <cellStyle name="Normal 4 3 15 2 3" xfId="19605"/>
    <cellStyle name="Normal 4 3 15 2 4" xfId="36059"/>
    <cellStyle name="Normal 4 3 15 3" xfId="4800"/>
    <cellStyle name="Normal 4 3 15 3 2" xfId="13025"/>
    <cellStyle name="Normal 4 3 15 3 2 2" xfId="29475"/>
    <cellStyle name="Normal 4 3 15 3 3" xfId="21250"/>
    <cellStyle name="Normal 4 3 15 3 4" xfId="37704"/>
    <cellStyle name="Normal 4 3 15 4" xfId="6445"/>
    <cellStyle name="Normal 4 3 15 4 2" xfId="14670"/>
    <cellStyle name="Normal 4 3 15 4 2 2" xfId="31120"/>
    <cellStyle name="Normal 4 3 15 4 3" xfId="22895"/>
    <cellStyle name="Normal 4 3 15 4 4" xfId="39349"/>
    <cellStyle name="Normal 4 3 15 5" xfId="8090"/>
    <cellStyle name="Normal 4 3 15 5 2" xfId="16315"/>
    <cellStyle name="Normal 4 3 15 5 2 2" xfId="32765"/>
    <cellStyle name="Normal 4 3 15 5 3" xfId="24540"/>
    <cellStyle name="Normal 4 3 15 5 4" xfId="40994"/>
    <cellStyle name="Normal 4 3 15 6" xfId="9735"/>
    <cellStyle name="Normal 4 3 15 6 2" xfId="26185"/>
    <cellStyle name="Normal 4 3 15 7" xfId="17959"/>
    <cellStyle name="Normal 4 3 15 8" xfId="34413"/>
    <cellStyle name="Normal 4 3 16" xfId="1740"/>
    <cellStyle name="Normal 4 3 16 2" xfId="9970"/>
    <cellStyle name="Normal 4 3 16 2 2" xfId="26420"/>
    <cellStyle name="Normal 4 3 16 3" xfId="18194"/>
    <cellStyle name="Normal 4 3 16 4" xfId="34648"/>
    <cellStyle name="Normal 4 3 17" xfId="3390"/>
    <cellStyle name="Normal 4 3 17 2" xfId="11615"/>
    <cellStyle name="Normal 4 3 17 2 2" xfId="28065"/>
    <cellStyle name="Normal 4 3 17 3" xfId="19840"/>
    <cellStyle name="Normal 4 3 17 4" xfId="36294"/>
    <cellStyle name="Normal 4 3 18" xfId="5035"/>
    <cellStyle name="Normal 4 3 18 2" xfId="13260"/>
    <cellStyle name="Normal 4 3 18 2 2" xfId="29710"/>
    <cellStyle name="Normal 4 3 18 3" xfId="21485"/>
    <cellStyle name="Normal 4 3 18 4" xfId="37939"/>
    <cellStyle name="Normal 4 3 19" xfId="6680"/>
    <cellStyle name="Normal 4 3 19 2" xfId="14905"/>
    <cellStyle name="Normal 4 3 19 2 2" xfId="31355"/>
    <cellStyle name="Normal 4 3 19 3" xfId="23130"/>
    <cellStyle name="Normal 4 3 19 4" xfId="39584"/>
    <cellStyle name="Normal 4 3 2" xfId="41"/>
    <cellStyle name="Normal 4 3 2 10" xfId="527"/>
    <cellStyle name="Normal 4 3 2 10 2" xfId="2222"/>
    <cellStyle name="Normal 4 3 2 10 2 2" xfId="10447"/>
    <cellStyle name="Normal 4 3 2 10 2 2 2" xfId="26897"/>
    <cellStyle name="Normal 4 3 2 10 2 3" xfId="18672"/>
    <cellStyle name="Normal 4 3 2 10 2 4" xfId="35126"/>
    <cellStyle name="Normal 4 3 2 10 3" xfId="3867"/>
    <cellStyle name="Normal 4 3 2 10 3 2" xfId="12092"/>
    <cellStyle name="Normal 4 3 2 10 3 2 2" xfId="28542"/>
    <cellStyle name="Normal 4 3 2 10 3 3" xfId="20317"/>
    <cellStyle name="Normal 4 3 2 10 3 4" xfId="36771"/>
    <cellStyle name="Normal 4 3 2 10 4" xfId="5512"/>
    <cellStyle name="Normal 4 3 2 10 4 2" xfId="13737"/>
    <cellStyle name="Normal 4 3 2 10 4 2 2" xfId="30187"/>
    <cellStyle name="Normal 4 3 2 10 4 3" xfId="21962"/>
    <cellStyle name="Normal 4 3 2 10 4 4" xfId="38416"/>
    <cellStyle name="Normal 4 3 2 10 5" xfId="7157"/>
    <cellStyle name="Normal 4 3 2 10 5 2" xfId="15382"/>
    <cellStyle name="Normal 4 3 2 10 5 2 2" xfId="31832"/>
    <cellStyle name="Normal 4 3 2 10 5 3" xfId="23607"/>
    <cellStyle name="Normal 4 3 2 10 5 4" xfId="40061"/>
    <cellStyle name="Normal 4 3 2 10 6" xfId="8802"/>
    <cellStyle name="Normal 4 3 2 10 6 2" xfId="25252"/>
    <cellStyle name="Normal 4 3 2 10 7" xfId="17026"/>
    <cellStyle name="Normal 4 3 2 10 8" xfId="33480"/>
    <cellStyle name="Normal 4 3 2 10 9" xfId="41707"/>
    <cellStyle name="Normal 4 3 2 11" xfId="762"/>
    <cellStyle name="Normal 4 3 2 11 2" xfId="2457"/>
    <cellStyle name="Normal 4 3 2 11 2 2" xfId="10682"/>
    <cellStyle name="Normal 4 3 2 11 2 2 2" xfId="27132"/>
    <cellStyle name="Normal 4 3 2 11 2 3" xfId="18907"/>
    <cellStyle name="Normal 4 3 2 11 2 4" xfId="35361"/>
    <cellStyle name="Normal 4 3 2 11 3" xfId="4102"/>
    <cellStyle name="Normal 4 3 2 11 3 2" xfId="12327"/>
    <cellStyle name="Normal 4 3 2 11 3 2 2" xfId="28777"/>
    <cellStyle name="Normal 4 3 2 11 3 3" xfId="20552"/>
    <cellStyle name="Normal 4 3 2 11 3 4" xfId="37006"/>
    <cellStyle name="Normal 4 3 2 11 4" xfId="5747"/>
    <cellStyle name="Normal 4 3 2 11 4 2" xfId="13972"/>
    <cellStyle name="Normal 4 3 2 11 4 2 2" xfId="30422"/>
    <cellStyle name="Normal 4 3 2 11 4 3" xfId="22197"/>
    <cellStyle name="Normal 4 3 2 11 4 4" xfId="38651"/>
    <cellStyle name="Normal 4 3 2 11 5" xfId="7392"/>
    <cellStyle name="Normal 4 3 2 11 5 2" xfId="15617"/>
    <cellStyle name="Normal 4 3 2 11 5 2 2" xfId="32067"/>
    <cellStyle name="Normal 4 3 2 11 5 3" xfId="23842"/>
    <cellStyle name="Normal 4 3 2 11 5 4" xfId="40296"/>
    <cellStyle name="Normal 4 3 2 11 6" xfId="9037"/>
    <cellStyle name="Normal 4 3 2 11 6 2" xfId="25487"/>
    <cellStyle name="Normal 4 3 2 11 7" xfId="17261"/>
    <cellStyle name="Normal 4 3 2 11 8" xfId="33715"/>
    <cellStyle name="Normal 4 3 2 11 9" xfId="41942"/>
    <cellStyle name="Normal 4 3 2 12" xfId="997"/>
    <cellStyle name="Normal 4 3 2 12 2" xfId="2692"/>
    <cellStyle name="Normal 4 3 2 12 2 2" xfId="10917"/>
    <cellStyle name="Normal 4 3 2 12 2 2 2" xfId="27367"/>
    <cellStyle name="Normal 4 3 2 12 2 3" xfId="19142"/>
    <cellStyle name="Normal 4 3 2 12 2 4" xfId="35596"/>
    <cellStyle name="Normal 4 3 2 12 3" xfId="4337"/>
    <cellStyle name="Normal 4 3 2 12 3 2" xfId="12562"/>
    <cellStyle name="Normal 4 3 2 12 3 2 2" xfId="29012"/>
    <cellStyle name="Normal 4 3 2 12 3 3" xfId="20787"/>
    <cellStyle name="Normal 4 3 2 12 3 4" xfId="37241"/>
    <cellStyle name="Normal 4 3 2 12 4" xfId="5982"/>
    <cellStyle name="Normal 4 3 2 12 4 2" xfId="14207"/>
    <cellStyle name="Normal 4 3 2 12 4 2 2" xfId="30657"/>
    <cellStyle name="Normal 4 3 2 12 4 3" xfId="22432"/>
    <cellStyle name="Normal 4 3 2 12 4 4" xfId="38886"/>
    <cellStyle name="Normal 4 3 2 12 5" xfId="7627"/>
    <cellStyle name="Normal 4 3 2 12 5 2" xfId="15852"/>
    <cellStyle name="Normal 4 3 2 12 5 2 2" xfId="32302"/>
    <cellStyle name="Normal 4 3 2 12 5 3" xfId="24077"/>
    <cellStyle name="Normal 4 3 2 12 5 4" xfId="40531"/>
    <cellStyle name="Normal 4 3 2 12 6" xfId="9272"/>
    <cellStyle name="Normal 4 3 2 12 6 2" xfId="25722"/>
    <cellStyle name="Normal 4 3 2 12 7" xfId="17496"/>
    <cellStyle name="Normal 4 3 2 12 8" xfId="33950"/>
    <cellStyle name="Normal 4 3 2 12 9" xfId="42177"/>
    <cellStyle name="Normal 4 3 2 13" xfId="1277"/>
    <cellStyle name="Normal 4 3 2 13 2" xfId="2927"/>
    <cellStyle name="Normal 4 3 2 13 2 2" xfId="11152"/>
    <cellStyle name="Normal 4 3 2 13 2 2 2" xfId="27602"/>
    <cellStyle name="Normal 4 3 2 13 2 3" xfId="19377"/>
    <cellStyle name="Normal 4 3 2 13 2 4" xfId="35831"/>
    <cellStyle name="Normal 4 3 2 13 3" xfId="4572"/>
    <cellStyle name="Normal 4 3 2 13 3 2" xfId="12797"/>
    <cellStyle name="Normal 4 3 2 13 3 2 2" xfId="29247"/>
    <cellStyle name="Normal 4 3 2 13 3 3" xfId="21022"/>
    <cellStyle name="Normal 4 3 2 13 3 4" xfId="37476"/>
    <cellStyle name="Normal 4 3 2 13 4" xfId="6217"/>
    <cellStyle name="Normal 4 3 2 13 4 2" xfId="14442"/>
    <cellStyle name="Normal 4 3 2 13 4 2 2" xfId="30892"/>
    <cellStyle name="Normal 4 3 2 13 4 3" xfId="22667"/>
    <cellStyle name="Normal 4 3 2 13 4 4" xfId="39121"/>
    <cellStyle name="Normal 4 3 2 13 5" xfId="7862"/>
    <cellStyle name="Normal 4 3 2 13 5 2" xfId="16087"/>
    <cellStyle name="Normal 4 3 2 13 5 2 2" xfId="32537"/>
    <cellStyle name="Normal 4 3 2 13 5 3" xfId="24312"/>
    <cellStyle name="Normal 4 3 2 13 5 4" xfId="40766"/>
    <cellStyle name="Normal 4 3 2 13 6" xfId="9507"/>
    <cellStyle name="Normal 4 3 2 13 6 2" xfId="25957"/>
    <cellStyle name="Normal 4 3 2 13 7" xfId="17731"/>
    <cellStyle name="Normal 4 3 2 13 8" xfId="34185"/>
    <cellStyle name="Normal 4 3 2 14" xfId="1512"/>
    <cellStyle name="Normal 4 3 2 14 2" xfId="3162"/>
    <cellStyle name="Normal 4 3 2 14 2 2" xfId="11387"/>
    <cellStyle name="Normal 4 3 2 14 2 2 2" xfId="27837"/>
    <cellStyle name="Normal 4 3 2 14 2 3" xfId="19612"/>
    <cellStyle name="Normal 4 3 2 14 2 4" xfId="36066"/>
    <cellStyle name="Normal 4 3 2 14 3" xfId="4807"/>
    <cellStyle name="Normal 4 3 2 14 3 2" xfId="13032"/>
    <cellStyle name="Normal 4 3 2 14 3 2 2" xfId="29482"/>
    <cellStyle name="Normal 4 3 2 14 3 3" xfId="21257"/>
    <cellStyle name="Normal 4 3 2 14 3 4" xfId="37711"/>
    <cellStyle name="Normal 4 3 2 14 4" xfId="6452"/>
    <cellStyle name="Normal 4 3 2 14 4 2" xfId="14677"/>
    <cellStyle name="Normal 4 3 2 14 4 2 2" xfId="31127"/>
    <cellStyle name="Normal 4 3 2 14 4 3" xfId="22902"/>
    <cellStyle name="Normal 4 3 2 14 4 4" xfId="39356"/>
    <cellStyle name="Normal 4 3 2 14 5" xfId="8097"/>
    <cellStyle name="Normal 4 3 2 14 5 2" xfId="16322"/>
    <cellStyle name="Normal 4 3 2 14 5 2 2" xfId="32772"/>
    <cellStyle name="Normal 4 3 2 14 5 3" xfId="24547"/>
    <cellStyle name="Normal 4 3 2 14 5 4" xfId="41001"/>
    <cellStyle name="Normal 4 3 2 14 6" xfId="9742"/>
    <cellStyle name="Normal 4 3 2 14 6 2" xfId="26192"/>
    <cellStyle name="Normal 4 3 2 14 7" xfId="17966"/>
    <cellStyle name="Normal 4 3 2 14 8" xfId="34420"/>
    <cellStyle name="Normal 4 3 2 15" xfId="1747"/>
    <cellStyle name="Normal 4 3 2 15 2" xfId="9977"/>
    <cellStyle name="Normal 4 3 2 15 2 2" xfId="26427"/>
    <cellStyle name="Normal 4 3 2 15 3" xfId="18201"/>
    <cellStyle name="Normal 4 3 2 15 4" xfId="34655"/>
    <cellStyle name="Normal 4 3 2 16" xfId="3397"/>
    <cellStyle name="Normal 4 3 2 16 2" xfId="11622"/>
    <cellStyle name="Normal 4 3 2 16 2 2" xfId="28072"/>
    <cellStyle name="Normal 4 3 2 16 3" xfId="19847"/>
    <cellStyle name="Normal 4 3 2 16 4" xfId="36301"/>
    <cellStyle name="Normal 4 3 2 17" xfId="5042"/>
    <cellStyle name="Normal 4 3 2 17 2" xfId="13267"/>
    <cellStyle name="Normal 4 3 2 17 2 2" xfId="29717"/>
    <cellStyle name="Normal 4 3 2 17 3" xfId="21492"/>
    <cellStyle name="Normal 4 3 2 17 4" xfId="37946"/>
    <cellStyle name="Normal 4 3 2 18" xfId="6687"/>
    <cellStyle name="Normal 4 3 2 18 2" xfId="14912"/>
    <cellStyle name="Normal 4 3 2 18 2 2" xfId="31362"/>
    <cellStyle name="Normal 4 3 2 18 3" xfId="23137"/>
    <cellStyle name="Normal 4 3 2 18 4" xfId="39591"/>
    <cellStyle name="Normal 4 3 2 19" xfId="8332"/>
    <cellStyle name="Normal 4 3 2 19 2" xfId="24782"/>
    <cellStyle name="Normal 4 3 2 2" xfId="68"/>
    <cellStyle name="Normal 4 3 2 2 10" xfId="3422"/>
    <cellStyle name="Normal 4 3 2 2 10 2" xfId="11647"/>
    <cellStyle name="Normal 4 3 2 2 10 2 2" xfId="28097"/>
    <cellStyle name="Normal 4 3 2 2 10 3" xfId="19872"/>
    <cellStyle name="Normal 4 3 2 2 10 4" xfId="36326"/>
    <cellStyle name="Normal 4 3 2 2 11" xfId="5067"/>
    <cellStyle name="Normal 4 3 2 2 11 2" xfId="13292"/>
    <cellStyle name="Normal 4 3 2 2 11 2 2" xfId="29742"/>
    <cellStyle name="Normal 4 3 2 2 11 3" xfId="21517"/>
    <cellStyle name="Normal 4 3 2 2 11 4" xfId="37971"/>
    <cellStyle name="Normal 4 3 2 2 12" xfId="6712"/>
    <cellStyle name="Normal 4 3 2 2 12 2" xfId="14937"/>
    <cellStyle name="Normal 4 3 2 2 12 2 2" xfId="31387"/>
    <cellStyle name="Normal 4 3 2 2 12 3" xfId="23162"/>
    <cellStyle name="Normal 4 3 2 2 12 4" xfId="39616"/>
    <cellStyle name="Normal 4 3 2 2 13" xfId="8357"/>
    <cellStyle name="Normal 4 3 2 2 13 2" xfId="24807"/>
    <cellStyle name="Normal 4 3 2 2 14" xfId="16581"/>
    <cellStyle name="Normal 4 3 2 2 15" xfId="33034"/>
    <cellStyle name="Normal 4 3 2 2 16" xfId="41262"/>
    <cellStyle name="Normal 4 3 2 2 2" xfId="118"/>
    <cellStyle name="Normal 4 3 2 2 2 10" xfId="5117"/>
    <cellStyle name="Normal 4 3 2 2 2 10 2" xfId="13342"/>
    <cellStyle name="Normal 4 3 2 2 2 10 2 2" xfId="29792"/>
    <cellStyle name="Normal 4 3 2 2 2 10 3" xfId="21567"/>
    <cellStyle name="Normal 4 3 2 2 2 10 4" xfId="38021"/>
    <cellStyle name="Normal 4 3 2 2 2 11" xfId="6762"/>
    <cellStyle name="Normal 4 3 2 2 2 11 2" xfId="14987"/>
    <cellStyle name="Normal 4 3 2 2 2 11 2 2" xfId="31437"/>
    <cellStyle name="Normal 4 3 2 2 2 11 3" xfId="23212"/>
    <cellStyle name="Normal 4 3 2 2 2 11 4" xfId="39666"/>
    <cellStyle name="Normal 4 3 2 2 2 12" xfId="8407"/>
    <cellStyle name="Normal 4 3 2 2 2 12 2" xfId="24857"/>
    <cellStyle name="Normal 4 3 2 2 2 13" xfId="16631"/>
    <cellStyle name="Normal 4 3 2 2 2 14" xfId="33084"/>
    <cellStyle name="Normal 4 3 2 2 2 15" xfId="41312"/>
    <cellStyle name="Normal 4 3 2 2 2 2" xfId="361"/>
    <cellStyle name="Normal 4 3 2 2 2 2 2" xfId="2060"/>
    <cellStyle name="Normal 4 3 2 2 2 2 2 2" xfId="10287"/>
    <cellStyle name="Normal 4 3 2 2 2 2 2 2 2" xfId="26737"/>
    <cellStyle name="Normal 4 3 2 2 2 2 2 3" xfId="18512"/>
    <cellStyle name="Normal 4 3 2 2 2 2 2 4" xfId="34966"/>
    <cellStyle name="Normal 4 3 2 2 2 2 3" xfId="3707"/>
    <cellStyle name="Normal 4 3 2 2 2 2 3 2" xfId="11932"/>
    <cellStyle name="Normal 4 3 2 2 2 2 3 2 2" xfId="28382"/>
    <cellStyle name="Normal 4 3 2 2 2 2 3 3" xfId="20157"/>
    <cellStyle name="Normal 4 3 2 2 2 2 3 4" xfId="36611"/>
    <cellStyle name="Normal 4 3 2 2 2 2 4" xfId="5352"/>
    <cellStyle name="Normal 4 3 2 2 2 2 4 2" xfId="13577"/>
    <cellStyle name="Normal 4 3 2 2 2 2 4 2 2" xfId="30027"/>
    <cellStyle name="Normal 4 3 2 2 2 2 4 3" xfId="21802"/>
    <cellStyle name="Normal 4 3 2 2 2 2 4 4" xfId="38256"/>
    <cellStyle name="Normal 4 3 2 2 2 2 5" xfId="6997"/>
    <cellStyle name="Normal 4 3 2 2 2 2 5 2" xfId="15222"/>
    <cellStyle name="Normal 4 3 2 2 2 2 5 2 2" xfId="31672"/>
    <cellStyle name="Normal 4 3 2 2 2 2 5 3" xfId="23447"/>
    <cellStyle name="Normal 4 3 2 2 2 2 5 4" xfId="39901"/>
    <cellStyle name="Normal 4 3 2 2 2 2 6" xfId="8642"/>
    <cellStyle name="Normal 4 3 2 2 2 2 6 2" xfId="25092"/>
    <cellStyle name="Normal 4 3 2 2 2 2 7" xfId="16866"/>
    <cellStyle name="Normal 4 3 2 2 2 2 8" xfId="33320"/>
    <cellStyle name="Normal 4 3 2 2 2 2 9" xfId="41547"/>
    <cellStyle name="Normal 4 3 2 2 2 3" xfId="602"/>
    <cellStyle name="Normal 4 3 2 2 2 3 2" xfId="2297"/>
    <cellStyle name="Normal 4 3 2 2 2 3 2 2" xfId="10522"/>
    <cellStyle name="Normal 4 3 2 2 2 3 2 2 2" xfId="26972"/>
    <cellStyle name="Normal 4 3 2 2 2 3 2 3" xfId="18747"/>
    <cellStyle name="Normal 4 3 2 2 2 3 2 4" xfId="35201"/>
    <cellStyle name="Normal 4 3 2 2 2 3 3" xfId="3942"/>
    <cellStyle name="Normal 4 3 2 2 2 3 3 2" xfId="12167"/>
    <cellStyle name="Normal 4 3 2 2 2 3 3 2 2" xfId="28617"/>
    <cellStyle name="Normal 4 3 2 2 2 3 3 3" xfId="20392"/>
    <cellStyle name="Normal 4 3 2 2 2 3 3 4" xfId="36846"/>
    <cellStyle name="Normal 4 3 2 2 2 3 4" xfId="5587"/>
    <cellStyle name="Normal 4 3 2 2 2 3 4 2" xfId="13812"/>
    <cellStyle name="Normal 4 3 2 2 2 3 4 2 2" xfId="30262"/>
    <cellStyle name="Normal 4 3 2 2 2 3 4 3" xfId="22037"/>
    <cellStyle name="Normal 4 3 2 2 2 3 4 4" xfId="38491"/>
    <cellStyle name="Normal 4 3 2 2 2 3 5" xfId="7232"/>
    <cellStyle name="Normal 4 3 2 2 2 3 5 2" xfId="15457"/>
    <cellStyle name="Normal 4 3 2 2 2 3 5 2 2" xfId="31907"/>
    <cellStyle name="Normal 4 3 2 2 2 3 5 3" xfId="23682"/>
    <cellStyle name="Normal 4 3 2 2 2 3 5 4" xfId="40136"/>
    <cellStyle name="Normal 4 3 2 2 2 3 6" xfId="8877"/>
    <cellStyle name="Normal 4 3 2 2 2 3 6 2" xfId="25327"/>
    <cellStyle name="Normal 4 3 2 2 2 3 7" xfId="17101"/>
    <cellStyle name="Normal 4 3 2 2 2 3 8" xfId="33555"/>
    <cellStyle name="Normal 4 3 2 2 2 3 9" xfId="41782"/>
    <cellStyle name="Normal 4 3 2 2 2 4" xfId="837"/>
    <cellStyle name="Normal 4 3 2 2 2 4 2" xfId="2532"/>
    <cellStyle name="Normal 4 3 2 2 2 4 2 2" xfId="10757"/>
    <cellStyle name="Normal 4 3 2 2 2 4 2 2 2" xfId="27207"/>
    <cellStyle name="Normal 4 3 2 2 2 4 2 3" xfId="18982"/>
    <cellStyle name="Normal 4 3 2 2 2 4 2 4" xfId="35436"/>
    <cellStyle name="Normal 4 3 2 2 2 4 3" xfId="4177"/>
    <cellStyle name="Normal 4 3 2 2 2 4 3 2" xfId="12402"/>
    <cellStyle name="Normal 4 3 2 2 2 4 3 2 2" xfId="28852"/>
    <cellStyle name="Normal 4 3 2 2 2 4 3 3" xfId="20627"/>
    <cellStyle name="Normal 4 3 2 2 2 4 3 4" xfId="37081"/>
    <cellStyle name="Normal 4 3 2 2 2 4 4" xfId="5822"/>
    <cellStyle name="Normal 4 3 2 2 2 4 4 2" xfId="14047"/>
    <cellStyle name="Normal 4 3 2 2 2 4 4 2 2" xfId="30497"/>
    <cellStyle name="Normal 4 3 2 2 2 4 4 3" xfId="22272"/>
    <cellStyle name="Normal 4 3 2 2 2 4 4 4" xfId="38726"/>
    <cellStyle name="Normal 4 3 2 2 2 4 5" xfId="7467"/>
    <cellStyle name="Normal 4 3 2 2 2 4 5 2" xfId="15692"/>
    <cellStyle name="Normal 4 3 2 2 2 4 5 2 2" xfId="32142"/>
    <cellStyle name="Normal 4 3 2 2 2 4 5 3" xfId="23917"/>
    <cellStyle name="Normal 4 3 2 2 2 4 5 4" xfId="40371"/>
    <cellStyle name="Normal 4 3 2 2 2 4 6" xfId="9112"/>
    <cellStyle name="Normal 4 3 2 2 2 4 6 2" xfId="25562"/>
    <cellStyle name="Normal 4 3 2 2 2 4 7" xfId="17336"/>
    <cellStyle name="Normal 4 3 2 2 2 4 8" xfId="33790"/>
    <cellStyle name="Normal 4 3 2 2 2 4 9" xfId="42017"/>
    <cellStyle name="Normal 4 3 2 2 2 5" xfId="1072"/>
    <cellStyle name="Normal 4 3 2 2 2 5 2" xfId="2767"/>
    <cellStyle name="Normal 4 3 2 2 2 5 2 2" xfId="10992"/>
    <cellStyle name="Normal 4 3 2 2 2 5 2 2 2" xfId="27442"/>
    <cellStyle name="Normal 4 3 2 2 2 5 2 3" xfId="19217"/>
    <cellStyle name="Normal 4 3 2 2 2 5 2 4" xfId="35671"/>
    <cellStyle name="Normal 4 3 2 2 2 5 3" xfId="4412"/>
    <cellStyle name="Normal 4 3 2 2 2 5 3 2" xfId="12637"/>
    <cellStyle name="Normal 4 3 2 2 2 5 3 2 2" xfId="29087"/>
    <cellStyle name="Normal 4 3 2 2 2 5 3 3" xfId="20862"/>
    <cellStyle name="Normal 4 3 2 2 2 5 3 4" xfId="37316"/>
    <cellStyle name="Normal 4 3 2 2 2 5 4" xfId="6057"/>
    <cellStyle name="Normal 4 3 2 2 2 5 4 2" xfId="14282"/>
    <cellStyle name="Normal 4 3 2 2 2 5 4 2 2" xfId="30732"/>
    <cellStyle name="Normal 4 3 2 2 2 5 4 3" xfId="22507"/>
    <cellStyle name="Normal 4 3 2 2 2 5 4 4" xfId="38961"/>
    <cellStyle name="Normal 4 3 2 2 2 5 5" xfId="7702"/>
    <cellStyle name="Normal 4 3 2 2 2 5 5 2" xfId="15927"/>
    <cellStyle name="Normal 4 3 2 2 2 5 5 2 2" xfId="32377"/>
    <cellStyle name="Normal 4 3 2 2 2 5 5 3" xfId="24152"/>
    <cellStyle name="Normal 4 3 2 2 2 5 5 4" xfId="40606"/>
    <cellStyle name="Normal 4 3 2 2 2 5 6" xfId="9347"/>
    <cellStyle name="Normal 4 3 2 2 2 5 6 2" xfId="25797"/>
    <cellStyle name="Normal 4 3 2 2 2 5 7" xfId="17571"/>
    <cellStyle name="Normal 4 3 2 2 2 5 8" xfId="34025"/>
    <cellStyle name="Normal 4 3 2 2 2 5 9" xfId="42252"/>
    <cellStyle name="Normal 4 3 2 2 2 6" xfId="1352"/>
    <cellStyle name="Normal 4 3 2 2 2 6 2" xfId="3002"/>
    <cellStyle name="Normal 4 3 2 2 2 6 2 2" xfId="11227"/>
    <cellStyle name="Normal 4 3 2 2 2 6 2 2 2" xfId="27677"/>
    <cellStyle name="Normal 4 3 2 2 2 6 2 3" xfId="19452"/>
    <cellStyle name="Normal 4 3 2 2 2 6 2 4" xfId="35906"/>
    <cellStyle name="Normal 4 3 2 2 2 6 3" xfId="4647"/>
    <cellStyle name="Normal 4 3 2 2 2 6 3 2" xfId="12872"/>
    <cellStyle name="Normal 4 3 2 2 2 6 3 2 2" xfId="29322"/>
    <cellStyle name="Normal 4 3 2 2 2 6 3 3" xfId="21097"/>
    <cellStyle name="Normal 4 3 2 2 2 6 3 4" xfId="37551"/>
    <cellStyle name="Normal 4 3 2 2 2 6 4" xfId="6292"/>
    <cellStyle name="Normal 4 3 2 2 2 6 4 2" xfId="14517"/>
    <cellStyle name="Normal 4 3 2 2 2 6 4 2 2" xfId="30967"/>
    <cellStyle name="Normal 4 3 2 2 2 6 4 3" xfId="22742"/>
    <cellStyle name="Normal 4 3 2 2 2 6 4 4" xfId="39196"/>
    <cellStyle name="Normal 4 3 2 2 2 6 5" xfId="7937"/>
    <cellStyle name="Normal 4 3 2 2 2 6 5 2" xfId="16162"/>
    <cellStyle name="Normal 4 3 2 2 2 6 5 2 2" xfId="32612"/>
    <cellStyle name="Normal 4 3 2 2 2 6 5 3" xfId="24387"/>
    <cellStyle name="Normal 4 3 2 2 2 6 5 4" xfId="40841"/>
    <cellStyle name="Normal 4 3 2 2 2 6 6" xfId="9582"/>
    <cellStyle name="Normal 4 3 2 2 2 6 6 2" xfId="26032"/>
    <cellStyle name="Normal 4 3 2 2 2 6 7" xfId="17806"/>
    <cellStyle name="Normal 4 3 2 2 2 6 8" xfId="34260"/>
    <cellStyle name="Normal 4 3 2 2 2 7" xfId="1587"/>
    <cellStyle name="Normal 4 3 2 2 2 7 2" xfId="3237"/>
    <cellStyle name="Normal 4 3 2 2 2 7 2 2" xfId="11462"/>
    <cellStyle name="Normal 4 3 2 2 2 7 2 2 2" xfId="27912"/>
    <cellStyle name="Normal 4 3 2 2 2 7 2 3" xfId="19687"/>
    <cellStyle name="Normal 4 3 2 2 2 7 2 4" xfId="36141"/>
    <cellStyle name="Normal 4 3 2 2 2 7 3" xfId="4882"/>
    <cellStyle name="Normal 4 3 2 2 2 7 3 2" xfId="13107"/>
    <cellStyle name="Normal 4 3 2 2 2 7 3 2 2" xfId="29557"/>
    <cellStyle name="Normal 4 3 2 2 2 7 3 3" xfId="21332"/>
    <cellStyle name="Normal 4 3 2 2 2 7 3 4" xfId="37786"/>
    <cellStyle name="Normal 4 3 2 2 2 7 4" xfId="6527"/>
    <cellStyle name="Normal 4 3 2 2 2 7 4 2" xfId="14752"/>
    <cellStyle name="Normal 4 3 2 2 2 7 4 2 2" xfId="31202"/>
    <cellStyle name="Normal 4 3 2 2 2 7 4 3" xfId="22977"/>
    <cellStyle name="Normal 4 3 2 2 2 7 4 4" xfId="39431"/>
    <cellStyle name="Normal 4 3 2 2 2 7 5" xfId="8172"/>
    <cellStyle name="Normal 4 3 2 2 2 7 5 2" xfId="16397"/>
    <cellStyle name="Normal 4 3 2 2 2 7 5 2 2" xfId="32847"/>
    <cellStyle name="Normal 4 3 2 2 2 7 5 3" xfId="24622"/>
    <cellStyle name="Normal 4 3 2 2 2 7 5 4" xfId="41076"/>
    <cellStyle name="Normal 4 3 2 2 2 7 6" xfId="9817"/>
    <cellStyle name="Normal 4 3 2 2 2 7 6 2" xfId="26267"/>
    <cellStyle name="Normal 4 3 2 2 2 7 7" xfId="18041"/>
    <cellStyle name="Normal 4 3 2 2 2 7 8" xfId="34495"/>
    <cellStyle name="Normal 4 3 2 2 2 8" xfId="1822"/>
    <cellStyle name="Normal 4 3 2 2 2 8 2" xfId="10052"/>
    <cellStyle name="Normal 4 3 2 2 2 8 2 2" xfId="26502"/>
    <cellStyle name="Normal 4 3 2 2 2 8 3" xfId="18276"/>
    <cellStyle name="Normal 4 3 2 2 2 8 4" xfId="34730"/>
    <cellStyle name="Normal 4 3 2 2 2 9" xfId="3472"/>
    <cellStyle name="Normal 4 3 2 2 2 9 2" xfId="11697"/>
    <cellStyle name="Normal 4 3 2 2 2 9 2 2" xfId="28147"/>
    <cellStyle name="Normal 4 3 2 2 2 9 3" xfId="19922"/>
    <cellStyle name="Normal 4 3 2 2 2 9 4" xfId="36376"/>
    <cellStyle name="Normal 4 3 2 2 3" xfId="311"/>
    <cellStyle name="Normal 4 3 2 2 3 2" xfId="2010"/>
    <cellStyle name="Normal 4 3 2 2 3 2 2" xfId="10237"/>
    <cellStyle name="Normal 4 3 2 2 3 2 2 2" xfId="26687"/>
    <cellStyle name="Normal 4 3 2 2 3 2 3" xfId="18462"/>
    <cellStyle name="Normal 4 3 2 2 3 2 4" xfId="34916"/>
    <cellStyle name="Normal 4 3 2 2 3 3" xfId="3657"/>
    <cellStyle name="Normal 4 3 2 2 3 3 2" xfId="11882"/>
    <cellStyle name="Normal 4 3 2 2 3 3 2 2" xfId="28332"/>
    <cellStyle name="Normal 4 3 2 2 3 3 3" xfId="20107"/>
    <cellStyle name="Normal 4 3 2 2 3 3 4" xfId="36561"/>
    <cellStyle name="Normal 4 3 2 2 3 4" xfId="5302"/>
    <cellStyle name="Normal 4 3 2 2 3 4 2" xfId="13527"/>
    <cellStyle name="Normal 4 3 2 2 3 4 2 2" xfId="29977"/>
    <cellStyle name="Normal 4 3 2 2 3 4 3" xfId="21752"/>
    <cellStyle name="Normal 4 3 2 2 3 4 4" xfId="38206"/>
    <cellStyle name="Normal 4 3 2 2 3 5" xfId="6947"/>
    <cellStyle name="Normal 4 3 2 2 3 5 2" xfId="15172"/>
    <cellStyle name="Normal 4 3 2 2 3 5 2 2" xfId="31622"/>
    <cellStyle name="Normal 4 3 2 2 3 5 3" xfId="23397"/>
    <cellStyle name="Normal 4 3 2 2 3 5 4" xfId="39851"/>
    <cellStyle name="Normal 4 3 2 2 3 6" xfId="8592"/>
    <cellStyle name="Normal 4 3 2 2 3 6 2" xfId="25042"/>
    <cellStyle name="Normal 4 3 2 2 3 7" xfId="16816"/>
    <cellStyle name="Normal 4 3 2 2 3 8" xfId="33270"/>
    <cellStyle name="Normal 4 3 2 2 3 9" xfId="41497"/>
    <cellStyle name="Normal 4 3 2 2 4" xfId="552"/>
    <cellStyle name="Normal 4 3 2 2 4 2" xfId="2247"/>
    <cellStyle name="Normal 4 3 2 2 4 2 2" xfId="10472"/>
    <cellStyle name="Normal 4 3 2 2 4 2 2 2" xfId="26922"/>
    <cellStyle name="Normal 4 3 2 2 4 2 3" xfId="18697"/>
    <cellStyle name="Normal 4 3 2 2 4 2 4" xfId="35151"/>
    <cellStyle name="Normal 4 3 2 2 4 3" xfId="3892"/>
    <cellStyle name="Normal 4 3 2 2 4 3 2" xfId="12117"/>
    <cellStyle name="Normal 4 3 2 2 4 3 2 2" xfId="28567"/>
    <cellStyle name="Normal 4 3 2 2 4 3 3" xfId="20342"/>
    <cellStyle name="Normal 4 3 2 2 4 3 4" xfId="36796"/>
    <cellStyle name="Normal 4 3 2 2 4 4" xfId="5537"/>
    <cellStyle name="Normal 4 3 2 2 4 4 2" xfId="13762"/>
    <cellStyle name="Normal 4 3 2 2 4 4 2 2" xfId="30212"/>
    <cellStyle name="Normal 4 3 2 2 4 4 3" xfId="21987"/>
    <cellStyle name="Normal 4 3 2 2 4 4 4" xfId="38441"/>
    <cellStyle name="Normal 4 3 2 2 4 5" xfId="7182"/>
    <cellStyle name="Normal 4 3 2 2 4 5 2" xfId="15407"/>
    <cellStyle name="Normal 4 3 2 2 4 5 2 2" xfId="31857"/>
    <cellStyle name="Normal 4 3 2 2 4 5 3" xfId="23632"/>
    <cellStyle name="Normal 4 3 2 2 4 5 4" xfId="40086"/>
    <cellStyle name="Normal 4 3 2 2 4 6" xfId="8827"/>
    <cellStyle name="Normal 4 3 2 2 4 6 2" xfId="25277"/>
    <cellStyle name="Normal 4 3 2 2 4 7" xfId="17051"/>
    <cellStyle name="Normal 4 3 2 2 4 8" xfId="33505"/>
    <cellStyle name="Normal 4 3 2 2 4 9" xfId="41732"/>
    <cellStyle name="Normal 4 3 2 2 5" xfId="787"/>
    <cellStyle name="Normal 4 3 2 2 5 2" xfId="2482"/>
    <cellStyle name="Normal 4 3 2 2 5 2 2" xfId="10707"/>
    <cellStyle name="Normal 4 3 2 2 5 2 2 2" xfId="27157"/>
    <cellStyle name="Normal 4 3 2 2 5 2 3" xfId="18932"/>
    <cellStyle name="Normal 4 3 2 2 5 2 4" xfId="35386"/>
    <cellStyle name="Normal 4 3 2 2 5 3" xfId="4127"/>
    <cellStyle name="Normal 4 3 2 2 5 3 2" xfId="12352"/>
    <cellStyle name="Normal 4 3 2 2 5 3 2 2" xfId="28802"/>
    <cellStyle name="Normal 4 3 2 2 5 3 3" xfId="20577"/>
    <cellStyle name="Normal 4 3 2 2 5 3 4" xfId="37031"/>
    <cellStyle name="Normal 4 3 2 2 5 4" xfId="5772"/>
    <cellStyle name="Normal 4 3 2 2 5 4 2" xfId="13997"/>
    <cellStyle name="Normal 4 3 2 2 5 4 2 2" xfId="30447"/>
    <cellStyle name="Normal 4 3 2 2 5 4 3" xfId="22222"/>
    <cellStyle name="Normal 4 3 2 2 5 4 4" xfId="38676"/>
    <cellStyle name="Normal 4 3 2 2 5 5" xfId="7417"/>
    <cellStyle name="Normal 4 3 2 2 5 5 2" xfId="15642"/>
    <cellStyle name="Normal 4 3 2 2 5 5 2 2" xfId="32092"/>
    <cellStyle name="Normal 4 3 2 2 5 5 3" xfId="23867"/>
    <cellStyle name="Normal 4 3 2 2 5 5 4" xfId="40321"/>
    <cellStyle name="Normal 4 3 2 2 5 6" xfId="9062"/>
    <cellStyle name="Normal 4 3 2 2 5 6 2" xfId="25512"/>
    <cellStyle name="Normal 4 3 2 2 5 7" xfId="17286"/>
    <cellStyle name="Normal 4 3 2 2 5 8" xfId="33740"/>
    <cellStyle name="Normal 4 3 2 2 5 9" xfId="41967"/>
    <cellStyle name="Normal 4 3 2 2 6" xfId="1022"/>
    <cellStyle name="Normal 4 3 2 2 6 2" xfId="2717"/>
    <cellStyle name="Normal 4 3 2 2 6 2 2" xfId="10942"/>
    <cellStyle name="Normal 4 3 2 2 6 2 2 2" xfId="27392"/>
    <cellStyle name="Normal 4 3 2 2 6 2 3" xfId="19167"/>
    <cellStyle name="Normal 4 3 2 2 6 2 4" xfId="35621"/>
    <cellStyle name="Normal 4 3 2 2 6 3" xfId="4362"/>
    <cellStyle name="Normal 4 3 2 2 6 3 2" xfId="12587"/>
    <cellStyle name="Normal 4 3 2 2 6 3 2 2" xfId="29037"/>
    <cellStyle name="Normal 4 3 2 2 6 3 3" xfId="20812"/>
    <cellStyle name="Normal 4 3 2 2 6 3 4" xfId="37266"/>
    <cellStyle name="Normal 4 3 2 2 6 4" xfId="6007"/>
    <cellStyle name="Normal 4 3 2 2 6 4 2" xfId="14232"/>
    <cellStyle name="Normal 4 3 2 2 6 4 2 2" xfId="30682"/>
    <cellStyle name="Normal 4 3 2 2 6 4 3" xfId="22457"/>
    <cellStyle name="Normal 4 3 2 2 6 4 4" xfId="38911"/>
    <cellStyle name="Normal 4 3 2 2 6 5" xfId="7652"/>
    <cellStyle name="Normal 4 3 2 2 6 5 2" xfId="15877"/>
    <cellStyle name="Normal 4 3 2 2 6 5 2 2" xfId="32327"/>
    <cellStyle name="Normal 4 3 2 2 6 5 3" xfId="24102"/>
    <cellStyle name="Normal 4 3 2 2 6 5 4" xfId="40556"/>
    <cellStyle name="Normal 4 3 2 2 6 6" xfId="9297"/>
    <cellStyle name="Normal 4 3 2 2 6 6 2" xfId="25747"/>
    <cellStyle name="Normal 4 3 2 2 6 7" xfId="17521"/>
    <cellStyle name="Normal 4 3 2 2 6 8" xfId="33975"/>
    <cellStyle name="Normal 4 3 2 2 6 9" xfId="42202"/>
    <cellStyle name="Normal 4 3 2 2 7" xfId="1302"/>
    <cellStyle name="Normal 4 3 2 2 7 2" xfId="2952"/>
    <cellStyle name="Normal 4 3 2 2 7 2 2" xfId="11177"/>
    <cellStyle name="Normal 4 3 2 2 7 2 2 2" xfId="27627"/>
    <cellStyle name="Normal 4 3 2 2 7 2 3" xfId="19402"/>
    <cellStyle name="Normal 4 3 2 2 7 2 4" xfId="35856"/>
    <cellStyle name="Normal 4 3 2 2 7 3" xfId="4597"/>
    <cellStyle name="Normal 4 3 2 2 7 3 2" xfId="12822"/>
    <cellStyle name="Normal 4 3 2 2 7 3 2 2" xfId="29272"/>
    <cellStyle name="Normal 4 3 2 2 7 3 3" xfId="21047"/>
    <cellStyle name="Normal 4 3 2 2 7 3 4" xfId="37501"/>
    <cellStyle name="Normal 4 3 2 2 7 4" xfId="6242"/>
    <cellStyle name="Normal 4 3 2 2 7 4 2" xfId="14467"/>
    <cellStyle name="Normal 4 3 2 2 7 4 2 2" xfId="30917"/>
    <cellStyle name="Normal 4 3 2 2 7 4 3" xfId="22692"/>
    <cellStyle name="Normal 4 3 2 2 7 4 4" xfId="39146"/>
    <cellStyle name="Normal 4 3 2 2 7 5" xfId="7887"/>
    <cellStyle name="Normal 4 3 2 2 7 5 2" xfId="16112"/>
    <cellStyle name="Normal 4 3 2 2 7 5 2 2" xfId="32562"/>
    <cellStyle name="Normal 4 3 2 2 7 5 3" xfId="24337"/>
    <cellStyle name="Normal 4 3 2 2 7 5 4" xfId="40791"/>
    <cellStyle name="Normal 4 3 2 2 7 6" xfId="9532"/>
    <cellStyle name="Normal 4 3 2 2 7 6 2" xfId="25982"/>
    <cellStyle name="Normal 4 3 2 2 7 7" xfId="17756"/>
    <cellStyle name="Normal 4 3 2 2 7 8" xfId="34210"/>
    <cellStyle name="Normal 4 3 2 2 8" xfId="1537"/>
    <cellStyle name="Normal 4 3 2 2 8 2" xfId="3187"/>
    <cellStyle name="Normal 4 3 2 2 8 2 2" xfId="11412"/>
    <cellStyle name="Normal 4 3 2 2 8 2 2 2" xfId="27862"/>
    <cellStyle name="Normal 4 3 2 2 8 2 3" xfId="19637"/>
    <cellStyle name="Normal 4 3 2 2 8 2 4" xfId="36091"/>
    <cellStyle name="Normal 4 3 2 2 8 3" xfId="4832"/>
    <cellStyle name="Normal 4 3 2 2 8 3 2" xfId="13057"/>
    <cellStyle name="Normal 4 3 2 2 8 3 2 2" xfId="29507"/>
    <cellStyle name="Normal 4 3 2 2 8 3 3" xfId="21282"/>
    <cellStyle name="Normal 4 3 2 2 8 3 4" xfId="37736"/>
    <cellStyle name="Normal 4 3 2 2 8 4" xfId="6477"/>
    <cellStyle name="Normal 4 3 2 2 8 4 2" xfId="14702"/>
    <cellStyle name="Normal 4 3 2 2 8 4 2 2" xfId="31152"/>
    <cellStyle name="Normal 4 3 2 2 8 4 3" xfId="22927"/>
    <cellStyle name="Normal 4 3 2 2 8 4 4" xfId="39381"/>
    <cellStyle name="Normal 4 3 2 2 8 5" xfId="8122"/>
    <cellStyle name="Normal 4 3 2 2 8 5 2" xfId="16347"/>
    <cellStyle name="Normal 4 3 2 2 8 5 2 2" xfId="32797"/>
    <cellStyle name="Normal 4 3 2 2 8 5 3" xfId="24572"/>
    <cellStyle name="Normal 4 3 2 2 8 5 4" xfId="41026"/>
    <cellStyle name="Normal 4 3 2 2 8 6" xfId="9767"/>
    <cellStyle name="Normal 4 3 2 2 8 6 2" xfId="26217"/>
    <cellStyle name="Normal 4 3 2 2 8 7" xfId="17991"/>
    <cellStyle name="Normal 4 3 2 2 8 8" xfId="34445"/>
    <cellStyle name="Normal 4 3 2 2 9" xfId="1772"/>
    <cellStyle name="Normal 4 3 2 2 9 2" xfId="10002"/>
    <cellStyle name="Normal 4 3 2 2 9 2 2" xfId="26452"/>
    <cellStyle name="Normal 4 3 2 2 9 3" xfId="18226"/>
    <cellStyle name="Normal 4 3 2 2 9 4" xfId="34680"/>
    <cellStyle name="Normal 4 3 2 20" xfId="16556"/>
    <cellStyle name="Normal 4 3 2 21" xfId="33009"/>
    <cellStyle name="Normal 4 3 2 22" xfId="41237"/>
    <cellStyle name="Normal 4 3 2 3" xfId="93"/>
    <cellStyle name="Normal 4 3 2 3 10" xfId="5092"/>
    <cellStyle name="Normal 4 3 2 3 10 2" xfId="13317"/>
    <cellStyle name="Normal 4 3 2 3 10 2 2" xfId="29767"/>
    <cellStyle name="Normal 4 3 2 3 10 3" xfId="21542"/>
    <cellStyle name="Normal 4 3 2 3 10 4" xfId="37996"/>
    <cellStyle name="Normal 4 3 2 3 11" xfId="6737"/>
    <cellStyle name="Normal 4 3 2 3 11 2" xfId="14962"/>
    <cellStyle name="Normal 4 3 2 3 11 2 2" xfId="31412"/>
    <cellStyle name="Normal 4 3 2 3 11 3" xfId="23187"/>
    <cellStyle name="Normal 4 3 2 3 11 4" xfId="39641"/>
    <cellStyle name="Normal 4 3 2 3 12" xfId="8382"/>
    <cellStyle name="Normal 4 3 2 3 12 2" xfId="24832"/>
    <cellStyle name="Normal 4 3 2 3 13" xfId="16606"/>
    <cellStyle name="Normal 4 3 2 3 14" xfId="33059"/>
    <cellStyle name="Normal 4 3 2 3 15" xfId="41287"/>
    <cellStyle name="Normal 4 3 2 3 2" xfId="336"/>
    <cellStyle name="Normal 4 3 2 3 2 2" xfId="2035"/>
    <cellStyle name="Normal 4 3 2 3 2 2 2" xfId="10262"/>
    <cellStyle name="Normal 4 3 2 3 2 2 2 2" xfId="26712"/>
    <cellStyle name="Normal 4 3 2 3 2 2 3" xfId="18487"/>
    <cellStyle name="Normal 4 3 2 3 2 2 4" xfId="34941"/>
    <cellStyle name="Normal 4 3 2 3 2 3" xfId="3682"/>
    <cellStyle name="Normal 4 3 2 3 2 3 2" xfId="11907"/>
    <cellStyle name="Normal 4 3 2 3 2 3 2 2" xfId="28357"/>
    <cellStyle name="Normal 4 3 2 3 2 3 3" xfId="20132"/>
    <cellStyle name="Normal 4 3 2 3 2 3 4" xfId="36586"/>
    <cellStyle name="Normal 4 3 2 3 2 4" xfId="5327"/>
    <cellStyle name="Normal 4 3 2 3 2 4 2" xfId="13552"/>
    <cellStyle name="Normal 4 3 2 3 2 4 2 2" xfId="30002"/>
    <cellStyle name="Normal 4 3 2 3 2 4 3" xfId="21777"/>
    <cellStyle name="Normal 4 3 2 3 2 4 4" xfId="38231"/>
    <cellStyle name="Normal 4 3 2 3 2 5" xfId="6972"/>
    <cellStyle name="Normal 4 3 2 3 2 5 2" xfId="15197"/>
    <cellStyle name="Normal 4 3 2 3 2 5 2 2" xfId="31647"/>
    <cellStyle name="Normal 4 3 2 3 2 5 3" xfId="23422"/>
    <cellStyle name="Normal 4 3 2 3 2 5 4" xfId="39876"/>
    <cellStyle name="Normal 4 3 2 3 2 6" xfId="8617"/>
    <cellStyle name="Normal 4 3 2 3 2 6 2" xfId="25067"/>
    <cellStyle name="Normal 4 3 2 3 2 7" xfId="16841"/>
    <cellStyle name="Normal 4 3 2 3 2 8" xfId="33295"/>
    <cellStyle name="Normal 4 3 2 3 2 9" xfId="41522"/>
    <cellStyle name="Normal 4 3 2 3 3" xfId="577"/>
    <cellStyle name="Normal 4 3 2 3 3 2" xfId="2272"/>
    <cellStyle name="Normal 4 3 2 3 3 2 2" xfId="10497"/>
    <cellStyle name="Normal 4 3 2 3 3 2 2 2" xfId="26947"/>
    <cellStyle name="Normal 4 3 2 3 3 2 3" xfId="18722"/>
    <cellStyle name="Normal 4 3 2 3 3 2 4" xfId="35176"/>
    <cellStyle name="Normal 4 3 2 3 3 3" xfId="3917"/>
    <cellStyle name="Normal 4 3 2 3 3 3 2" xfId="12142"/>
    <cellStyle name="Normal 4 3 2 3 3 3 2 2" xfId="28592"/>
    <cellStyle name="Normal 4 3 2 3 3 3 3" xfId="20367"/>
    <cellStyle name="Normal 4 3 2 3 3 3 4" xfId="36821"/>
    <cellStyle name="Normal 4 3 2 3 3 4" xfId="5562"/>
    <cellStyle name="Normal 4 3 2 3 3 4 2" xfId="13787"/>
    <cellStyle name="Normal 4 3 2 3 3 4 2 2" xfId="30237"/>
    <cellStyle name="Normal 4 3 2 3 3 4 3" xfId="22012"/>
    <cellStyle name="Normal 4 3 2 3 3 4 4" xfId="38466"/>
    <cellStyle name="Normal 4 3 2 3 3 5" xfId="7207"/>
    <cellStyle name="Normal 4 3 2 3 3 5 2" xfId="15432"/>
    <cellStyle name="Normal 4 3 2 3 3 5 2 2" xfId="31882"/>
    <cellStyle name="Normal 4 3 2 3 3 5 3" xfId="23657"/>
    <cellStyle name="Normal 4 3 2 3 3 5 4" xfId="40111"/>
    <cellStyle name="Normal 4 3 2 3 3 6" xfId="8852"/>
    <cellStyle name="Normal 4 3 2 3 3 6 2" xfId="25302"/>
    <cellStyle name="Normal 4 3 2 3 3 7" xfId="17076"/>
    <cellStyle name="Normal 4 3 2 3 3 8" xfId="33530"/>
    <cellStyle name="Normal 4 3 2 3 3 9" xfId="41757"/>
    <cellStyle name="Normal 4 3 2 3 4" xfId="812"/>
    <cellStyle name="Normal 4 3 2 3 4 2" xfId="2507"/>
    <cellStyle name="Normal 4 3 2 3 4 2 2" xfId="10732"/>
    <cellStyle name="Normal 4 3 2 3 4 2 2 2" xfId="27182"/>
    <cellStyle name="Normal 4 3 2 3 4 2 3" xfId="18957"/>
    <cellStyle name="Normal 4 3 2 3 4 2 4" xfId="35411"/>
    <cellStyle name="Normal 4 3 2 3 4 3" xfId="4152"/>
    <cellStyle name="Normal 4 3 2 3 4 3 2" xfId="12377"/>
    <cellStyle name="Normal 4 3 2 3 4 3 2 2" xfId="28827"/>
    <cellStyle name="Normal 4 3 2 3 4 3 3" xfId="20602"/>
    <cellStyle name="Normal 4 3 2 3 4 3 4" xfId="37056"/>
    <cellStyle name="Normal 4 3 2 3 4 4" xfId="5797"/>
    <cellStyle name="Normal 4 3 2 3 4 4 2" xfId="14022"/>
    <cellStyle name="Normal 4 3 2 3 4 4 2 2" xfId="30472"/>
    <cellStyle name="Normal 4 3 2 3 4 4 3" xfId="22247"/>
    <cellStyle name="Normal 4 3 2 3 4 4 4" xfId="38701"/>
    <cellStyle name="Normal 4 3 2 3 4 5" xfId="7442"/>
    <cellStyle name="Normal 4 3 2 3 4 5 2" xfId="15667"/>
    <cellStyle name="Normal 4 3 2 3 4 5 2 2" xfId="32117"/>
    <cellStyle name="Normal 4 3 2 3 4 5 3" xfId="23892"/>
    <cellStyle name="Normal 4 3 2 3 4 5 4" xfId="40346"/>
    <cellStyle name="Normal 4 3 2 3 4 6" xfId="9087"/>
    <cellStyle name="Normal 4 3 2 3 4 6 2" xfId="25537"/>
    <cellStyle name="Normal 4 3 2 3 4 7" xfId="17311"/>
    <cellStyle name="Normal 4 3 2 3 4 8" xfId="33765"/>
    <cellStyle name="Normal 4 3 2 3 4 9" xfId="41992"/>
    <cellStyle name="Normal 4 3 2 3 5" xfId="1047"/>
    <cellStyle name="Normal 4 3 2 3 5 2" xfId="2742"/>
    <cellStyle name="Normal 4 3 2 3 5 2 2" xfId="10967"/>
    <cellStyle name="Normal 4 3 2 3 5 2 2 2" xfId="27417"/>
    <cellStyle name="Normal 4 3 2 3 5 2 3" xfId="19192"/>
    <cellStyle name="Normal 4 3 2 3 5 2 4" xfId="35646"/>
    <cellStyle name="Normal 4 3 2 3 5 3" xfId="4387"/>
    <cellStyle name="Normal 4 3 2 3 5 3 2" xfId="12612"/>
    <cellStyle name="Normal 4 3 2 3 5 3 2 2" xfId="29062"/>
    <cellStyle name="Normal 4 3 2 3 5 3 3" xfId="20837"/>
    <cellStyle name="Normal 4 3 2 3 5 3 4" xfId="37291"/>
    <cellStyle name="Normal 4 3 2 3 5 4" xfId="6032"/>
    <cellStyle name="Normal 4 3 2 3 5 4 2" xfId="14257"/>
    <cellStyle name="Normal 4 3 2 3 5 4 2 2" xfId="30707"/>
    <cellStyle name="Normal 4 3 2 3 5 4 3" xfId="22482"/>
    <cellStyle name="Normal 4 3 2 3 5 4 4" xfId="38936"/>
    <cellStyle name="Normal 4 3 2 3 5 5" xfId="7677"/>
    <cellStyle name="Normal 4 3 2 3 5 5 2" xfId="15902"/>
    <cellStyle name="Normal 4 3 2 3 5 5 2 2" xfId="32352"/>
    <cellStyle name="Normal 4 3 2 3 5 5 3" xfId="24127"/>
    <cellStyle name="Normal 4 3 2 3 5 5 4" xfId="40581"/>
    <cellStyle name="Normal 4 3 2 3 5 6" xfId="9322"/>
    <cellStyle name="Normal 4 3 2 3 5 6 2" xfId="25772"/>
    <cellStyle name="Normal 4 3 2 3 5 7" xfId="17546"/>
    <cellStyle name="Normal 4 3 2 3 5 8" xfId="34000"/>
    <cellStyle name="Normal 4 3 2 3 5 9" xfId="42227"/>
    <cellStyle name="Normal 4 3 2 3 6" xfId="1327"/>
    <cellStyle name="Normal 4 3 2 3 6 2" xfId="2977"/>
    <cellStyle name="Normal 4 3 2 3 6 2 2" xfId="11202"/>
    <cellStyle name="Normal 4 3 2 3 6 2 2 2" xfId="27652"/>
    <cellStyle name="Normal 4 3 2 3 6 2 3" xfId="19427"/>
    <cellStyle name="Normal 4 3 2 3 6 2 4" xfId="35881"/>
    <cellStyle name="Normal 4 3 2 3 6 3" xfId="4622"/>
    <cellStyle name="Normal 4 3 2 3 6 3 2" xfId="12847"/>
    <cellStyle name="Normal 4 3 2 3 6 3 2 2" xfId="29297"/>
    <cellStyle name="Normal 4 3 2 3 6 3 3" xfId="21072"/>
    <cellStyle name="Normal 4 3 2 3 6 3 4" xfId="37526"/>
    <cellStyle name="Normal 4 3 2 3 6 4" xfId="6267"/>
    <cellStyle name="Normal 4 3 2 3 6 4 2" xfId="14492"/>
    <cellStyle name="Normal 4 3 2 3 6 4 2 2" xfId="30942"/>
    <cellStyle name="Normal 4 3 2 3 6 4 3" xfId="22717"/>
    <cellStyle name="Normal 4 3 2 3 6 4 4" xfId="39171"/>
    <cellStyle name="Normal 4 3 2 3 6 5" xfId="7912"/>
    <cellStyle name="Normal 4 3 2 3 6 5 2" xfId="16137"/>
    <cellStyle name="Normal 4 3 2 3 6 5 2 2" xfId="32587"/>
    <cellStyle name="Normal 4 3 2 3 6 5 3" xfId="24362"/>
    <cellStyle name="Normal 4 3 2 3 6 5 4" xfId="40816"/>
    <cellStyle name="Normal 4 3 2 3 6 6" xfId="9557"/>
    <cellStyle name="Normal 4 3 2 3 6 6 2" xfId="26007"/>
    <cellStyle name="Normal 4 3 2 3 6 7" xfId="17781"/>
    <cellStyle name="Normal 4 3 2 3 6 8" xfId="34235"/>
    <cellStyle name="Normal 4 3 2 3 7" xfId="1562"/>
    <cellStyle name="Normal 4 3 2 3 7 2" xfId="3212"/>
    <cellStyle name="Normal 4 3 2 3 7 2 2" xfId="11437"/>
    <cellStyle name="Normal 4 3 2 3 7 2 2 2" xfId="27887"/>
    <cellStyle name="Normal 4 3 2 3 7 2 3" xfId="19662"/>
    <cellStyle name="Normal 4 3 2 3 7 2 4" xfId="36116"/>
    <cellStyle name="Normal 4 3 2 3 7 3" xfId="4857"/>
    <cellStyle name="Normal 4 3 2 3 7 3 2" xfId="13082"/>
    <cellStyle name="Normal 4 3 2 3 7 3 2 2" xfId="29532"/>
    <cellStyle name="Normal 4 3 2 3 7 3 3" xfId="21307"/>
    <cellStyle name="Normal 4 3 2 3 7 3 4" xfId="37761"/>
    <cellStyle name="Normal 4 3 2 3 7 4" xfId="6502"/>
    <cellStyle name="Normal 4 3 2 3 7 4 2" xfId="14727"/>
    <cellStyle name="Normal 4 3 2 3 7 4 2 2" xfId="31177"/>
    <cellStyle name="Normal 4 3 2 3 7 4 3" xfId="22952"/>
    <cellStyle name="Normal 4 3 2 3 7 4 4" xfId="39406"/>
    <cellStyle name="Normal 4 3 2 3 7 5" xfId="8147"/>
    <cellStyle name="Normal 4 3 2 3 7 5 2" xfId="16372"/>
    <cellStyle name="Normal 4 3 2 3 7 5 2 2" xfId="32822"/>
    <cellStyle name="Normal 4 3 2 3 7 5 3" xfId="24597"/>
    <cellStyle name="Normal 4 3 2 3 7 5 4" xfId="41051"/>
    <cellStyle name="Normal 4 3 2 3 7 6" xfId="9792"/>
    <cellStyle name="Normal 4 3 2 3 7 6 2" xfId="26242"/>
    <cellStyle name="Normal 4 3 2 3 7 7" xfId="18016"/>
    <cellStyle name="Normal 4 3 2 3 7 8" xfId="34470"/>
    <cellStyle name="Normal 4 3 2 3 8" xfId="1797"/>
    <cellStyle name="Normal 4 3 2 3 8 2" xfId="10027"/>
    <cellStyle name="Normal 4 3 2 3 8 2 2" xfId="26477"/>
    <cellStyle name="Normal 4 3 2 3 8 3" xfId="18251"/>
    <cellStyle name="Normal 4 3 2 3 8 4" xfId="34705"/>
    <cellStyle name="Normal 4 3 2 3 9" xfId="3447"/>
    <cellStyle name="Normal 4 3 2 3 9 2" xfId="11672"/>
    <cellStyle name="Normal 4 3 2 3 9 2 2" xfId="28122"/>
    <cellStyle name="Normal 4 3 2 3 9 3" xfId="19897"/>
    <cellStyle name="Normal 4 3 2 3 9 4" xfId="36351"/>
    <cellStyle name="Normal 4 3 2 4" xfId="143"/>
    <cellStyle name="Normal 4 3 2 4 10" xfId="5142"/>
    <cellStyle name="Normal 4 3 2 4 10 2" xfId="13367"/>
    <cellStyle name="Normal 4 3 2 4 10 2 2" xfId="29817"/>
    <cellStyle name="Normal 4 3 2 4 10 3" xfId="21592"/>
    <cellStyle name="Normal 4 3 2 4 10 4" xfId="38046"/>
    <cellStyle name="Normal 4 3 2 4 11" xfId="6787"/>
    <cellStyle name="Normal 4 3 2 4 11 2" xfId="15012"/>
    <cellStyle name="Normal 4 3 2 4 11 2 2" xfId="31462"/>
    <cellStyle name="Normal 4 3 2 4 11 3" xfId="23237"/>
    <cellStyle name="Normal 4 3 2 4 11 4" xfId="39691"/>
    <cellStyle name="Normal 4 3 2 4 12" xfId="8432"/>
    <cellStyle name="Normal 4 3 2 4 12 2" xfId="24882"/>
    <cellStyle name="Normal 4 3 2 4 13" xfId="16656"/>
    <cellStyle name="Normal 4 3 2 4 14" xfId="33109"/>
    <cellStyle name="Normal 4 3 2 4 15" xfId="41337"/>
    <cellStyle name="Normal 4 3 2 4 2" xfId="386"/>
    <cellStyle name="Normal 4 3 2 4 2 2" xfId="2085"/>
    <cellStyle name="Normal 4 3 2 4 2 2 2" xfId="10312"/>
    <cellStyle name="Normal 4 3 2 4 2 2 2 2" xfId="26762"/>
    <cellStyle name="Normal 4 3 2 4 2 2 3" xfId="18537"/>
    <cellStyle name="Normal 4 3 2 4 2 2 4" xfId="34991"/>
    <cellStyle name="Normal 4 3 2 4 2 3" xfId="3732"/>
    <cellStyle name="Normal 4 3 2 4 2 3 2" xfId="11957"/>
    <cellStyle name="Normal 4 3 2 4 2 3 2 2" xfId="28407"/>
    <cellStyle name="Normal 4 3 2 4 2 3 3" xfId="20182"/>
    <cellStyle name="Normal 4 3 2 4 2 3 4" xfId="36636"/>
    <cellStyle name="Normal 4 3 2 4 2 4" xfId="5377"/>
    <cellStyle name="Normal 4 3 2 4 2 4 2" xfId="13602"/>
    <cellStyle name="Normal 4 3 2 4 2 4 2 2" xfId="30052"/>
    <cellStyle name="Normal 4 3 2 4 2 4 3" xfId="21827"/>
    <cellStyle name="Normal 4 3 2 4 2 4 4" xfId="38281"/>
    <cellStyle name="Normal 4 3 2 4 2 5" xfId="7022"/>
    <cellStyle name="Normal 4 3 2 4 2 5 2" xfId="15247"/>
    <cellStyle name="Normal 4 3 2 4 2 5 2 2" xfId="31697"/>
    <cellStyle name="Normal 4 3 2 4 2 5 3" xfId="23472"/>
    <cellStyle name="Normal 4 3 2 4 2 5 4" xfId="39926"/>
    <cellStyle name="Normal 4 3 2 4 2 6" xfId="8667"/>
    <cellStyle name="Normal 4 3 2 4 2 6 2" xfId="25117"/>
    <cellStyle name="Normal 4 3 2 4 2 7" xfId="16891"/>
    <cellStyle name="Normal 4 3 2 4 2 8" xfId="33345"/>
    <cellStyle name="Normal 4 3 2 4 2 9" xfId="41572"/>
    <cellStyle name="Normal 4 3 2 4 3" xfId="627"/>
    <cellStyle name="Normal 4 3 2 4 3 2" xfId="2322"/>
    <cellStyle name="Normal 4 3 2 4 3 2 2" xfId="10547"/>
    <cellStyle name="Normal 4 3 2 4 3 2 2 2" xfId="26997"/>
    <cellStyle name="Normal 4 3 2 4 3 2 3" xfId="18772"/>
    <cellStyle name="Normal 4 3 2 4 3 2 4" xfId="35226"/>
    <cellStyle name="Normal 4 3 2 4 3 3" xfId="3967"/>
    <cellStyle name="Normal 4 3 2 4 3 3 2" xfId="12192"/>
    <cellStyle name="Normal 4 3 2 4 3 3 2 2" xfId="28642"/>
    <cellStyle name="Normal 4 3 2 4 3 3 3" xfId="20417"/>
    <cellStyle name="Normal 4 3 2 4 3 3 4" xfId="36871"/>
    <cellStyle name="Normal 4 3 2 4 3 4" xfId="5612"/>
    <cellStyle name="Normal 4 3 2 4 3 4 2" xfId="13837"/>
    <cellStyle name="Normal 4 3 2 4 3 4 2 2" xfId="30287"/>
    <cellStyle name="Normal 4 3 2 4 3 4 3" xfId="22062"/>
    <cellStyle name="Normal 4 3 2 4 3 4 4" xfId="38516"/>
    <cellStyle name="Normal 4 3 2 4 3 5" xfId="7257"/>
    <cellStyle name="Normal 4 3 2 4 3 5 2" xfId="15482"/>
    <cellStyle name="Normal 4 3 2 4 3 5 2 2" xfId="31932"/>
    <cellStyle name="Normal 4 3 2 4 3 5 3" xfId="23707"/>
    <cellStyle name="Normal 4 3 2 4 3 5 4" xfId="40161"/>
    <cellStyle name="Normal 4 3 2 4 3 6" xfId="8902"/>
    <cellStyle name="Normal 4 3 2 4 3 6 2" xfId="25352"/>
    <cellStyle name="Normal 4 3 2 4 3 7" xfId="17126"/>
    <cellStyle name="Normal 4 3 2 4 3 8" xfId="33580"/>
    <cellStyle name="Normal 4 3 2 4 3 9" xfId="41807"/>
    <cellStyle name="Normal 4 3 2 4 4" xfId="862"/>
    <cellStyle name="Normal 4 3 2 4 4 2" xfId="2557"/>
    <cellStyle name="Normal 4 3 2 4 4 2 2" xfId="10782"/>
    <cellStyle name="Normal 4 3 2 4 4 2 2 2" xfId="27232"/>
    <cellStyle name="Normal 4 3 2 4 4 2 3" xfId="19007"/>
    <cellStyle name="Normal 4 3 2 4 4 2 4" xfId="35461"/>
    <cellStyle name="Normal 4 3 2 4 4 3" xfId="4202"/>
    <cellStyle name="Normal 4 3 2 4 4 3 2" xfId="12427"/>
    <cellStyle name="Normal 4 3 2 4 4 3 2 2" xfId="28877"/>
    <cellStyle name="Normal 4 3 2 4 4 3 3" xfId="20652"/>
    <cellStyle name="Normal 4 3 2 4 4 3 4" xfId="37106"/>
    <cellStyle name="Normal 4 3 2 4 4 4" xfId="5847"/>
    <cellStyle name="Normal 4 3 2 4 4 4 2" xfId="14072"/>
    <cellStyle name="Normal 4 3 2 4 4 4 2 2" xfId="30522"/>
    <cellStyle name="Normal 4 3 2 4 4 4 3" xfId="22297"/>
    <cellStyle name="Normal 4 3 2 4 4 4 4" xfId="38751"/>
    <cellStyle name="Normal 4 3 2 4 4 5" xfId="7492"/>
    <cellStyle name="Normal 4 3 2 4 4 5 2" xfId="15717"/>
    <cellStyle name="Normal 4 3 2 4 4 5 2 2" xfId="32167"/>
    <cellStyle name="Normal 4 3 2 4 4 5 3" xfId="23942"/>
    <cellStyle name="Normal 4 3 2 4 4 5 4" xfId="40396"/>
    <cellStyle name="Normal 4 3 2 4 4 6" xfId="9137"/>
    <cellStyle name="Normal 4 3 2 4 4 6 2" xfId="25587"/>
    <cellStyle name="Normal 4 3 2 4 4 7" xfId="17361"/>
    <cellStyle name="Normal 4 3 2 4 4 8" xfId="33815"/>
    <cellStyle name="Normal 4 3 2 4 4 9" xfId="42042"/>
    <cellStyle name="Normal 4 3 2 4 5" xfId="1097"/>
    <cellStyle name="Normal 4 3 2 4 5 2" xfId="2792"/>
    <cellStyle name="Normal 4 3 2 4 5 2 2" xfId="11017"/>
    <cellStyle name="Normal 4 3 2 4 5 2 2 2" xfId="27467"/>
    <cellStyle name="Normal 4 3 2 4 5 2 3" xfId="19242"/>
    <cellStyle name="Normal 4 3 2 4 5 2 4" xfId="35696"/>
    <cellStyle name="Normal 4 3 2 4 5 3" xfId="4437"/>
    <cellStyle name="Normal 4 3 2 4 5 3 2" xfId="12662"/>
    <cellStyle name="Normal 4 3 2 4 5 3 2 2" xfId="29112"/>
    <cellStyle name="Normal 4 3 2 4 5 3 3" xfId="20887"/>
    <cellStyle name="Normal 4 3 2 4 5 3 4" xfId="37341"/>
    <cellStyle name="Normal 4 3 2 4 5 4" xfId="6082"/>
    <cellStyle name="Normal 4 3 2 4 5 4 2" xfId="14307"/>
    <cellStyle name="Normal 4 3 2 4 5 4 2 2" xfId="30757"/>
    <cellStyle name="Normal 4 3 2 4 5 4 3" xfId="22532"/>
    <cellStyle name="Normal 4 3 2 4 5 4 4" xfId="38986"/>
    <cellStyle name="Normal 4 3 2 4 5 5" xfId="7727"/>
    <cellStyle name="Normal 4 3 2 4 5 5 2" xfId="15952"/>
    <cellStyle name="Normal 4 3 2 4 5 5 2 2" xfId="32402"/>
    <cellStyle name="Normal 4 3 2 4 5 5 3" xfId="24177"/>
    <cellStyle name="Normal 4 3 2 4 5 5 4" xfId="40631"/>
    <cellStyle name="Normal 4 3 2 4 5 6" xfId="9372"/>
    <cellStyle name="Normal 4 3 2 4 5 6 2" xfId="25822"/>
    <cellStyle name="Normal 4 3 2 4 5 7" xfId="17596"/>
    <cellStyle name="Normal 4 3 2 4 5 8" xfId="34050"/>
    <cellStyle name="Normal 4 3 2 4 5 9" xfId="42277"/>
    <cellStyle name="Normal 4 3 2 4 6" xfId="1377"/>
    <cellStyle name="Normal 4 3 2 4 6 2" xfId="3027"/>
    <cellStyle name="Normal 4 3 2 4 6 2 2" xfId="11252"/>
    <cellStyle name="Normal 4 3 2 4 6 2 2 2" xfId="27702"/>
    <cellStyle name="Normal 4 3 2 4 6 2 3" xfId="19477"/>
    <cellStyle name="Normal 4 3 2 4 6 2 4" xfId="35931"/>
    <cellStyle name="Normal 4 3 2 4 6 3" xfId="4672"/>
    <cellStyle name="Normal 4 3 2 4 6 3 2" xfId="12897"/>
    <cellStyle name="Normal 4 3 2 4 6 3 2 2" xfId="29347"/>
    <cellStyle name="Normal 4 3 2 4 6 3 3" xfId="21122"/>
    <cellStyle name="Normal 4 3 2 4 6 3 4" xfId="37576"/>
    <cellStyle name="Normal 4 3 2 4 6 4" xfId="6317"/>
    <cellStyle name="Normal 4 3 2 4 6 4 2" xfId="14542"/>
    <cellStyle name="Normal 4 3 2 4 6 4 2 2" xfId="30992"/>
    <cellStyle name="Normal 4 3 2 4 6 4 3" xfId="22767"/>
    <cellStyle name="Normal 4 3 2 4 6 4 4" xfId="39221"/>
    <cellStyle name="Normal 4 3 2 4 6 5" xfId="7962"/>
    <cellStyle name="Normal 4 3 2 4 6 5 2" xfId="16187"/>
    <cellStyle name="Normal 4 3 2 4 6 5 2 2" xfId="32637"/>
    <cellStyle name="Normal 4 3 2 4 6 5 3" xfId="24412"/>
    <cellStyle name="Normal 4 3 2 4 6 5 4" xfId="40866"/>
    <cellStyle name="Normal 4 3 2 4 6 6" xfId="9607"/>
    <cellStyle name="Normal 4 3 2 4 6 6 2" xfId="26057"/>
    <cellStyle name="Normal 4 3 2 4 6 7" xfId="17831"/>
    <cellStyle name="Normal 4 3 2 4 6 8" xfId="34285"/>
    <cellStyle name="Normal 4 3 2 4 7" xfId="1612"/>
    <cellStyle name="Normal 4 3 2 4 7 2" xfId="3262"/>
    <cellStyle name="Normal 4 3 2 4 7 2 2" xfId="11487"/>
    <cellStyle name="Normal 4 3 2 4 7 2 2 2" xfId="27937"/>
    <cellStyle name="Normal 4 3 2 4 7 2 3" xfId="19712"/>
    <cellStyle name="Normal 4 3 2 4 7 2 4" xfId="36166"/>
    <cellStyle name="Normal 4 3 2 4 7 3" xfId="4907"/>
    <cellStyle name="Normal 4 3 2 4 7 3 2" xfId="13132"/>
    <cellStyle name="Normal 4 3 2 4 7 3 2 2" xfId="29582"/>
    <cellStyle name="Normal 4 3 2 4 7 3 3" xfId="21357"/>
    <cellStyle name="Normal 4 3 2 4 7 3 4" xfId="37811"/>
    <cellStyle name="Normal 4 3 2 4 7 4" xfId="6552"/>
    <cellStyle name="Normal 4 3 2 4 7 4 2" xfId="14777"/>
    <cellStyle name="Normal 4 3 2 4 7 4 2 2" xfId="31227"/>
    <cellStyle name="Normal 4 3 2 4 7 4 3" xfId="23002"/>
    <cellStyle name="Normal 4 3 2 4 7 4 4" xfId="39456"/>
    <cellStyle name="Normal 4 3 2 4 7 5" xfId="8197"/>
    <cellStyle name="Normal 4 3 2 4 7 5 2" xfId="16422"/>
    <cellStyle name="Normal 4 3 2 4 7 5 2 2" xfId="32872"/>
    <cellStyle name="Normal 4 3 2 4 7 5 3" xfId="24647"/>
    <cellStyle name="Normal 4 3 2 4 7 5 4" xfId="41101"/>
    <cellStyle name="Normal 4 3 2 4 7 6" xfId="9842"/>
    <cellStyle name="Normal 4 3 2 4 7 6 2" xfId="26292"/>
    <cellStyle name="Normal 4 3 2 4 7 7" xfId="18066"/>
    <cellStyle name="Normal 4 3 2 4 7 8" xfId="34520"/>
    <cellStyle name="Normal 4 3 2 4 8" xfId="1847"/>
    <cellStyle name="Normal 4 3 2 4 8 2" xfId="10077"/>
    <cellStyle name="Normal 4 3 2 4 8 2 2" xfId="26527"/>
    <cellStyle name="Normal 4 3 2 4 8 3" xfId="18301"/>
    <cellStyle name="Normal 4 3 2 4 8 4" xfId="34755"/>
    <cellStyle name="Normal 4 3 2 4 9" xfId="3497"/>
    <cellStyle name="Normal 4 3 2 4 9 2" xfId="11722"/>
    <cellStyle name="Normal 4 3 2 4 9 2 2" xfId="28172"/>
    <cellStyle name="Normal 4 3 2 4 9 3" xfId="19947"/>
    <cellStyle name="Normal 4 3 2 4 9 4" xfId="36401"/>
    <cellStyle name="Normal 4 3 2 5" xfId="170"/>
    <cellStyle name="Normal 4 3 2 5 10" xfId="5169"/>
    <cellStyle name="Normal 4 3 2 5 10 2" xfId="13394"/>
    <cellStyle name="Normal 4 3 2 5 10 2 2" xfId="29844"/>
    <cellStyle name="Normal 4 3 2 5 10 3" xfId="21619"/>
    <cellStyle name="Normal 4 3 2 5 10 4" xfId="38073"/>
    <cellStyle name="Normal 4 3 2 5 11" xfId="6814"/>
    <cellStyle name="Normal 4 3 2 5 11 2" xfId="15039"/>
    <cellStyle name="Normal 4 3 2 5 11 2 2" xfId="31489"/>
    <cellStyle name="Normal 4 3 2 5 11 3" xfId="23264"/>
    <cellStyle name="Normal 4 3 2 5 11 4" xfId="39718"/>
    <cellStyle name="Normal 4 3 2 5 12" xfId="8459"/>
    <cellStyle name="Normal 4 3 2 5 12 2" xfId="24909"/>
    <cellStyle name="Normal 4 3 2 5 13" xfId="16683"/>
    <cellStyle name="Normal 4 3 2 5 14" xfId="33136"/>
    <cellStyle name="Normal 4 3 2 5 15" xfId="41364"/>
    <cellStyle name="Normal 4 3 2 5 2" xfId="413"/>
    <cellStyle name="Normal 4 3 2 5 2 2" xfId="2112"/>
    <cellStyle name="Normal 4 3 2 5 2 2 2" xfId="10339"/>
    <cellStyle name="Normal 4 3 2 5 2 2 2 2" xfId="26789"/>
    <cellStyle name="Normal 4 3 2 5 2 2 3" xfId="18564"/>
    <cellStyle name="Normal 4 3 2 5 2 2 4" xfId="35018"/>
    <cellStyle name="Normal 4 3 2 5 2 3" xfId="3759"/>
    <cellStyle name="Normal 4 3 2 5 2 3 2" xfId="11984"/>
    <cellStyle name="Normal 4 3 2 5 2 3 2 2" xfId="28434"/>
    <cellStyle name="Normal 4 3 2 5 2 3 3" xfId="20209"/>
    <cellStyle name="Normal 4 3 2 5 2 3 4" xfId="36663"/>
    <cellStyle name="Normal 4 3 2 5 2 4" xfId="5404"/>
    <cellStyle name="Normal 4 3 2 5 2 4 2" xfId="13629"/>
    <cellStyle name="Normal 4 3 2 5 2 4 2 2" xfId="30079"/>
    <cellStyle name="Normal 4 3 2 5 2 4 3" xfId="21854"/>
    <cellStyle name="Normal 4 3 2 5 2 4 4" xfId="38308"/>
    <cellStyle name="Normal 4 3 2 5 2 5" xfId="7049"/>
    <cellStyle name="Normal 4 3 2 5 2 5 2" xfId="15274"/>
    <cellStyle name="Normal 4 3 2 5 2 5 2 2" xfId="31724"/>
    <cellStyle name="Normal 4 3 2 5 2 5 3" xfId="23499"/>
    <cellStyle name="Normal 4 3 2 5 2 5 4" xfId="39953"/>
    <cellStyle name="Normal 4 3 2 5 2 6" xfId="8694"/>
    <cellStyle name="Normal 4 3 2 5 2 6 2" xfId="25144"/>
    <cellStyle name="Normal 4 3 2 5 2 7" xfId="16918"/>
    <cellStyle name="Normal 4 3 2 5 2 8" xfId="33372"/>
    <cellStyle name="Normal 4 3 2 5 2 9" xfId="41599"/>
    <cellStyle name="Normal 4 3 2 5 3" xfId="654"/>
    <cellStyle name="Normal 4 3 2 5 3 2" xfId="2349"/>
    <cellStyle name="Normal 4 3 2 5 3 2 2" xfId="10574"/>
    <cellStyle name="Normal 4 3 2 5 3 2 2 2" xfId="27024"/>
    <cellStyle name="Normal 4 3 2 5 3 2 3" xfId="18799"/>
    <cellStyle name="Normal 4 3 2 5 3 2 4" xfId="35253"/>
    <cellStyle name="Normal 4 3 2 5 3 3" xfId="3994"/>
    <cellStyle name="Normal 4 3 2 5 3 3 2" xfId="12219"/>
    <cellStyle name="Normal 4 3 2 5 3 3 2 2" xfId="28669"/>
    <cellStyle name="Normal 4 3 2 5 3 3 3" xfId="20444"/>
    <cellStyle name="Normal 4 3 2 5 3 3 4" xfId="36898"/>
    <cellStyle name="Normal 4 3 2 5 3 4" xfId="5639"/>
    <cellStyle name="Normal 4 3 2 5 3 4 2" xfId="13864"/>
    <cellStyle name="Normal 4 3 2 5 3 4 2 2" xfId="30314"/>
    <cellStyle name="Normal 4 3 2 5 3 4 3" xfId="22089"/>
    <cellStyle name="Normal 4 3 2 5 3 4 4" xfId="38543"/>
    <cellStyle name="Normal 4 3 2 5 3 5" xfId="7284"/>
    <cellStyle name="Normal 4 3 2 5 3 5 2" xfId="15509"/>
    <cellStyle name="Normal 4 3 2 5 3 5 2 2" xfId="31959"/>
    <cellStyle name="Normal 4 3 2 5 3 5 3" xfId="23734"/>
    <cellStyle name="Normal 4 3 2 5 3 5 4" xfId="40188"/>
    <cellStyle name="Normal 4 3 2 5 3 6" xfId="8929"/>
    <cellStyle name="Normal 4 3 2 5 3 6 2" xfId="25379"/>
    <cellStyle name="Normal 4 3 2 5 3 7" xfId="17153"/>
    <cellStyle name="Normal 4 3 2 5 3 8" xfId="33607"/>
    <cellStyle name="Normal 4 3 2 5 3 9" xfId="41834"/>
    <cellStyle name="Normal 4 3 2 5 4" xfId="889"/>
    <cellStyle name="Normal 4 3 2 5 4 2" xfId="2584"/>
    <cellStyle name="Normal 4 3 2 5 4 2 2" xfId="10809"/>
    <cellStyle name="Normal 4 3 2 5 4 2 2 2" xfId="27259"/>
    <cellStyle name="Normal 4 3 2 5 4 2 3" xfId="19034"/>
    <cellStyle name="Normal 4 3 2 5 4 2 4" xfId="35488"/>
    <cellStyle name="Normal 4 3 2 5 4 3" xfId="4229"/>
    <cellStyle name="Normal 4 3 2 5 4 3 2" xfId="12454"/>
    <cellStyle name="Normal 4 3 2 5 4 3 2 2" xfId="28904"/>
    <cellStyle name="Normal 4 3 2 5 4 3 3" xfId="20679"/>
    <cellStyle name="Normal 4 3 2 5 4 3 4" xfId="37133"/>
    <cellStyle name="Normal 4 3 2 5 4 4" xfId="5874"/>
    <cellStyle name="Normal 4 3 2 5 4 4 2" xfId="14099"/>
    <cellStyle name="Normal 4 3 2 5 4 4 2 2" xfId="30549"/>
    <cellStyle name="Normal 4 3 2 5 4 4 3" xfId="22324"/>
    <cellStyle name="Normal 4 3 2 5 4 4 4" xfId="38778"/>
    <cellStyle name="Normal 4 3 2 5 4 5" xfId="7519"/>
    <cellStyle name="Normal 4 3 2 5 4 5 2" xfId="15744"/>
    <cellStyle name="Normal 4 3 2 5 4 5 2 2" xfId="32194"/>
    <cellStyle name="Normal 4 3 2 5 4 5 3" xfId="23969"/>
    <cellStyle name="Normal 4 3 2 5 4 5 4" xfId="40423"/>
    <cellStyle name="Normal 4 3 2 5 4 6" xfId="9164"/>
    <cellStyle name="Normal 4 3 2 5 4 6 2" xfId="25614"/>
    <cellStyle name="Normal 4 3 2 5 4 7" xfId="17388"/>
    <cellStyle name="Normal 4 3 2 5 4 8" xfId="33842"/>
    <cellStyle name="Normal 4 3 2 5 4 9" xfId="42069"/>
    <cellStyle name="Normal 4 3 2 5 5" xfId="1124"/>
    <cellStyle name="Normal 4 3 2 5 5 2" xfId="2819"/>
    <cellStyle name="Normal 4 3 2 5 5 2 2" xfId="11044"/>
    <cellStyle name="Normal 4 3 2 5 5 2 2 2" xfId="27494"/>
    <cellStyle name="Normal 4 3 2 5 5 2 3" xfId="19269"/>
    <cellStyle name="Normal 4 3 2 5 5 2 4" xfId="35723"/>
    <cellStyle name="Normal 4 3 2 5 5 3" xfId="4464"/>
    <cellStyle name="Normal 4 3 2 5 5 3 2" xfId="12689"/>
    <cellStyle name="Normal 4 3 2 5 5 3 2 2" xfId="29139"/>
    <cellStyle name="Normal 4 3 2 5 5 3 3" xfId="20914"/>
    <cellStyle name="Normal 4 3 2 5 5 3 4" xfId="37368"/>
    <cellStyle name="Normal 4 3 2 5 5 4" xfId="6109"/>
    <cellStyle name="Normal 4 3 2 5 5 4 2" xfId="14334"/>
    <cellStyle name="Normal 4 3 2 5 5 4 2 2" xfId="30784"/>
    <cellStyle name="Normal 4 3 2 5 5 4 3" xfId="22559"/>
    <cellStyle name="Normal 4 3 2 5 5 4 4" xfId="39013"/>
    <cellStyle name="Normal 4 3 2 5 5 5" xfId="7754"/>
    <cellStyle name="Normal 4 3 2 5 5 5 2" xfId="15979"/>
    <cellStyle name="Normal 4 3 2 5 5 5 2 2" xfId="32429"/>
    <cellStyle name="Normal 4 3 2 5 5 5 3" xfId="24204"/>
    <cellStyle name="Normal 4 3 2 5 5 5 4" xfId="40658"/>
    <cellStyle name="Normal 4 3 2 5 5 6" xfId="9399"/>
    <cellStyle name="Normal 4 3 2 5 5 6 2" xfId="25849"/>
    <cellStyle name="Normal 4 3 2 5 5 7" xfId="17623"/>
    <cellStyle name="Normal 4 3 2 5 5 8" xfId="34077"/>
    <cellStyle name="Normal 4 3 2 5 5 9" xfId="42304"/>
    <cellStyle name="Normal 4 3 2 5 6" xfId="1404"/>
    <cellStyle name="Normal 4 3 2 5 6 2" xfId="3054"/>
    <cellStyle name="Normal 4 3 2 5 6 2 2" xfId="11279"/>
    <cellStyle name="Normal 4 3 2 5 6 2 2 2" xfId="27729"/>
    <cellStyle name="Normal 4 3 2 5 6 2 3" xfId="19504"/>
    <cellStyle name="Normal 4 3 2 5 6 2 4" xfId="35958"/>
    <cellStyle name="Normal 4 3 2 5 6 3" xfId="4699"/>
    <cellStyle name="Normal 4 3 2 5 6 3 2" xfId="12924"/>
    <cellStyle name="Normal 4 3 2 5 6 3 2 2" xfId="29374"/>
    <cellStyle name="Normal 4 3 2 5 6 3 3" xfId="21149"/>
    <cellStyle name="Normal 4 3 2 5 6 3 4" xfId="37603"/>
    <cellStyle name="Normal 4 3 2 5 6 4" xfId="6344"/>
    <cellStyle name="Normal 4 3 2 5 6 4 2" xfId="14569"/>
    <cellStyle name="Normal 4 3 2 5 6 4 2 2" xfId="31019"/>
    <cellStyle name="Normal 4 3 2 5 6 4 3" xfId="22794"/>
    <cellStyle name="Normal 4 3 2 5 6 4 4" xfId="39248"/>
    <cellStyle name="Normal 4 3 2 5 6 5" xfId="7989"/>
    <cellStyle name="Normal 4 3 2 5 6 5 2" xfId="16214"/>
    <cellStyle name="Normal 4 3 2 5 6 5 2 2" xfId="32664"/>
    <cellStyle name="Normal 4 3 2 5 6 5 3" xfId="24439"/>
    <cellStyle name="Normal 4 3 2 5 6 5 4" xfId="40893"/>
    <cellStyle name="Normal 4 3 2 5 6 6" xfId="9634"/>
    <cellStyle name="Normal 4 3 2 5 6 6 2" xfId="26084"/>
    <cellStyle name="Normal 4 3 2 5 6 7" xfId="17858"/>
    <cellStyle name="Normal 4 3 2 5 6 8" xfId="34312"/>
    <cellStyle name="Normal 4 3 2 5 7" xfId="1639"/>
    <cellStyle name="Normal 4 3 2 5 7 2" xfId="3289"/>
    <cellStyle name="Normal 4 3 2 5 7 2 2" xfId="11514"/>
    <cellStyle name="Normal 4 3 2 5 7 2 2 2" xfId="27964"/>
    <cellStyle name="Normal 4 3 2 5 7 2 3" xfId="19739"/>
    <cellStyle name="Normal 4 3 2 5 7 2 4" xfId="36193"/>
    <cellStyle name="Normal 4 3 2 5 7 3" xfId="4934"/>
    <cellStyle name="Normal 4 3 2 5 7 3 2" xfId="13159"/>
    <cellStyle name="Normal 4 3 2 5 7 3 2 2" xfId="29609"/>
    <cellStyle name="Normal 4 3 2 5 7 3 3" xfId="21384"/>
    <cellStyle name="Normal 4 3 2 5 7 3 4" xfId="37838"/>
    <cellStyle name="Normal 4 3 2 5 7 4" xfId="6579"/>
    <cellStyle name="Normal 4 3 2 5 7 4 2" xfId="14804"/>
    <cellStyle name="Normal 4 3 2 5 7 4 2 2" xfId="31254"/>
    <cellStyle name="Normal 4 3 2 5 7 4 3" xfId="23029"/>
    <cellStyle name="Normal 4 3 2 5 7 4 4" xfId="39483"/>
    <cellStyle name="Normal 4 3 2 5 7 5" xfId="8224"/>
    <cellStyle name="Normal 4 3 2 5 7 5 2" xfId="16449"/>
    <cellStyle name="Normal 4 3 2 5 7 5 2 2" xfId="32899"/>
    <cellStyle name="Normal 4 3 2 5 7 5 3" xfId="24674"/>
    <cellStyle name="Normal 4 3 2 5 7 5 4" xfId="41128"/>
    <cellStyle name="Normal 4 3 2 5 7 6" xfId="9869"/>
    <cellStyle name="Normal 4 3 2 5 7 6 2" xfId="26319"/>
    <cellStyle name="Normal 4 3 2 5 7 7" xfId="18093"/>
    <cellStyle name="Normal 4 3 2 5 7 8" xfId="34547"/>
    <cellStyle name="Normal 4 3 2 5 8" xfId="1874"/>
    <cellStyle name="Normal 4 3 2 5 8 2" xfId="10104"/>
    <cellStyle name="Normal 4 3 2 5 8 2 2" xfId="26554"/>
    <cellStyle name="Normal 4 3 2 5 8 3" xfId="18328"/>
    <cellStyle name="Normal 4 3 2 5 8 4" xfId="34782"/>
    <cellStyle name="Normal 4 3 2 5 9" xfId="3524"/>
    <cellStyle name="Normal 4 3 2 5 9 2" xfId="11749"/>
    <cellStyle name="Normal 4 3 2 5 9 2 2" xfId="28199"/>
    <cellStyle name="Normal 4 3 2 5 9 3" xfId="19974"/>
    <cellStyle name="Normal 4 3 2 5 9 4" xfId="36428"/>
    <cellStyle name="Normal 4 3 2 6" xfId="199"/>
    <cellStyle name="Normal 4 3 2 6 10" xfId="5196"/>
    <cellStyle name="Normal 4 3 2 6 10 2" xfId="13421"/>
    <cellStyle name="Normal 4 3 2 6 10 2 2" xfId="29871"/>
    <cellStyle name="Normal 4 3 2 6 10 3" xfId="21646"/>
    <cellStyle name="Normal 4 3 2 6 10 4" xfId="38100"/>
    <cellStyle name="Normal 4 3 2 6 11" xfId="6841"/>
    <cellStyle name="Normal 4 3 2 6 11 2" xfId="15066"/>
    <cellStyle name="Normal 4 3 2 6 11 2 2" xfId="31516"/>
    <cellStyle name="Normal 4 3 2 6 11 3" xfId="23291"/>
    <cellStyle name="Normal 4 3 2 6 11 4" xfId="39745"/>
    <cellStyle name="Normal 4 3 2 6 12" xfId="8486"/>
    <cellStyle name="Normal 4 3 2 6 12 2" xfId="24936"/>
    <cellStyle name="Normal 4 3 2 6 13" xfId="16710"/>
    <cellStyle name="Normal 4 3 2 6 14" xfId="33163"/>
    <cellStyle name="Normal 4 3 2 6 15" xfId="41391"/>
    <cellStyle name="Normal 4 3 2 6 2" xfId="442"/>
    <cellStyle name="Normal 4 3 2 6 2 2" xfId="2139"/>
    <cellStyle name="Normal 4 3 2 6 2 2 2" xfId="10366"/>
    <cellStyle name="Normal 4 3 2 6 2 2 2 2" xfId="26816"/>
    <cellStyle name="Normal 4 3 2 6 2 2 3" xfId="18591"/>
    <cellStyle name="Normal 4 3 2 6 2 2 4" xfId="35045"/>
    <cellStyle name="Normal 4 3 2 6 2 3" xfId="3786"/>
    <cellStyle name="Normal 4 3 2 6 2 3 2" xfId="12011"/>
    <cellStyle name="Normal 4 3 2 6 2 3 2 2" xfId="28461"/>
    <cellStyle name="Normal 4 3 2 6 2 3 3" xfId="20236"/>
    <cellStyle name="Normal 4 3 2 6 2 3 4" xfId="36690"/>
    <cellStyle name="Normal 4 3 2 6 2 4" xfId="5431"/>
    <cellStyle name="Normal 4 3 2 6 2 4 2" xfId="13656"/>
    <cellStyle name="Normal 4 3 2 6 2 4 2 2" xfId="30106"/>
    <cellStyle name="Normal 4 3 2 6 2 4 3" xfId="21881"/>
    <cellStyle name="Normal 4 3 2 6 2 4 4" xfId="38335"/>
    <cellStyle name="Normal 4 3 2 6 2 5" xfId="7076"/>
    <cellStyle name="Normal 4 3 2 6 2 5 2" xfId="15301"/>
    <cellStyle name="Normal 4 3 2 6 2 5 2 2" xfId="31751"/>
    <cellStyle name="Normal 4 3 2 6 2 5 3" xfId="23526"/>
    <cellStyle name="Normal 4 3 2 6 2 5 4" xfId="39980"/>
    <cellStyle name="Normal 4 3 2 6 2 6" xfId="8721"/>
    <cellStyle name="Normal 4 3 2 6 2 6 2" xfId="25171"/>
    <cellStyle name="Normal 4 3 2 6 2 7" xfId="16945"/>
    <cellStyle name="Normal 4 3 2 6 2 8" xfId="33399"/>
    <cellStyle name="Normal 4 3 2 6 2 9" xfId="41626"/>
    <cellStyle name="Normal 4 3 2 6 3" xfId="681"/>
    <cellStyle name="Normal 4 3 2 6 3 2" xfId="2376"/>
    <cellStyle name="Normal 4 3 2 6 3 2 2" xfId="10601"/>
    <cellStyle name="Normal 4 3 2 6 3 2 2 2" xfId="27051"/>
    <cellStyle name="Normal 4 3 2 6 3 2 3" xfId="18826"/>
    <cellStyle name="Normal 4 3 2 6 3 2 4" xfId="35280"/>
    <cellStyle name="Normal 4 3 2 6 3 3" xfId="4021"/>
    <cellStyle name="Normal 4 3 2 6 3 3 2" xfId="12246"/>
    <cellStyle name="Normal 4 3 2 6 3 3 2 2" xfId="28696"/>
    <cellStyle name="Normal 4 3 2 6 3 3 3" xfId="20471"/>
    <cellStyle name="Normal 4 3 2 6 3 3 4" xfId="36925"/>
    <cellStyle name="Normal 4 3 2 6 3 4" xfId="5666"/>
    <cellStyle name="Normal 4 3 2 6 3 4 2" xfId="13891"/>
    <cellStyle name="Normal 4 3 2 6 3 4 2 2" xfId="30341"/>
    <cellStyle name="Normal 4 3 2 6 3 4 3" xfId="22116"/>
    <cellStyle name="Normal 4 3 2 6 3 4 4" xfId="38570"/>
    <cellStyle name="Normal 4 3 2 6 3 5" xfId="7311"/>
    <cellStyle name="Normal 4 3 2 6 3 5 2" xfId="15536"/>
    <cellStyle name="Normal 4 3 2 6 3 5 2 2" xfId="31986"/>
    <cellStyle name="Normal 4 3 2 6 3 5 3" xfId="23761"/>
    <cellStyle name="Normal 4 3 2 6 3 5 4" xfId="40215"/>
    <cellStyle name="Normal 4 3 2 6 3 6" xfId="8956"/>
    <cellStyle name="Normal 4 3 2 6 3 6 2" xfId="25406"/>
    <cellStyle name="Normal 4 3 2 6 3 7" xfId="17180"/>
    <cellStyle name="Normal 4 3 2 6 3 8" xfId="33634"/>
    <cellStyle name="Normal 4 3 2 6 3 9" xfId="41861"/>
    <cellStyle name="Normal 4 3 2 6 4" xfId="916"/>
    <cellStyle name="Normal 4 3 2 6 4 2" xfId="2611"/>
    <cellStyle name="Normal 4 3 2 6 4 2 2" xfId="10836"/>
    <cellStyle name="Normal 4 3 2 6 4 2 2 2" xfId="27286"/>
    <cellStyle name="Normal 4 3 2 6 4 2 3" xfId="19061"/>
    <cellStyle name="Normal 4 3 2 6 4 2 4" xfId="35515"/>
    <cellStyle name="Normal 4 3 2 6 4 3" xfId="4256"/>
    <cellStyle name="Normal 4 3 2 6 4 3 2" xfId="12481"/>
    <cellStyle name="Normal 4 3 2 6 4 3 2 2" xfId="28931"/>
    <cellStyle name="Normal 4 3 2 6 4 3 3" xfId="20706"/>
    <cellStyle name="Normal 4 3 2 6 4 3 4" xfId="37160"/>
    <cellStyle name="Normal 4 3 2 6 4 4" xfId="5901"/>
    <cellStyle name="Normal 4 3 2 6 4 4 2" xfId="14126"/>
    <cellStyle name="Normal 4 3 2 6 4 4 2 2" xfId="30576"/>
    <cellStyle name="Normal 4 3 2 6 4 4 3" xfId="22351"/>
    <cellStyle name="Normal 4 3 2 6 4 4 4" xfId="38805"/>
    <cellStyle name="Normal 4 3 2 6 4 5" xfId="7546"/>
    <cellStyle name="Normal 4 3 2 6 4 5 2" xfId="15771"/>
    <cellStyle name="Normal 4 3 2 6 4 5 2 2" xfId="32221"/>
    <cellStyle name="Normal 4 3 2 6 4 5 3" xfId="23996"/>
    <cellStyle name="Normal 4 3 2 6 4 5 4" xfId="40450"/>
    <cellStyle name="Normal 4 3 2 6 4 6" xfId="9191"/>
    <cellStyle name="Normal 4 3 2 6 4 6 2" xfId="25641"/>
    <cellStyle name="Normal 4 3 2 6 4 7" xfId="17415"/>
    <cellStyle name="Normal 4 3 2 6 4 8" xfId="33869"/>
    <cellStyle name="Normal 4 3 2 6 4 9" xfId="42096"/>
    <cellStyle name="Normal 4 3 2 6 5" xfId="1151"/>
    <cellStyle name="Normal 4 3 2 6 5 2" xfId="2846"/>
    <cellStyle name="Normal 4 3 2 6 5 2 2" xfId="11071"/>
    <cellStyle name="Normal 4 3 2 6 5 2 2 2" xfId="27521"/>
    <cellStyle name="Normal 4 3 2 6 5 2 3" xfId="19296"/>
    <cellStyle name="Normal 4 3 2 6 5 2 4" xfId="35750"/>
    <cellStyle name="Normal 4 3 2 6 5 3" xfId="4491"/>
    <cellStyle name="Normal 4 3 2 6 5 3 2" xfId="12716"/>
    <cellStyle name="Normal 4 3 2 6 5 3 2 2" xfId="29166"/>
    <cellStyle name="Normal 4 3 2 6 5 3 3" xfId="20941"/>
    <cellStyle name="Normal 4 3 2 6 5 3 4" xfId="37395"/>
    <cellStyle name="Normal 4 3 2 6 5 4" xfId="6136"/>
    <cellStyle name="Normal 4 3 2 6 5 4 2" xfId="14361"/>
    <cellStyle name="Normal 4 3 2 6 5 4 2 2" xfId="30811"/>
    <cellStyle name="Normal 4 3 2 6 5 4 3" xfId="22586"/>
    <cellStyle name="Normal 4 3 2 6 5 4 4" xfId="39040"/>
    <cellStyle name="Normal 4 3 2 6 5 5" xfId="7781"/>
    <cellStyle name="Normal 4 3 2 6 5 5 2" xfId="16006"/>
    <cellStyle name="Normal 4 3 2 6 5 5 2 2" xfId="32456"/>
    <cellStyle name="Normal 4 3 2 6 5 5 3" xfId="24231"/>
    <cellStyle name="Normal 4 3 2 6 5 5 4" xfId="40685"/>
    <cellStyle name="Normal 4 3 2 6 5 6" xfId="9426"/>
    <cellStyle name="Normal 4 3 2 6 5 6 2" xfId="25876"/>
    <cellStyle name="Normal 4 3 2 6 5 7" xfId="17650"/>
    <cellStyle name="Normal 4 3 2 6 5 8" xfId="34104"/>
    <cellStyle name="Normal 4 3 2 6 5 9" xfId="42331"/>
    <cellStyle name="Normal 4 3 2 6 6" xfId="1431"/>
    <cellStyle name="Normal 4 3 2 6 6 2" xfId="3081"/>
    <cellStyle name="Normal 4 3 2 6 6 2 2" xfId="11306"/>
    <cellStyle name="Normal 4 3 2 6 6 2 2 2" xfId="27756"/>
    <cellStyle name="Normal 4 3 2 6 6 2 3" xfId="19531"/>
    <cellStyle name="Normal 4 3 2 6 6 2 4" xfId="35985"/>
    <cellStyle name="Normal 4 3 2 6 6 3" xfId="4726"/>
    <cellStyle name="Normal 4 3 2 6 6 3 2" xfId="12951"/>
    <cellStyle name="Normal 4 3 2 6 6 3 2 2" xfId="29401"/>
    <cellStyle name="Normal 4 3 2 6 6 3 3" xfId="21176"/>
    <cellStyle name="Normal 4 3 2 6 6 3 4" xfId="37630"/>
    <cellStyle name="Normal 4 3 2 6 6 4" xfId="6371"/>
    <cellStyle name="Normal 4 3 2 6 6 4 2" xfId="14596"/>
    <cellStyle name="Normal 4 3 2 6 6 4 2 2" xfId="31046"/>
    <cellStyle name="Normal 4 3 2 6 6 4 3" xfId="22821"/>
    <cellStyle name="Normal 4 3 2 6 6 4 4" xfId="39275"/>
    <cellStyle name="Normal 4 3 2 6 6 5" xfId="8016"/>
    <cellStyle name="Normal 4 3 2 6 6 5 2" xfId="16241"/>
    <cellStyle name="Normal 4 3 2 6 6 5 2 2" xfId="32691"/>
    <cellStyle name="Normal 4 3 2 6 6 5 3" xfId="24466"/>
    <cellStyle name="Normal 4 3 2 6 6 5 4" xfId="40920"/>
    <cellStyle name="Normal 4 3 2 6 6 6" xfId="9661"/>
    <cellStyle name="Normal 4 3 2 6 6 6 2" xfId="26111"/>
    <cellStyle name="Normal 4 3 2 6 6 7" xfId="17885"/>
    <cellStyle name="Normal 4 3 2 6 6 8" xfId="34339"/>
    <cellStyle name="Normal 4 3 2 6 7" xfId="1666"/>
    <cellStyle name="Normal 4 3 2 6 7 2" xfId="3316"/>
    <cellStyle name="Normal 4 3 2 6 7 2 2" xfId="11541"/>
    <cellStyle name="Normal 4 3 2 6 7 2 2 2" xfId="27991"/>
    <cellStyle name="Normal 4 3 2 6 7 2 3" xfId="19766"/>
    <cellStyle name="Normal 4 3 2 6 7 2 4" xfId="36220"/>
    <cellStyle name="Normal 4 3 2 6 7 3" xfId="4961"/>
    <cellStyle name="Normal 4 3 2 6 7 3 2" xfId="13186"/>
    <cellStyle name="Normal 4 3 2 6 7 3 2 2" xfId="29636"/>
    <cellStyle name="Normal 4 3 2 6 7 3 3" xfId="21411"/>
    <cellStyle name="Normal 4 3 2 6 7 3 4" xfId="37865"/>
    <cellStyle name="Normal 4 3 2 6 7 4" xfId="6606"/>
    <cellStyle name="Normal 4 3 2 6 7 4 2" xfId="14831"/>
    <cellStyle name="Normal 4 3 2 6 7 4 2 2" xfId="31281"/>
    <cellStyle name="Normal 4 3 2 6 7 4 3" xfId="23056"/>
    <cellStyle name="Normal 4 3 2 6 7 4 4" xfId="39510"/>
    <cellStyle name="Normal 4 3 2 6 7 5" xfId="8251"/>
    <cellStyle name="Normal 4 3 2 6 7 5 2" xfId="16476"/>
    <cellStyle name="Normal 4 3 2 6 7 5 2 2" xfId="32926"/>
    <cellStyle name="Normal 4 3 2 6 7 5 3" xfId="24701"/>
    <cellStyle name="Normal 4 3 2 6 7 5 4" xfId="41155"/>
    <cellStyle name="Normal 4 3 2 6 7 6" xfId="9896"/>
    <cellStyle name="Normal 4 3 2 6 7 6 2" xfId="26346"/>
    <cellStyle name="Normal 4 3 2 6 7 7" xfId="18120"/>
    <cellStyle name="Normal 4 3 2 6 7 8" xfId="34574"/>
    <cellStyle name="Normal 4 3 2 6 8" xfId="1901"/>
    <cellStyle name="Normal 4 3 2 6 8 2" xfId="10131"/>
    <cellStyle name="Normal 4 3 2 6 8 2 2" xfId="26581"/>
    <cellStyle name="Normal 4 3 2 6 8 3" xfId="18355"/>
    <cellStyle name="Normal 4 3 2 6 8 4" xfId="34809"/>
    <cellStyle name="Normal 4 3 2 6 9" xfId="3551"/>
    <cellStyle name="Normal 4 3 2 6 9 2" xfId="11776"/>
    <cellStyle name="Normal 4 3 2 6 9 2 2" xfId="28226"/>
    <cellStyle name="Normal 4 3 2 6 9 3" xfId="20001"/>
    <cellStyle name="Normal 4 3 2 6 9 4" xfId="36455"/>
    <cellStyle name="Normal 4 3 2 7" xfId="226"/>
    <cellStyle name="Normal 4 3 2 7 10" xfId="5223"/>
    <cellStyle name="Normal 4 3 2 7 10 2" xfId="13448"/>
    <cellStyle name="Normal 4 3 2 7 10 2 2" xfId="29898"/>
    <cellStyle name="Normal 4 3 2 7 10 3" xfId="21673"/>
    <cellStyle name="Normal 4 3 2 7 10 4" xfId="38127"/>
    <cellStyle name="Normal 4 3 2 7 11" xfId="6868"/>
    <cellStyle name="Normal 4 3 2 7 11 2" xfId="15093"/>
    <cellStyle name="Normal 4 3 2 7 11 2 2" xfId="31543"/>
    <cellStyle name="Normal 4 3 2 7 11 3" xfId="23318"/>
    <cellStyle name="Normal 4 3 2 7 11 4" xfId="39772"/>
    <cellStyle name="Normal 4 3 2 7 12" xfId="8513"/>
    <cellStyle name="Normal 4 3 2 7 12 2" xfId="24963"/>
    <cellStyle name="Normal 4 3 2 7 13" xfId="16737"/>
    <cellStyle name="Normal 4 3 2 7 14" xfId="33190"/>
    <cellStyle name="Normal 4 3 2 7 15" xfId="41418"/>
    <cellStyle name="Normal 4 3 2 7 2" xfId="469"/>
    <cellStyle name="Normal 4 3 2 7 2 2" xfId="2166"/>
    <cellStyle name="Normal 4 3 2 7 2 2 2" xfId="10393"/>
    <cellStyle name="Normal 4 3 2 7 2 2 2 2" xfId="26843"/>
    <cellStyle name="Normal 4 3 2 7 2 2 3" xfId="18618"/>
    <cellStyle name="Normal 4 3 2 7 2 2 4" xfId="35072"/>
    <cellStyle name="Normal 4 3 2 7 2 3" xfId="3813"/>
    <cellStyle name="Normal 4 3 2 7 2 3 2" xfId="12038"/>
    <cellStyle name="Normal 4 3 2 7 2 3 2 2" xfId="28488"/>
    <cellStyle name="Normal 4 3 2 7 2 3 3" xfId="20263"/>
    <cellStyle name="Normal 4 3 2 7 2 3 4" xfId="36717"/>
    <cellStyle name="Normal 4 3 2 7 2 4" xfId="5458"/>
    <cellStyle name="Normal 4 3 2 7 2 4 2" xfId="13683"/>
    <cellStyle name="Normal 4 3 2 7 2 4 2 2" xfId="30133"/>
    <cellStyle name="Normal 4 3 2 7 2 4 3" xfId="21908"/>
    <cellStyle name="Normal 4 3 2 7 2 4 4" xfId="38362"/>
    <cellStyle name="Normal 4 3 2 7 2 5" xfId="7103"/>
    <cellStyle name="Normal 4 3 2 7 2 5 2" xfId="15328"/>
    <cellStyle name="Normal 4 3 2 7 2 5 2 2" xfId="31778"/>
    <cellStyle name="Normal 4 3 2 7 2 5 3" xfId="23553"/>
    <cellStyle name="Normal 4 3 2 7 2 5 4" xfId="40007"/>
    <cellStyle name="Normal 4 3 2 7 2 6" xfId="8748"/>
    <cellStyle name="Normal 4 3 2 7 2 6 2" xfId="25198"/>
    <cellStyle name="Normal 4 3 2 7 2 7" xfId="16972"/>
    <cellStyle name="Normal 4 3 2 7 2 8" xfId="33426"/>
    <cellStyle name="Normal 4 3 2 7 2 9" xfId="41653"/>
    <cellStyle name="Normal 4 3 2 7 3" xfId="708"/>
    <cellStyle name="Normal 4 3 2 7 3 2" xfId="2403"/>
    <cellStyle name="Normal 4 3 2 7 3 2 2" xfId="10628"/>
    <cellStyle name="Normal 4 3 2 7 3 2 2 2" xfId="27078"/>
    <cellStyle name="Normal 4 3 2 7 3 2 3" xfId="18853"/>
    <cellStyle name="Normal 4 3 2 7 3 2 4" xfId="35307"/>
    <cellStyle name="Normal 4 3 2 7 3 3" xfId="4048"/>
    <cellStyle name="Normal 4 3 2 7 3 3 2" xfId="12273"/>
    <cellStyle name="Normal 4 3 2 7 3 3 2 2" xfId="28723"/>
    <cellStyle name="Normal 4 3 2 7 3 3 3" xfId="20498"/>
    <cellStyle name="Normal 4 3 2 7 3 3 4" xfId="36952"/>
    <cellStyle name="Normal 4 3 2 7 3 4" xfId="5693"/>
    <cellStyle name="Normal 4 3 2 7 3 4 2" xfId="13918"/>
    <cellStyle name="Normal 4 3 2 7 3 4 2 2" xfId="30368"/>
    <cellStyle name="Normal 4 3 2 7 3 4 3" xfId="22143"/>
    <cellStyle name="Normal 4 3 2 7 3 4 4" xfId="38597"/>
    <cellStyle name="Normal 4 3 2 7 3 5" xfId="7338"/>
    <cellStyle name="Normal 4 3 2 7 3 5 2" xfId="15563"/>
    <cellStyle name="Normal 4 3 2 7 3 5 2 2" xfId="32013"/>
    <cellStyle name="Normal 4 3 2 7 3 5 3" xfId="23788"/>
    <cellStyle name="Normal 4 3 2 7 3 5 4" xfId="40242"/>
    <cellStyle name="Normal 4 3 2 7 3 6" xfId="8983"/>
    <cellStyle name="Normal 4 3 2 7 3 6 2" xfId="25433"/>
    <cellStyle name="Normal 4 3 2 7 3 7" xfId="17207"/>
    <cellStyle name="Normal 4 3 2 7 3 8" xfId="33661"/>
    <cellStyle name="Normal 4 3 2 7 3 9" xfId="41888"/>
    <cellStyle name="Normal 4 3 2 7 4" xfId="943"/>
    <cellStyle name="Normal 4 3 2 7 4 2" xfId="2638"/>
    <cellStyle name="Normal 4 3 2 7 4 2 2" xfId="10863"/>
    <cellStyle name="Normal 4 3 2 7 4 2 2 2" xfId="27313"/>
    <cellStyle name="Normal 4 3 2 7 4 2 3" xfId="19088"/>
    <cellStyle name="Normal 4 3 2 7 4 2 4" xfId="35542"/>
    <cellStyle name="Normal 4 3 2 7 4 3" xfId="4283"/>
    <cellStyle name="Normal 4 3 2 7 4 3 2" xfId="12508"/>
    <cellStyle name="Normal 4 3 2 7 4 3 2 2" xfId="28958"/>
    <cellStyle name="Normal 4 3 2 7 4 3 3" xfId="20733"/>
    <cellStyle name="Normal 4 3 2 7 4 3 4" xfId="37187"/>
    <cellStyle name="Normal 4 3 2 7 4 4" xfId="5928"/>
    <cellStyle name="Normal 4 3 2 7 4 4 2" xfId="14153"/>
    <cellStyle name="Normal 4 3 2 7 4 4 2 2" xfId="30603"/>
    <cellStyle name="Normal 4 3 2 7 4 4 3" xfId="22378"/>
    <cellStyle name="Normal 4 3 2 7 4 4 4" xfId="38832"/>
    <cellStyle name="Normal 4 3 2 7 4 5" xfId="7573"/>
    <cellStyle name="Normal 4 3 2 7 4 5 2" xfId="15798"/>
    <cellStyle name="Normal 4 3 2 7 4 5 2 2" xfId="32248"/>
    <cellStyle name="Normal 4 3 2 7 4 5 3" xfId="24023"/>
    <cellStyle name="Normal 4 3 2 7 4 5 4" xfId="40477"/>
    <cellStyle name="Normal 4 3 2 7 4 6" xfId="9218"/>
    <cellStyle name="Normal 4 3 2 7 4 6 2" xfId="25668"/>
    <cellStyle name="Normal 4 3 2 7 4 7" xfId="17442"/>
    <cellStyle name="Normal 4 3 2 7 4 8" xfId="33896"/>
    <cellStyle name="Normal 4 3 2 7 4 9" xfId="42123"/>
    <cellStyle name="Normal 4 3 2 7 5" xfId="1178"/>
    <cellStyle name="Normal 4 3 2 7 5 2" xfId="2873"/>
    <cellStyle name="Normal 4 3 2 7 5 2 2" xfId="11098"/>
    <cellStyle name="Normal 4 3 2 7 5 2 2 2" xfId="27548"/>
    <cellStyle name="Normal 4 3 2 7 5 2 3" xfId="19323"/>
    <cellStyle name="Normal 4 3 2 7 5 2 4" xfId="35777"/>
    <cellStyle name="Normal 4 3 2 7 5 3" xfId="4518"/>
    <cellStyle name="Normal 4 3 2 7 5 3 2" xfId="12743"/>
    <cellStyle name="Normal 4 3 2 7 5 3 2 2" xfId="29193"/>
    <cellStyle name="Normal 4 3 2 7 5 3 3" xfId="20968"/>
    <cellStyle name="Normal 4 3 2 7 5 3 4" xfId="37422"/>
    <cellStyle name="Normal 4 3 2 7 5 4" xfId="6163"/>
    <cellStyle name="Normal 4 3 2 7 5 4 2" xfId="14388"/>
    <cellStyle name="Normal 4 3 2 7 5 4 2 2" xfId="30838"/>
    <cellStyle name="Normal 4 3 2 7 5 4 3" xfId="22613"/>
    <cellStyle name="Normal 4 3 2 7 5 4 4" xfId="39067"/>
    <cellStyle name="Normal 4 3 2 7 5 5" xfId="7808"/>
    <cellStyle name="Normal 4 3 2 7 5 5 2" xfId="16033"/>
    <cellStyle name="Normal 4 3 2 7 5 5 2 2" xfId="32483"/>
    <cellStyle name="Normal 4 3 2 7 5 5 3" xfId="24258"/>
    <cellStyle name="Normal 4 3 2 7 5 5 4" xfId="40712"/>
    <cellStyle name="Normal 4 3 2 7 5 6" xfId="9453"/>
    <cellStyle name="Normal 4 3 2 7 5 6 2" xfId="25903"/>
    <cellStyle name="Normal 4 3 2 7 5 7" xfId="17677"/>
    <cellStyle name="Normal 4 3 2 7 5 8" xfId="34131"/>
    <cellStyle name="Normal 4 3 2 7 5 9" xfId="42358"/>
    <cellStyle name="Normal 4 3 2 7 6" xfId="1458"/>
    <cellStyle name="Normal 4 3 2 7 6 2" xfId="3108"/>
    <cellStyle name="Normal 4 3 2 7 6 2 2" xfId="11333"/>
    <cellStyle name="Normal 4 3 2 7 6 2 2 2" xfId="27783"/>
    <cellStyle name="Normal 4 3 2 7 6 2 3" xfId="19558"/>
    <cellStyle name="Normal 4 3 2 7 6 2 4" xfId="36012"/>
    <cellStyle name="Normal 4 3 2 7 6 3" xfId="4753"/>
    <cellStyle name="Normal 4 3 2 7 6 3 2" xfId="12978"/>
    <cellStyle name="Normal 4 3 2 7 6 3 2 2" xfId="29428"/>
    <cellStyle name="Normal 4 3 2 7 6 3 3" xfId="21203"/>
    <cellStyle name="Normal 4 3 2 7 6 3 4" xfId="37657"/>
    <cellStyle name="Normal 4 3 2 7 6 4" xfId="6398"/>
    <cellStyle name="Normal 4 3 2 7 6 4 2" xfId="14623"/>
    <cellStyle name="Normal 4 3 2 7 6 4 2 2" xfId="31073"/>
    <cellStyle name="Normal 4 3 2 7 6 4 3" xfId="22848"/>
    <cellStyle name="Normal 4 3 2 7 6 4 4" xfId="39302"/>
    <cellStyle name="Normal 4 3 2 7 6 5" xfId="8043"/>
    <cellStyle name="Normal 4 3 2 7 6 5 2" xfId="16268"/>
    <cellStyle name="Normal 4 3 2 7 6 5 2 2" xfId="32718"/>
    <cellStyle name="Normal 4 3 2 7 6 5 3" xfId="24493"/>
    <cellStyle name="Normal 4 3 2 7 6 5 4" xfId="40947"/>
    <cellStyle name="Normal 4 3 2 7 6 6" xfId="9688"/>
    <cellStyle name="Normal 4 3 2 7 6 6 2" xfId="26138"/>
    <cellStyle name="Normal 4 3 2 7 6 7" xfId="17912"/>
    <cellStyle name="Normal 4 3 2 7 6 8" xfId="34366"/>
    <cellStyle name="Normal 4 3 2 7 7" xfId="1693"/>
    <cellStyle name="Normal 4 3 2 7 7 2" xfId="3343"/>
    <cellStyle name="Normal 4 3 2 7 7 2 2" xfId="11568"/>
    <cellStyle name="Normal 4 3 2 7 7 2 2 2" xfId="28018"/>
    <cellStyle name="Normal 4 3 2 7 7 2 3" xfId="19793"/>
    <cellStyle name="Normal 4 3 2 7 7 2 4" xfId="36247"/>
    <cellStyle name="Normal 4 3 2 7 7 3" xfId="4988"/>
    <cellStyle name="Normal 4 3 2 7 7 3 2" xfId="13213"/>
    <cellStyle name="Normal 4 3 2 7 7 3 2 2" xfId="29663"/>
    <cellStyle name="Normal 4 3 2 7 7 3 3" xfId="21438"/>
    <cellStyle name="Normal 4 3 2 7 7 3 4" xfId="37892"/>
    <cellStyle name="Normal 4 3 2 7 7 4" xfId="6633"/>
    <cellStyle name="Normal 4 3 2 7 7 4 2" xfId="14858"/>
    <cellStyle name="Normal 4 3 2 7 7 4 2 2" xfId="31308"/>
    <cellStyle name="Normal 4 3 2 7 7 4 3" xfId="23083"/>
    <cellStyle name="Normal 4 3 2 7 7 4 4" xfId="39537"/>
    <cellStyle name="Normal 4 3 2 7 7 5" xfId="8278"/>
    <cellStyle name="Normal 4 3 2 7 7 5 2" xfId="16503"/>
    <cellStyle name="Normal 4 3 2 7 7 5 2 2" xfId="32953"/>
    <cellStyle name="Normal 4 3 2 7 7 5 3" xfId="24728"/>
    <cellStyle name="Normal 4 3 2 7 7 5 4" xfId="41182"/>
    <cellStyle name="Normal 4 3 2 7 7 6" xfId="9923"/>
    <cellStyle name="Normal 4 3 2 7 7 6 2" xfId="26373"/>
    <cellStyle name="Normal 4 3 2 7 7 7" xfId="18147"/>
    <cellStyle name="Normal 4 3 2 7 7 8" xfId="34601"/>
    <cellStyle name="Normal 4 3 2 7 8" xfId="1928"/>
    <cellStyle name="Normal 4 3 2 7 8 2" xfId="10158"/>
    <cellStyle name="Normal 4 3 2 7 8 2 2" xfId="26608"/>
    <cellStyle name="Normal 4 3 2 7 8 3" xfId="18382"/>
    <cellStyle name="Normal 4 3 2 7 8 4" xfId="34836"/>
    <cellStyle name="Normal 4 3 2 7 9" xfId="3578"/>
    <cellStyle name="Normal 4 3 2 7 9 2" xfId="11803"/>
    <cellStyle name="Normal 4 3 2 7 9 2 2" xfId="28253"/>
    <cellStyle name="Normal 4 3 2 7 9 3" xfId="20028"/>
    <cellStyle name="Normal 4 3 2 7 9 4" xfId="36482"/>
    <cellStyle name="Normal 4 3 2 8" xfId="255"/>
    <cellStyle name="Normal 4 3 2 8 10" xfId="5250"/>
    <cellStyle name="Normal 4 3 2 8 10 2" xfId="13475"/>
    <cellStyle name="Normal 4 3 2 8 10 2 2" xfId="29925"/>
    <cellStyle name="Normal 4 3 2 8 10 3" xfId="21700"/>
    <cellStyle name="Normal 4 3 2 8 10 4" xfId="38154"/>
    <cellStyle name="Normal 4 3 2 8 11" xfId="6895"/>
    <cellStyle name="Normal 4 3 2 8 11 2" xfId="15120"/>
    <cellStyle name="Normal 4 3 2 8 11 2 2" xfId="31570"/>
    <cellStyle name="Normal 4 3 2 8 11 3" xfId="23345"/>
    <cellStyle name="Normal 4 3 2 8 11 4" xfId="39799"/>
    <cellStyle name="Normal 4 3 2 8 12" xfId="8540"/>
    <cellStyle name="Normal 4 3 2 8 12 2" xfId="24990"/>
    <cellStyle name="Normal 4 3 2 8 13" xfId="16764"/>
    <cellStyle name="Normal 4 3 2 8 14" xfId="33217"/>
    <cellStyle name="Normal 4 3 2 8 15" xfId="41445"/>
    <cellStyle name="Normal 4 3 2 8 2" xfId="498"/>
    <cellStyle name="Normal 4 3 2 8 2 2" xfId="2193"/>
    <cellStyle name="Normal 4 3 2 8 2 2 2" xfId="10420"/>
    <cellStyle name="Normal 4 3 2 8 2 2 2 2" xfId="26870"/>
    <cellStyle name="Normal 4 3 2 8 2 2 3" xfId="18645"/>
    <cellStyle name="Normal 4 3 2 8 2 2 4" xfId="35099"/>
    <cellStyle name="Normal 4 3 2 8 2 3" xfId="3840"/>
    <cellStyle name="Normal 4 3 2 8 2 3 2" xfId="12065"/>
    <cellStyle name="Normal 4 3 2 8 2 3 2 2" xfId="28515"/>
    <cellStyle name="Normal 4 3 2 8 2 3 3" xfId="20290"/>
    <cellStyle name="Normal 4 3 2 8 2 3 4" xfId="36744"/>
    <cellStyle name="Normal 4 3 2 8 2 4" xfId="5485"/>
    <cellStyle name="Normal 4 3 2 8 2 4 2" xfId="13710"/>
    <cellStyle name="Normal 4 3 2 8 2 4 2 2" xfId="30160"/>
    <cellStyle name="Normal 4 3 2 8 2 4 3" xfId="21935"/>
    <cellStyle name="Normal 4 3 2 8 2 4 4" xfId="38389"/>
    <cellStyle name="Normal 4 3 2 8 2 5" xfId="7130"/>
    <cellStyle name="Normal 4 3 2 8 2 5 2" xfId="15355"/>
    <cellStyle name="Normal 4 3 2 8 2 5 2 2" xfId="31805"/>
    <cellStyle name="Normal 4 3 2 8 2 5 3" xfId="23580"/>
    <cellStyle name="Normal 4 3 2 8 2 5 4" xfId="40034"/>
    <cellStyle name="Normal 4 3 2 8 2 6" xfId="8775"/>
    <cellStyle name="Normal 4 3 2 8 2 6 2" xfId="25225"/>
    <cellStyle name="Normal 4 3 2 8 2 7" xfId="16999"/>
    <cellStyle name="Normal 4 3 2 8 2 8" xfId="33453"/>
    <cellStyle name="Normal 4 3 2 8 2 9" xfId="41680"/>
    <cellStyle name="Normal 4 3 2 8 3" xfId="735"/>
    <cellStyle name="Normal 4 3 2 8 3 2" xfId="2430"/>
    <cellStyle name="Normal 4 3 2 8 3 2 2" xfId="10655"/>
    <cellStyle name="Normal 4 3 2 8 3 2 2 2" xfId="27105"/>
    <cellStyle name="Normal 4 3 2 8 3 2 3" xfId="18880"/>
    <cellStyle name="Normal 4 3 2 8 3 2 4" xfId="35334"/>
    <cellStyle name="Normal 4 3 2 8 3 3" xfId="4075"/>
    <cellStyle name="Normal 4 3 2 8 3 3 2" xfId="12300"/>
    <cellStyle name="Normal 4 3 2 8 3 3 2 2" xfId="28750"/>
    <cellStyle name="Normal 4 3 2 8 3 3 3" xfId="20525"/>
    <cellStyle name="Normal 4 3 2 8 3 3 4" xfId="36979"/>
    <cellStyle name="Normal 4 3 2 8 3 4" xfId="5720"/>
    <cellStyle name="Normal 4 3 2 8 3 4 2" xfId="13945"/>
    <cellStyle name="Normal 4 3 2 8 3 4 2 2" xfId="30395"/>
    <cellStyle name="Normal 4 3 2 8 3 4 3" xfId="22170"/>
    <cellStyle name="Normal 4 3 2 8 3 4 4" xfId="38624"/>
    <cellStyle name="Normal 4 3 2 8 3 5" xfId="7365"/>
    <cellStyle name="Normal 4 3 2 8 3 5 2" xfId="15590"/>
    <cellStyle name="Normal 4 3 2 8 3 5 2 2" xfId="32040"/>
    <cellStyle name="Normal 4 3 2 8 3 5 3" xfId="23815"/>
    <cellStyle name="Normal 4 3 2 8 3 5 4" xfId="40269"/>
    <cellStyle name="Normal 4 3 2 8 3 6" xfId="9010"/>
    <cellStyle name="Normal 4 3 2 8 3 6 2" xfId="25460"/>
    <cellStyle name="Normal 4 3 2 8 3 7" xfId="17234"/>
    <cellStyle name="Normal 4 3 2 8 3 8" xfId="33688"/>
    <cellStyle name="Normal 4 3 2 8 3 9" xfId="41915"/>
    <cellStyle name="Normal 4 3 2 8 4" xfId="970"/>
    <cellStyle name="Normal 4 3 2 8 4 2" xfId="2665"/>
    <cellStyle name="Normal 4 3 2 8 4 2 2" xfId="10890"/>
    <cellStyle name="Normal 4 3 2 8 4 2 2 2" xfId="27340"/>
    <cellStyle name="Normal 4 3 2 8 4 2 3" xfId="19115"/>
    <cellStyle name="Normal 4 3 2 8 4 2 4" xfId="35569"/>
    <cellStyle name="Normal 4 3 2 8 4 3" xfId="4310"/>
    <cellStyle name="Normal 4 3 2 8 4 3 2" xfId="12535"/>
    <cellStyle name="Normal 4 3 2 8 4 3 2 2" xfId="28985"/>
    <cellStyle name="Normal 4 3 2 8 4 3 3" xfId="20760"/>
    <cellStyle name="Normal 4 3 2 8 4 3 4" xfId="37214"/>
    <cellStyle name="Normal 4 3 2 8 4 4" xfId="5955"/>
    <cellStyle name="Normal 4 3 2 8 4 4 2" xfId="14180"/>
    <cellStyle name="Normal 4 3 2 8 4 4 2 2" xfId="30630"/>
    <cellStyle name="Normal 4 3 2 8 4 4 3" xfId="22405"/>
    <cellStyle name="Normal 4 3 2 8 4 4 4" xfId="38859"/>
    <cellStyle name="Normal 4 3 2 8 4 5" xfId="7600"/>
    <cellStyle name="Normal 4 3 2 8 4 5 2" xfId="15825"/>
    <cellStyle name="Normal 4 3 2 8 4 5 2 2" xfId="32275"/>
    <cellStyle name="Normal 4 3 2 8 4 5 3" xfId="24050"/>
    <cellStyle name="Normal 4 3 2 8 4 5 4" xfId="40504"/>
    <cellStyle name="Normal 4 3 2 8 4 6" xfId="9245"/>
    <cellStyle name="Normal 4 3 2 8 4 6 2" xfId="25695"/>
    <cellStyle name="Normal 4 3 2 8 4 7" xfId="17469"/>
    <cellStyle name="Normal 4 3 2 8 4 8" xfId="33923"/>
    <cellStyle name="Normal 4 3 2 8 4 9" xfId="42150"/>
    <cellStyle name="Normal 4 3 2 8 5" xfId="1205"/>
    <cellStyle name="Normal 4 3 2 8 5 2" xfId="2900"/>
    <cellStyle name="Normal 4 3 2 8 5 2 2" xfId="11125"/>
    <cellStyle name="Normal 4 3 2 8 5 2 2 2" xfId="27575"/>
    <cellStyle name="Normal 4 3 2 8 5 2 3" xfId="19350"/>
    <cellStyle name="Normal 4 3 2 8 5 2 4" xfId="35804"/>
    <cellStyle name="Normal 4 3 2 8 5 3" xfId="4545"/>
    <cellStyle name="Normal 4 3 2 8 5 3 2" xfId="12770"/>
    <cellStyle name="Normal 4 3 2 8 5 3 2 2" xfId="29220"/>
    <cellStyle name="Normal 4 3 2 8 5 3 3" xfId="20995"/>
    <cellStyle name="Normal 4 3 2 8 5 3 4" xfId="37449"/>
    <cellStyle name="Normal 4 3 2 8 5 4" xfId="6190"/>
    <cellStyle name="Normal 4 3 2 8 5 4 2" xfId="14415"/>
    <cellStyle name="Normal 4 3 2 8 5 4 2 2" xfId="30865"/>
    <cellStyle name="Normal 4 3 2 8 5 4 3" xfId="22640"/>
    <cellStyle name="Normal 4 3 2 8 5 4 4" xfId="39094"/>
    <cellStyle name="Normal 4 3 2 8 5 5" xfId="7835"/>
    <cellStyle name="Normal 4 3 2 8 5 5 2" xfId="16060"/>
    <cellStyle name="Normal 4 3 2 8 5 5 2 2" xfId="32510"/>
    <cellStyle name="Normal 4 3 2 8 5 5 3" xfId="24285"/>
    <cellStyle name="Normal 4 3 2 8 5 5 4" xfId="40739"/>
    <cellStyle name="Normal 4 3 2 8 5 6" xfId="9480"/>
    <cellStyle name="Normal 4 3 2 8 5 6 2" xfId="25930"/>
    <cellStyle name="Normal 4 3 2 8 5 7" xfId="17704"/>
    <cellStyle name="Normal 4 3 2 8 5 8" xfId="34158"/>
    <cellStyle name="Normal 4 3 2 8 5 9" xfId="42385"/>
    <cellStyle name="Normal 4 3 2 8 6" xfId="1485"/>
    <cellStyle name="Normal 4 3 2 8 6 2" xfId="3135"/>
    <cellStyle name="Normal 4 3 2 8 6 2 2" xfId="11360"/>
    <cellStyle name="Normal 4 3 2 8 6 2 2 2" xfId="27810"/>
    <cellStyle name="Normal 4 3 2 8 6 2 3" xfId="19585"/>
    <cellStyle name="Normal 4 3 2 8 6 2 4" xfId="36039"/>
    <cellStyle name="Normal 4 3 2 8 6 3" xfId="4780"/>
    <cellStyle name="Normal 4 3 2 8 6 3 2" xfId="13005"/>
    <cellStyle name="Normal 4 3 2 8 6 3 2 2" xfId="29455"/>
    <cellStyle name="Normal 4 3 2 8 6 3 3" xfId="21230"/>
    <cellStyle name="Normal 4 3 2 8 6 3 4" xfId="37684"/>
    <cellStyle name="Normal 4 3 2 8 6 4" xfId="6425"/>
    <cellStyle name="Normal 4 3 2 8 6 4 2" xfId="14650"/>
    <cellStyle name="Normal 4 3 2 8 6 4 2 2" xfId="31100"/>
    <cellStyle name="Normal 4 3 2 8 6 4 3" xfId="22875"/>
    <cellStyle name="Normal 4 3 2 8 6 4 4" xfId="39329"/>
    <cellStyle name="Normal 4 3 2 8 6 5" xfId="8070"/>
    <cellStyle name="Normal 4 3 2 8 6 5 2" xfId="16295"/>
    <cellStyle name="Normal 4 3 2 8 6 5 2 2" xfId="32745"/>
    <cellStyle name="Normal 4 3 2 8 6 5 3" xfId="24520"/>
    <cellStyle name="Normal 4 3 2 8 6 5 4" xfId="40974"/>
    <cellStyle name="Normal 4 3 2 8 6 6" xfId="9715"/>
    <cellStyle name="Normal 4 3 2 8 6 6 2" xfId="26165"/>
    <cellStyle name="Normal 4 3 2 8 6 7" xfId="17939"/>
    <cellStyle name="Normal 4 3 2 8 6 8" xfId="34393"/>
    <cellStyle name="Normal 4 3 2 8 7" xfId="1720"/>
    <cellStyle name="Normal 4 3 2 8 7 2" xfId="3370"/>
    <cellStyle name="Normal 4 3 2 8 7 2 2" xfId="11595"/>
    <cellStyle name="Normal 4 3 2 8 7 2 2 2" xfId="28045"/>
    <cellStyle name="Normal 4 3 2 8 7 2 3" xfId="19820"/>
    <cellStyle name="Normal 4 3 2 8 7 2 4" xfId="36274"/>
    <cellStyle name="Normal 4 3 2 8 7 3" xfId="5015"/>
    <cellStyle name="Normal 4 3 2 8 7 3 2" xfId="13240"/>
    <cellStyle name="Normal 4 3 2 8 7 3 2 2" xfId="29690"/>
    <cellStyle name="Normal 4 3 2 8 7 3 3" xfId="21465"/>
    <cellStyle name="Normal 4 3 2 8 7 3 4" xfId="37919"/>
    <cellStyle name="Normal 4 3 2 8 7 4" xfId="6660"/>
    <cellStyle name="Normal 4 3 2 8 7 4 2" xfId="14885"/>
    <cellStyle name="Normal 4 3 2 8 7 4 2 2" xfId="31335"/>
    <cellStyle name="Normal 4 3 2 8 7 4 3" xfId="23110"/>
    <cellStyle name="Normal 4 3 2 8 7 4 4" xfId="39564"/>
    <cellStyle name="Normal 4 3 2 8 7 5" xfId="8305"/>
    <cellStyle name="Normal 4 3 2 8 7 5 2" xfId="16530"/>
    <cellStyle name="Normal 4 3 2 8 7 5 2 2" xfId="32980"/>
    <cellStyle name="Normal 4 3 2 8 7 5 3" xfId="24755"/>
    <cellStyle name="Normal 4 3 2 8 7 5 4" xfId="41209"/>
    <cellStyle name="Normal 4 3 2 8 7 6" xfId="9950"/>
    <cellStyle name="Normal 4 3 2 8 7 6 2" xfId="26400"/>
    <cellStyle name="Normal 4 3 2 8 7 7" xfId="18174"/>
    <cellStyle name="Normal 4 3 2 8 7 8" xfId="34628"/>
    <cellStyle name="Normal 4 3 2 8 8" xfId="1955"/>
    <cellStyle name="Normal 4 3 2 8 8 2" xfId="10185"/>
    <cellStyle name="Normal 4 3 2 8 8 2 2" xfId="26635"/>
    <cellStyle name="Normal 4 3 2 8 8 3" xfId="18409"/>
    <cellStyle name="Normal 4 3 2 8 8 4" xfId="34863"/>
    <cellStyle name="Normal 4 3 2 8 9" xfId="3605"/>
    <cellStyle name="Normal 4 3 2 8 9 2" xfId="11830"/>
    <cellStyle name="Normal 4 3 2 8 9 2 2" xfId="28280"/>
    <cellStyle name="Normal 4 3 2 8 9 3" xfId="20055"/>
    <cellStyle name="Normal 4 3 2 8 9 4" xfId="36509"/>
    <cellStyle name="Normal 4 3 2 9" xfId="284"/>
    <cellStyle name="Normal 4 3 2 9 2" xfId="1985"/>
    <cellStyle name="Normal 4 3 2 9 2 2" xfId="10212"/>
    <cellStyle name="Normal 4 3 2 9 2 2 2" xfId="26662"/>
    <cellStyle name="Normal 4 3 2 9 2 3" xfId="18437"/>
    <cellStyle name="Normal 4 3 2 9 2 4" xfId="34891"/>
    <cellStyle name="Normal 4 3 2 9 3" xfId="3632"/>
    <cellStyle name="Normal 4 3 2 9 3 2" xfId="11857"/>
    <cellStyle name="Normal 4 3 2 9 3 2 2" xfId="28307"/>
    <cellStyle name="Normal 4 3 2 9 3 3" xfId="20082"/>
    <cellStyle name="Normal 4 3 2 9 3 4" xfId="36536"/>
    <cellStyle name="Normal 4 3 2 9 4" xfId="5277"/>
    <cellStyle name="Normal 4 3 2 9 4 2" xfId="13502"/>
    <cellStyle name="Normal 4 3 2 9 4 2 2" xfId="29952"/>
    <cellStyle name="Normal 4 3 2 9 4 3" xfId="21727"/>
    <cellStyle name="Normal 4 3 2 9 4 4" xfId="38181"/>
    <cellStyle name="Normal 4 3 2 9 5" xfId="6922"/>
    <cellStyle name="Normal 4 3 2 9 5 2" xfId="15147"/>
    <cellStyle name="Normal 4 3 2 9 5 2 2" xfId="31597"/>
    <cellStyle name="Normal 4 3 2 9 5 3" xfId="23372"/>
    <cellStyle name="Normal 4 3 2 9 5 4" xfId="39826"/>
    <cellStyle name="Normal 4 3 2 9 6" xfId="8567"/>
    <cellStyle name="Normal 4 3 2 9 6 2" xfId="25017"/>
    <cellStyle name="Normal 4 3 2 9 7" xfId="16791"/>
    <cellStyle name="Normal 4 3 2 9 8" xfId="33245"/>
    <cellStyle name="Normal 4 3 2 9 9" xfId="41472"/>
    <cellStyle name="Normal 4 3 20" xfId="8325"/>
    <cellStyle name="Normal 4 3 20 2" xfId="24775"/>
    <cellStyle name="Normal 4 3 21" xfId="16549"/>
    <cellStyle name="Normal 4 3 22" xfId="33002"/>
    <cellStyle name="Normal 4 3 23" xfId="41230"/>
    <cellStyle name="Normal 4 3 3" xfId="61"/>
    <cellStyle name="Normal 4 3 3 10" xfId="3415"/>
    <cellStyle name="Normal 4 3 3 10 2" xfId="11640"/>
    <cellStyle name="Normal 4 3 3 10 2 2" xfId="28090"/>
    <cellStyle name="Normal 4 3 3 10 3" xfId="19865"/>
    <cellStyle name="Normal 4 3 3 10 4" xfId="36319"/>
    <cellStyle name="Normal 4 3 3 11" xfId="5060"/>
    <cellStyle name="Normal 4 3 3 11 2" xfId="13285"/>
    <cellStyle name="Normal 4 3 3 11 2 2" xfId="29735"/>
    <cellStyle name="Normal 4 3 3 11 3" xfId="21510"/>
    <cellStyle name="Normal 4 3 3 11 4" xfId="37964"/>
    <cellStyle name="Normal 4 3 3 12" xfId="6705"/>
    <cellStyle name="Normal 4 3 3 12 2" xfId="14930"/>
    <cellStyle name="Normal 4 3 3 12 2 2" xfId="31380"/>
    <cellStyle name="Normal 4 3 3 12 3" xfId="23155"/>
    <cellStyle name="Normal 4 3 3 12 4" xfId="39609"/>
    <cellStyle name="Normal 4 3 3 13" xfId="8350"/>
    <cellStyle name="Normal 4 3 3 13 2" xfId="24800"/>
    <cellStyle name="Normal 4 3 3 14" xfId="16574"/>
    <cellStyle name="Normal 4 3 3 15" xfId="33027"/>
    <cellStyle name="Normal 4 3 3 16" xfId="41255"/>
    <cellStyle name="Normal 4 3 3 2" xfId="111"/>
    <cellStyle name="Normal 4 3 3 2 10" xfId="5110"/>
    <cellStyle name="Normal 4 3 3 2 10 2" xfId="13335"/>
    <cellStyle name="Normal 4 3 3 2 10 2 2" xfId="29785"/>
    <cellStyle name="Normal 4 3 3 2 10 3" xfId="21560"/>
    <cellStyle name="Normal 4 3 3 2 10 4" xfId="38014"/>
    <cellStyle name="Normal 4 3 3 2 11" xfId="6755"/>
    <cellStyle name="Normal 4 3 3 2 11 2" xfId="14980"/>
    <cellStyle name="Normal 4 3 3 2 11 2 2" xfId="31430"/>
    <cellStyle name="Normal 4 3 3 2 11 3" xfId="23205"/>
    <cellStyle name="Normal 4 3 3 2 11 4" xfId="39659"/>
    <cellStyle name="Normal 4 3 3 2 12" xfId="8400"/>
    <cellStyle name="Normal 4 3 3 2 12 2" xfId="24850"/>
    <cellStyle name="Normal 4 3 3 2 13" xfId="16624"/>
    <cellStyle name="Normal 4 3 3 2 14" xfId="33077"/>
    <cellStyle name="Normal 4 3 3 2 15" xfId="41305"/>
    <cellStyle name="Normal 4 3 3 2 2" xfId="354"/>
    <cellStyle name="Normal 4 3 3 2 2 2" xfId="2053"/>
    <cellStyle name="Normal 4 3 3 2 2 2 2" xfId="10280"/>
    <cellStyle name="Normal 4 3 3 2 2 2 2 2" xfId="26730"/>
    <cellStyle name="Normal 4 3 3 2 2 2 3" xfId="18505"/>
    <cellStyle name="Normal 4 3 3 2 2 2 4" xfId="34959"/>
    <cellStyle name="Normal 4 3 3 2 2 3" xfId="3700"/>
    <cellStyle name="Normal 4 3 3 2 2 3 2" xfId="11925"/>
    <cellStyle name="Normal 4 3 3 2 2 3 2 2" xfId="28375"/>
    <cellStyle name="Normal 4 3 3 2 2 3 3" xfId="20150"/>
    <cellStyle name="Normal 4 3 3 2 2 3 4" xfId="36604"/>
    <cellStyle name="Normal 4 3 3 2 2 4" xfId="5345"/>
    <cellStyle name="Normal 4 3 3 2 2 4 2" xfId="13570"/>
    <cellStyle name="Normal 4 3 3 2 2 4 2 2" xfId="30020"/>
    <cellStyle name="Normal 4 3 3 2 2 4 3" xfId="21795"/>
    <cellStyle name="Normal 4 3 3 2 2 4 4" xfId="38249"/>
    <cellStyle name="Normal 4 3 3 2 2 5" xfId="6990"/>
    <cellStyle name="Normal 4 3 3 2 2 5 2" xfId="15215"/>
    <cellStyle name="Normal 4 3 3 2 2 5 2 2" xfId="31665"/>
    <cellStyle name="Normal 4 3 3 2 2 5 3" xfId="23440"/>
    <cellStyle name="Normal 4 3 3 2 2 5 4" xfId="39894"/>
    <cellStyle name="Normal 4 3 3 2 2 6" xfId="8635"/>
    <cellStyle name="Normal 4 3 3 2 2 6 2" xfId="25085"/>
    <cellStyle name="Normal 4 3 3 2 2 7" xfId="16859"/>
    <cellStyle name="Normal 4 3 3 2 2 8" xfId="33313"/>
    <cellStyle name="Normal 4 3 3 2 2 9" xfId="41540"/>
    <cellStyle name="Normal 4 3 3 2 3" xfId="595"/>
    <cellStyle name="Normal 4 3 3 2 3 2" xfId="2290"/>
    <cellStyle name="Normal 4 3 3 2 3 2 2" xfId="10515"/>
    <cellStyle name="Normal 4 3 3 2 3 2 2 2" xfId="26965"/>
    <cellStyle name="Normal 4 3 3 2 3 2 3" xfId="18740"/>
    <cellStyle name="Normal 4 3 3 2 3 2 4" xfId="35194"/>
    <cellStyle name="Normal 4 3 3 2 3 3" xfId="3935"/>
    <cellStyle name="Normal 4 3 3 2 3 3 2" xfId="12160"/>
    <cellStyle name="Normal 4 3 3 2 3 3 2 2" xfId="28610"/>
    <cellStyle name="Normal 4 3 3 2 3 3 3" xfId="20385"/>
    <cellStyle name="Normal 4 3 3 2 3 3 4" xfId="36839"/>
    <cellStyle name="Normal 4 3 3 2 3 4" xfId="5580"/>
    <cellStyle name="Normal 4 3 3 2 3 4 2" xfId="13805"/>
    <cellStyle name="Normal 4 3 3 2 3 4 2 2" xfId="30255"/>
    <cellStyle name="Normal 4 3 3 2 3 4 3" xfId="22030"/>
    <cellStyle name="Normal 4 3 3 2 3 4 4" xfId="38484"/>
    <cellStyle name="Normal 4 3 3 2 3 5" xfId="7225"/>
    <cellStyle name="Normal 4 3 3 2 3 5 2" xfId="15450"/>
    <cellStyle name="Normal 4 3 3 2 3 5 2 2" xfId="31900"/>
    <cellStyle name="Normal 4 3 3 2 3 5 3" xfId="23675"/>
    <cellStyle name="Normal 4 3 3 2 3 5 4" xfId="40129"/>
    <cellStyle name="Normal 4 3 3 2 3 6" xfId="8870"/>
    <cellStyle name="Normal 4 3 3 2 3 6 2" xfId="25320"/>
    <cellStyle name="Normal 4 3 3 2 3 7" xfId="17094"/>
    <cellStyle name="Normal 4 3 3 2 3 8" xfId="33548"/>
    <cellStyle name="Normal 4 3 3 2 3 9" xfId="41775"/>
    <cellStyle name="Normal 4 3 3 2 4" xfId="830"/>
    <cellStyle name="Normal 4 3 3 2 4 2" xfId="2525"/>
    <cellStyle name="Normal 4 3 3 2 4 2 2" xfId="10750"/>
    <cellStyle name="Normal 4 3 3 2 4 2 2 2" xfId="27200"/>
    <cellStyle name="Normal 4 3 3 2 4 2 3" xfId="18975"/>
    <cellStyle name="Normal 4 3 3 2 4 2 4" xfId="35429"/>
    <cellStyle name="Normal 4 3 3 2 4 3" xfId="4170"/>
    <cellStyle name="Normal 4 3 3 2 4 3 2" xfId="12395"/>
    <cellStyle name="Normal 4 3 3 2 4 3 2 2" xfId="28845"/>
    <cellStyle name="Normal 4 3 3 2 4 3 3" xfId="20620"/>
    <cellStyle name="Normal 4 3 3 2 4 3 4" xfId="37074"/>
    <cellStyle name="Normal 4 3 3 2 4 4" xfId="5815"/>
    <cellStyle name="Normal 4 3 3 2 4 4 2" xfId="14040"/>
    <cellStyle name="Normal 4 3 3 2 4 4 2 2" xfId="30490"/>
    <cellStyle name="Normal 4 3 3 2 4 4 3" xfId="22265"/>
    <cellStyle name="Normal 4 3 3 2 4 4 4" xfId="38719"/>
    <cellStyle name="Normal 4 3 3 2 4 5" xfId="7460"/>
    <cellStyle name="Normal 4 3 3 2 4 5 2" xfId="15685"/>
    <cellStyle name="Normal 4 3 3 2 4 5 2 2" xfId="32135"/>
    <cellStyle name="Normal 4 3 3 2 4 5 3" xfId="23910"/>
    <cellStyle name="Normal 4 3 3 2 4 5 4" xfId="40364"/>
    <cellStyle name="Normal 4 3 3 2 4 6" xfId="9105"/>
    <cellStyle name="Normal 4 3 3 2 4 6 2" xfId="25555"/>
    <cellStyle name="Normal 4 3 3 2 4 7" xfId="17329"/>
    <cellStyle name="Normal 4 3 3 2 4 8" xfId="33783"/>
    <cellStyle name="Normal 4 3 3 2 4 9" xfId="42010"/>
    <cellStyle name="Normal 4 3 3 2 5" xfId="1065"/>
    <cellStyle name="Normal 4 3 3 2 5 2" xfId="2760"/>
    <cellStyle name="Normal 4 3 3 2 5 2 2" xfId="10985"/>
    <cellStyle name="Normal 4 3 3 2 5 2 2 2" xfId="27435"/>
    <cellStyle name="Normal 4 3 3 2 5 2 3" xfId="19210"/>
    <cellStyle name="Normal 4 3 3 2 5 2 4" xfId="35664"/>
    <cellStyle name="Normal 4 3 3 2 5 3" xfId="4405"/>
    <cellStyle name="Normal 4 3 3 2 5 3 2" xfId="12630"/>
    <cellStyle name="Normal 4 3 3 2 5 3 2 2" xfId="29080"/>
    <cellStyle name="Normal 4 3 3 2 5 3 3" xfId="20855"/>
    <cellStyle name="Normal 4 3 3 2 5 3 4" xfId="37309"/>
    <cellStyle name="Normal 4 3 3 2 5 4" xfId="6050"/>
    <cellStyle name="Normal 4 3 3 2 5 4 2" xfId="14275"/>
    <cellStyle name="Normal 4 3 3 2 5 4 2 2" xfId="30725"/>
    <cellStyle name="Normal 4 3 3 2 5 4 3" xfId="22500"/>
    <cellStyle name="Normal 4 3 3 2 5 4 4" xfId="38954"/>
    <cellStyle name="Normal 4 3 3 2 5 5" xfId="7695"/>
    <cellStyle name="Normal 4 3 3 2 5 5 2" xfId="15920"/>
    <cellStyle name="Normal 4 3 3 2 5 5 2 2" xfId="32370"/>
    <cellStyle name="Normal 4 3 3 2 5 5 3" xfId="24145"/>
    <cellStyle name="Normal 4 3 3 2 5 5 4" xfId="40599"/>
    <cellStyle name="Normal 4 3 3 2 5 6" xfId="9340"/>
    <cellStyle name="Normal 4 3 3 2 5 6 2" xfId="25790"/>
    <cellStyle name="Normal 4 3 3 2 5 7" xfId="17564"/>
    <cellStyle name="Normal 4 3 3 2 5 8" xfId="34018"/>
    <cellStyle name="Normal 4 3 3 2 5 9" xfId="42245"/>
    <cellStyle name="Normal 4 3 3 2 6" xfId="1345"/>
    <cellStyle name="Normal 4 3 3 2 6 2" xfId="2995"/>
    <cellStyle name="Normal 4 3 3 2 6 2 2" xfId="11220"/>
    <cellStyle name="Normal 4 3 3 2 6 2 2 2" xfId="27670"/>
    <cellStyle name="Normal 4 3 3 2 6 2 3" xfId="19445"/>
    <cellStyle name="Normal 4 3 3 2 6 2 4" xfId="35899"/>
    <cellStyle name="Normal 4 3 3 2 6 3" xfId="4640"/>
    <cellStyle name="Normal 4 3 3 2 6 3 2" xfId="12865"/>
    <cellStyle name="Normal 4 3 3 2 6 3 2 2" xfId="29315"/>
    <cellStyle name="Normal 4 3 3 2 6 3 3" xfId="21090"/>
    <cellStyle name="Normal 4 3 3 2 6 3 4" xfId="37544"/>
    <cellStyle name="Normal 4 3 3 2 6 4" xfId="6285"/>
    <cellStyle name="Normal 4 3 3 2 6 4 2" xfId="14510"/>
    <cellStyle name="Normal 4 3 3 2 6 4 2 2" xfId="30960"/>
    <cellStyle name="Normal 4 3 3 2 6 4 3" xfId="22735"/>
    <cellStyle name="Normal 4 3 3 2 6 4 4" xfId="39189"/>
    <cellStyle name="Normal 4 3 3 2 6 5" xfId="7930"/>
    <cellStyle name="Normal 4 3 3 2 6 5 2" xfId="16155"/>
    <cellStyle name="Normal 4 3 3 2 6 5 2 2" xfId="32605"/>
    <cellStyle name="Normal 4 3 3 2 6 5 3" xfId="24380"/>
    <cellStyle name="Normal 4 3 3 2 6 5 4" xfId="40834"/>
    <cellStyle name="Normal 4 3 3 2 6 6" xfId="9575"/>
    <cellStyle name="Normal 4 3 3 2 6 6 2" xfId="26025"/>
    <cellStyle name="Normal 4 3 3 2 6 7" xfId="17799"/>
    <cellStyle name="Normal 4 3 3 2 6 8" xfId="34253"/>
    <cellStyle name="Normal 4 3 3 2 7" xfId="1580"/>
    <cellStyle name="Normal 4 3 3 2 7 2" xfId="3230"/>
    <cellStyle name="Normal 4 3 3 2 7 2 2" xfId="11455"/>
    <cellStyle name="Normal 4 3 3 2 7 2 2 2" xfId="27905"/>
    <cellStyle name="Normal 4 3 3 2 7 2 3" xfId="19680"/>
    <cellStyle name="Normal 4 3 3 2 7 2 4" xfId="36134"/>
    <cellStyle name="Normal 4 3 3 2 7 3" xfId="4875"/>
    <cellStyle name="Normal 4 3 3 2 7 3 2" xfId="13100"/>
    <cellStyle name="Normal 4 3 3 2 7 3 2 2" xfId="29550"/>
    <cellStyle name="Normal 4 3 3 2 7 3 3" xfId="21325"/>
    <cellStyle name="Normal 4 3 3 2 7 3 4" xfId="37779"/>
    <cellStyle name="Normal 4 3 3 2 7 4" xfId="6520"/>
    <cellStyle name="Normal 4 3 3 2 7 4 2" xfId="14745"/>
    <cellStyle name="Normal 4 3 3 2 7 4 2 2" xfId="31195"/>
    <cellStyle name="Normal 4 3 3 2 7 4 3" xfId="22970"/>
    <cellStyle name="Normal 4 3 3 2 7 4 4" xfId="39424"/>
    <cellStyle name="Normal 4 3 3 2 7 5" xfId="8165"/>
    <cellStyle name="Normal 4 3 3 2 7 5 2" xfId="16390"/>
    <cellStyle name="Normal 4 3 3 2 7 5 2 2" xfId="32840"/>
    <cellStyle name="Normal 4 3 3 2 7 5 3" xfId="24615"/>
    <cellStyle name="Normal 4 3 3 2 7 5 4" xfId="41069"/>
    <cellStyle name="Normal 4 3 3 2 7 6" xfId="9810"/>
    <cellStyle name="Normal 4 3 3 2 7 6 2" xfId="26260"/>
    <cellStyle name="Normal 4 3 3 2 7 7" xfId="18034"/>
    <cellStyle name="Normal 4 3 3 2 7 8" xfId="34488"/>
    <cellStyle name="Normal 4 3 3 2 8" xfId="1815"/>
    <cellStyle name="Normal 4 3 3 2 8 2" xfId="10045"/>
    <cellStyle name="Normal 4 3 3 2 8 2 2" xfId="26495"/>
    <cellStyle name="Normal 4 3 3 2 8 3" xfId="18269"/>
    <cellStyle name="Normal 4 3 3 2 8 4" xfId="34723"/>
    <cellStyle name="Normal 4 3 3 2 9" xfId="3465"/>
    <cellStyle name="Normal 4 3 3 2 9 2" xfId="11690"/>
    <cellStyle name="Normal 4 3 3 2 9 2 2" xfId="28140"/>
    <cellStyle name="Normal 4 3 3 2 9 3" xfId="19915"/>
    <cellStyle name="Normal 4 3 3 2 9 4" xfId="36369"/>
    <cellStyle name="Normal 4 3 3 3" xfId="304"/>
    <cellStyle name="Normal 4 3 3 3 2" xfId="2003"/>
    <cellStyle name="Normal 4 3 3 3 2 2" xfId="10230"/>
    <cellStyle name="Normal 4 3 3 3 2 2 2" xfId="26680"/>
    <cellStyle name="Normal 4 3 3 3 2 3" xfId="18455"/>
    <cellStyle name="Normal 4 3 3 3 2 4" xfId="34909"/>
    <cellStyle name="Normal 4 3 3 3 3" xfId="3650"/>
    <cellStyle name="Normal 4 3 3 3 3 2" xfId="11875"/>
    <cellStyle name="Normal 4 3 3 3 3 2 2" xfId="28325"/>
    <cellStyle name="Normal 4 3 3 3 3 3" xfId="20100"/>
    <cellStyle name="Normal 4 3 3 3 3 4" xfId="36554"/>
    <cellStyle name="Normal 4 3 3 3 4" xfId="5295"/>
    <cellStyle name="Normal 4 3 3 3 4 2" xfId="13520"/>
    <cellStyle name="Normal 4 3 3 3 4 2 2" xfId="29970"/>
    <cellStyle name="Normal 4 3 3 3 4 3" xfId="21745"/>
    <cellStyle name="Normal 4 3 3 3 4 4" xfId="38199"/>
    <cellStyle name="Normal 4 3 3 3 5" xfId="6940"/>
    <cellStyle name="Normal 4 3 3 3 5 2" xfId="15165"/>
    <cellStyle name="Normal 4 3 3 3 5 2 2" xfId="31615"/>
    <cellStyle name="Normal 4 3 3 3 5 3" xfId="23390"/>
    <cellStyle name="Normal 4 3 3 3 5 4" xfId="39844"/>
    <cellStyle name="Normal 4 3 3 3 6" xfId="8585"/>
    <cellStyle name="Normal 4 3 3 3 6 2" xfId="25035"/>
    <cellStyle name="Normal 4 3 3 3 7" xfId="16809"/>
    <cellStyle name="Normal 4 3 3 3 8" xfId="33263"/>
    <cellStyle name="Normal 4 3 3 3 9" xfId="41490"/>
    <cellStyle name="Normal 4 3 3 4" xfId="545"/>
    <cellStyle name="Normal 4 3 3 4 2" xfId="2240"/>
    <cellStyle name="Normal 4 3 3 4 2 2" xfId="10465"/>
    <cellStyle name="Normal 4 3 3 4 2 2 2" xfId="26915"/>
    <cellStyle name="Normal 4 3 3 4 2 3" xfId="18690"/>
    <cellStyle name="Normal 4 3 3 4 2 4" xfId="35144"/>
    <cellStyle name="Normal 4 3 3 4 3" xfId="3885"/>
    <cellStyle name="Normal 4 3 3 4 3 2" xfId="12110"/>
    <cellStyle name="Normal 4 3 3 4 3 2 2" xfId="28560"/>
    <cellStyle name="Normal 4 3 3 4 3 3" xfId="20335"/>
    <cellStyle name="Normal 4 3 3 4 3 4" xfId="36789"/>
    <cellStyle name="Normal 4 3 3 4 4" xfId="5530"/>
    <cellStyle name="Normal 4 3 3 4 4 2" xfId="13755"/>
    <cellStyle name="Normal 4 3 3 4 4 2 2" xfId="30205"/>
    <cellStyle name="Normal 4 3 3 4 4 3" xfId="21980"/>
    <cellStyle name="Normal 4 3 3 4 4 4" xfId="38434"/>
    <cellStyle name="Normal 4 3 3 4 5" xfId="7175"/>
    <cellStyle name="Normal 4 3 3 4 5 2" xfId="15400"/>
    <cellStyle name="Normal 4 3 3 4 5 2 2" xfId="31850"/>
    <cellStyle name="Normal 4 3 3 4 5 3" xfId="23625"/>
    <cellStyle name="Normal 4 3 3 4 5 4" xfId="40079"/>
    <cellStyle name="Normal 4 3 3 4 6" xfId="8820"/>
    <cellStyle name="Normal 4 3 3 4 6 2" xfId="25270"/>
    <cellStyle name="Normal 4 3 3 4 7" xfId="17044"/>
    <cellStyle name="Normal 4 3 3 4 8" xfId="33498"/>
    <cellStyle name="Normal 4 3 3 4 9" xfId="41725"/>
    <cellStyle name="Normal 4 3 3 5" xfId="780"/>
    <cellStyle name="Normal 4 3 3 5 2" xfId="2475"/>
    <cellStyle name="Normal 4 3 3 5 2 2" xfId="10700"/>
    <cellStyle name="Normal 4 3 3 5 2 2 2" xfId="27150"/>
    <cellStyle name="Normal 4 3 3 5 2 3" xfId="18925"/>
    <cellStyle name="Normal 4 3 3 5 2 4" xfId="35379"/>
    <cellStyle name="Normal 4 3 3 5 3" xfId="4120"/>
    <cellStyle name="Normal 4 3 3 5 3 2" xfId="12345"/>
    <cellStyle name="Normal 4 3 3 5 3 2 2" xfId="28795"/>
    <cellStyle name="Normal 4 3 3 5 3 3" xfId="20570"/>
    <cellStyle name="Normal 4 3 3 5 3 4" xfId="37024"/>
    <cellStyle name="Normal 4 3 3 5 4" xfId="5765"/>
    <cellStyle name="Normal 4 3 3 5 4 2" xfId="13990"/>
    <cellStyle name="Normal 4 3 3 5 4 2 2" xfId="30440"/>
    <cellStyle name="Normal 4 3 3 5 4 3" xfId="22215"/>
    <cellStyle name="Normal 4 3 3 5 4 4" xfId="38669"/>
    <cellStyle name="Normal 4 3 3 5 5" xfId="7410"/>
    <cellStyle name="Normal 4 3 3 5 5 2" xfId="15635"/>
    <cellStyle name="Normal 4 3 3 5 5 2 2" xfId="32085"/>
    <cellStyle name="Normal 4 3 3 5 5 3" xfId="23860"/>
    <cellStyle name="Normal 4 3 3 5 5 4" xfId="40314"/>
    <cellStyle name="Normal 4 3 3 5 6" xfId="9055"/>
    <cellStyle name="Normal 4 3 3 5 6 2" xfId="25505"/>
    <cellStyle name="Normal 4 3 3 5 7" xfId="17279"/>
    <cellStyle name="Normal 4 3 3 5 8" xfId="33733"/>
    <cellStyle name="Normal 4 3 3 5 9" xfId="41960"/>
    <cellStyle name="Normal 4 3 3 6" xfId="1015"/>
    <cellStyle name="Normal 4 3 3 6 2" xfId="2710"/>
    <cellStyle name="Normal 4 3 3 6 2 2" xfId="10935"/>
    <cellStyle name="Normal 4 3 3 6 2 2 2" xfId="27385"/>
    <cellStyle name="Normal 4 3 3 6 2 3" xfId="19160"/>
    <cellStyle name="Normal 4 3 3 6 2 4" xfId="35614"/>
    <cellStyle name="Normal 4 3 3 6 3" xfId="4355"/>
    <cellStyle name="Normal 4 3 3 6 3 2" xfId="12580"/>
    <cellStyle name="Normal 4 3 3 6 3 2 2" xfId="29030"/>
    <cellStyle name="Normal 4 3 3 6 3 3" xfId="20805"/>
    <cellStyle name="Normal 4 3 3 6 3 4" xfId="37259"/>
    <cellStyle name="Normal 4 3 3 6 4" xfId="6000"/>
    <cellStyle name="Normal 4 3 3 6 4 2" xfId="14225"/>
    <cellStyle name="Normal 4 3 3 6 4 2 2" xfId="30675"/>
    <cellStyle name="Normal 4 3 3 6 4 3" xfId="22450"/>
    <cellStyle name="Normal 4 3 3 6 4 4" xfId="38904"/>
    <cellStyle name="Normal 4 3 3 6 5" xfId="7645"/>
    <cellStyle name="Normal 4 3 3 6 5 2" xfId="15870"/>
    <cellStyle name="Normal 4 3 3 6 5 2 2" xfId="32320"/>
    <cellStyle name="Normal 4 3 3 6 5 3" xfId="24095"/>
    <cellStyle name="Normal 4 3 3 6 5 4" xfId="40549"/>
    <cellStyle name="Normal 4 3 3 6 6" xfId="9290"/>
    <cellStyle name="Normal 4 3 3 6 6 2" xfId="25740"/>
    <cellStyle name="Normal 4 3 3 6 7" xfId="17514"/>
    <cellStyle name="Normal 4 3 3 6 8" xfId="33968"/>
    <cellStyle name="Normal 4 3 3 6 9" xfId="42195"/>
    <cellStyle name="Normal 4 3 3 7" xfId="1295"/>
    <cellStyle name="Normal 4 3 3 7 2" xfId="2945"/>
    <cellStyle name="Normal 4 3 3 7 2 2" xfId="11170"/>
    <cellStyle name="Normal 4 3 3 7 2 2 2" xfId="27620"/>
    <cellStyle name="Normal 4 3 3 7 2 3" xfId="19395"/>
    <cellStyle name="Normal 4 3 3 7 2 4" xfId="35849"/>
    <cellStyle name="Normal 4 3 3 7 3" xfId="4590"/>
    <cellStyle name="Normal 4 3 3 7 3 2" xfId="12815"/>
    <cellStyle name="Normal 4 3 3 7 3 2 2" xfId="29265"/>
    <cellStyle name="Normal 4 3 3 7 3 3" xfId="21040"/>
    <cellStyle name="Normal 4 3 3 7 3 4" xfId="37494"/>
    <cellStyle name="Normal 4 3 3 7 4" xfId="6235"/>
    <cellStyle name="Normal 4 3 3 7 4 2" xfId="14460"/>
    <cellStyle name="Normal 4 3 3 7 4 2 2" xfId="30910"/>
    <cellStyle name="Normal 4 3 3 7 4 3" xfId="22685"/>
    <cellStyle name="Normal 4 3 3 7 4 4" xfId="39139"/>
    <cellStyle name="Normal 4 3 3 7 5" xfId="7880"/>
    <cellStyle name="Normal 4 3 3 7 5 2" xfId="16105"/>
    <cellStyle name="Normal 4 3 3 7 5 2 2" xfId="32555"/>
    <cellStyle name="Normal 4 3 3 7 5 3" xfId="24330"/>
    <cellStyle name="Normal 4 3 3 7 5 4" xfId="40784"/>
    <cellStyle name="Normal 4 3 3 7 6" xfId="9525"/>
    <cellStyle name="Normal 4 3 3 7 6 2" xfId="25975"/>
    <cellStyle name="Normal 4 3 3 7 7" xfId="17749"/>
    <cellStyle name="Normal 4 3 3 7 8" xfId="34203"/>
    <cellStyle name="Normal 4 3 3 8" xfId="1530"/>
    <cellStyle name="Normal 4 3 3 8 2" xfId="3180"/>
    <cellStyle name="Normal 4 3 3 8 2 2" xfId="11405"/>
    <cellStyle name="Normal 4 3 3 8 2 2 2" xfId="27855"/>
    <cellStyle name="Normal 4 3 3 8 2 3" xfId="19630"/>
    <cellStyle name="Normal 4 3 3 8 2 4" xfId="36084"/>
    <cellStyle name="Normal 4 3 3 8 3" xfId="4825"/>
    <cellStyle name="Normal 4 3 3 8 3 2" xfId="13050"/>
    <cellStyle name="Normal 4 3 3 8 3 2 2" xfId="29500"/>
    <cellStyle name="Normal 4 3 3 8 3 3" xfId="21275"/>
    <cellStyle name="Normal 4 3 3 8 3 4" xfId="37729"/>
    <cellStyle name="Normal 4 3 3 8 4" xfId="6470"/>
    <cellStyle name="Normal 4 3 3 8 4 2" xfId="14695"/>
    <cellStyle name="Normal 4 3 3 8 4 2 2" xfId="31145"/>
    <cellStyle name="Normal 4 3 3 8 4 3" xfId="22920"/>
    <cellStyle name="Normal 4 3 3 8 4 4" xfId="39374"/>
    <cellStyle name="Normal 4 3 3 8 5" xfId="8115"/>
    <cellStyle name="Normal 4 3 3 8 5 2" xfId="16340"/>
    <cellStyle name="Normal 4 3 3 8 5 2 2" xfId="32790"/>
    <cellStyle name="Normal 4 3 3 8 5 3" xfId="24565"/>
    <cellStyle name="Normal 4 3 3 8 5 4" xfId="41019"/>
    <cellStyle name="Normal 4 3 3 8 6" xfId="9760"/>
    <cellStyle name="Normal 4 3 3 8 6 2" xfId="26210"/>
    <cellStyle name="Normal 4 3 3 8 7" xfId="17984"/>
    <cellStyle name="Normal 4 3 3 8 8" xfId="34438"/>
    <cellStyle name="Normal 4 3 3 9" xfId="1765"/>
    <cellStyle name="Normal 4 3 3 9 2" xfId="9995"/>
    <cellStyle name="Normal 4 3 3 9 2 2" xfId="26445"/>
    <cellStyle name="Normal 4 3 3 9 3" xfId="18219"/>
    <cellStyle name="Normal 4 3 3 9 4" xfId="34673"/>
    <cellStyle name="Normal 4 3 4" xfId="86"/>
    <cellStyle name="Normal 4 3 4 10" xfId="5085"/>
    <cellStyle name="Normal 4 3 4 10 2" xfId="13310"/>
    <cellStyle name="Normal 4 3 4 10 2 2" xfId="29760"/>
    <cellStyle name="Normal 4 3 4 10 3" xfId="21535"/>
    <cellStyle name="Normal 4 3 4 10 4" xfId="37989"/>
    <cellStyle name="Normal 4 3 4 11" xfId="6730"/>
    <cellStyle name="Normal 4 3 4 11 2" xfId="14955"/>
    <cellStyle name="Normal 4 3 4 11 2 2" xfId="31405"/>
    <cellStyle name="Normal 4 3 4 11 3" xfId="23180"/>
    <cellStyle name="Normal 4 3 4 11 4" xfId="39634"/>
    <cellStyle name="Normal 4 3 4 12" xfId="8375"/>
    <cellStyle name="Normal 4 3 4 12 2" xfId="24825"/>
    <cellStyle name="Normal 4 3 4 13" xfId="16599"/>
    <cellStyle name="Normal 4 3 4 14" xfId="33052"/>
    <cellStyle name="Normal 4 3 4 15" xfId="41280"/>
    <cellStyle name="Normal 4 3 4 2" xfId="329"/>
    <cellStyle name="Normal 4 3 4 2 2" xfId="2028"/>
    <cellStyle name="Normal 4 3 4 2 2 2" xfId="10255"/>
    <cellStyle name="Normal 4 3 4 2 2 2 2" xfId="26705"/>
    <cellStyle name="Normal 4 3 4 2 2 3" xfId="18480"/>
    <cellStyle name="Normal 4 3 4 2 2 4" xfId="34934"/>
    <cellStyle name="Normal 4 3 4 2 3" xfId="3675"/>
    <cellStyle name="Normal 4 3 4 2 3 2" xfId="11900"/>
    <cellStyle name="Normal 4 3 4 2 3 2 2" xfId="28350"/>
    <cellStyle name="Normal 4 3 4 2 3 3" xfId="20125"/>
    <cellStyle name="Normal 4 3 4 2 3 4" xfId="36579"/>
    <cellStyle name="Normal 4 3 4 2 4" xfId="5320"/>
    <cellStyle name="Normal 4 3 4 2 4 2" xfId="13545"/>
    <cellStyle name="Normal 4 3 4 2 4 2 2" xfId="29995"/>
    <cellStyle name="Normal 4 3 4 2 4 3" xfId="21770"/>
    <cellStyle name="Normal 4 3 4 2 4 4" xfId="38224"/>
    <cellStyle name="Normal 4 3 4 2 5" xfId="6965"/>
    <cellStyle name="Normal 4 3 4 2 5 2" xfId="15190"/>
    <cellStyle name="Normal 4 3 4 2 5 2 2" xfId="31640"/>
    <cellStyle name="Normal 4 3 4 2 5 3" xfId="23415"/>
    <cellStyle name="Normal 4 3 4 2 5 4" xfId="39869"/>
    <cellStyle name="Normal 4 3 4 2 6" xfId="8610"/>
    <cellStyle name="Normal 4 3 4 2 6 2" xfId="25060"/>
    <cellStyle name="Normal 4 3 4 2 7" xfId="16834"/>
    <cellStyle name="Normal 4 3 4 2 8" xfId="33288"/>
    <cellStyle name="Normal 4 3 4 2 9" xfId="41515"/>
    <cellStyle name="Normal 4 3 4 3" xfId="570"/>
    <cellStyle name="Normal 4 3 4 3 2" xfId="2265"/>
    <cellStyle name="Normal 4 3 4 3 2 2" xfId="10490"/>
    <cellStyle name="Normal 4 3 4 3 2 2 2" xfId="26940"/>
    <cellStyle name="Normal 4 3 4 3 2 3" xfId="18715"/>
    <cellStyle name="Normal 4 3 4 3 2 4" xfId="35169"/>
    <cellStyle name="Normal 4 3 4 3 3" xfId="3910"/>
    <cellStyle name="Normal 4 3 4 3 3 2" xfId="12135"/>
    <cellStyle name="Normal 4 3 4 3 3 2 2" xfId="28585"/>
    <cellStyle name="Normal 4 3 4 3 3 3" xfId="20360"/>
    <cellStyle name="Normal 4 3 4 3 3 4" xfId="36814"/>
    <cellStyle name="Normal 4 3 4 3 4" xfId="5555"/>
    <cellStyle name="Normal 4 3 4 3 4 2" xfId="13780"/>
    <cellStyle name="Normal 4 3 4 3 4 2 2" xfId="30230"/>
    <cellStyle name="Normal 4 3 4 3 4 3" xfId="22005"/>
    <cellStyle name="Normal 4 3 4 3 4 4" xfId="38459"/>
    <cellStyle name="Normal 4 3 4 3 5" xfId="7200"/>
    <cellStyle name="Normal 4 3 4 3 5 2" xfId="15425"/>
    <cellStyle name="Normal 4 3 4 3 5 2 2" xfId="31875"/>
    <cellStyle name="Normal 4 3 4 3 5 3" xfId="23650"/>
    <cellStyle name="Normal 4 3 4 3 5 4" xfId="40104"/>
    <cellStyle name="Normal 4 3 4 3 6" xfId="8845"/>
    <cellStyle name="Normal 4 3 4 3 6 2" xfId="25295"/>
    <cellStyle name="Normal 4 3 4 3 7" xfId="17069"/>
    <cellStyle name="Normal 4 3 4 3 8" xfId="33523"/>
    <cellStyle name="Normal 4 3 4 3 9" xfId="41750"/>
    <cellStyle name="Normal 4 3 4 4" xfId="805"/>
    <cellStyle name="Normal 4 3 4 4 2" xfId="2500"/>
    <cellStyle name="Normal 4 3 4 4 2 2" xfId="10725"/>
    <cellStyle name="Normal 4 3 4 4 2 2 2" xfId="27175"/>
    <cellStyle name="Normal 4 3 4 4 2 3" xfId="18950"/>
    <cellStyle name="Normal 4 3 4 4 2 4" xfId="35404"/>
    <cellStyle name="Normal 4 3 4 4 3" xfId="4145"/>
    <cellStyle name="Normal 4 3 4 4 3 2" xfId="12370"/>
    <cellStyle name="Normal 4 3 4 4 3 2 2" xfId="28820"/>
    <cellStyle name="Normal 4 3 4 4 3 3" xfId="20595"/>
    <cellStyle name="Normal 4 3 4 4 3 4" xfId="37049"/>
    <cellStyle name="Normal 4 3 4 4 4" xfId="5790"/>
    <cellStyle name="Normal 4 3 4 4 4 2" xfId="14015"/>
    <cellStyle name="Normal 4 3 4 4 4 2 2" xfId="30465"/>
    <cellStyle name="Normal 4 3 4 4 4 3" xfId="22240"/>
    <cellStyle name="Normal 4 3 4 4 4 4" xfId="38694"/>
    <cellStyle name="Normal 4 3 4 4 5" xfId="7435"/>
    <cellStyle name="Normal 4 3 4 4 5 2" xfId="15660"/>
    <cellStyle name="Normal 4 3 4 4 5 2 2" xfId="32110"/>
    <cellStyle name="Normal 4 3 4 4 5 3" xfId="23885"/>
    <cellStyle name="Normal 4 3 4 4 5 4" xfId="40339"/>
    <cellStyle name="Normal 4 3 4 4 6" xfId="9080"/>
    <cellStyle name="Normal 4 3 4 4 6 2" xfId="25530"/>
    <cellStyle name="Normal 4 3 4 4 7" xfId="17304"/>
    <cellStyle name="Normal 4 3 4 4 8" xfId="33758"/>
    <cellStyle name="Normal 4 3 4 4 9" xfId="41985"/>
    <cellStyle name="Normal 4 3 4 5" xfId="1040"/>
    <cellStyle name="Normal 4 3 4 5 2" xfId="2735"/>
    <cellStyle name="Normal 4 3 4 5 2 2" xfId="10960"/>
    <cellStyle name="Normal 4 3 4 5 2 2 2" xfId="27410"/>
    <cellStyle name="Normal 4 3 4 5 2 3" xfId="19185"/>
    <cellStyle name="Normal 4 3 4 5 2 4" xfId="35639"/>
    <cellStyle name="Normal 4 3 4 5 3" xfId="4380"/>
    <cellStyle name="Normal 4 3 4 5 3 2" xfId="12605"/>
    <cellStyle name="Normal 4 3 4 5 3 2 2" xfId="29055"/>
    <cellStyle name="Normal 4 3 4 5 3 3" xfId="20830"/>
    <cellStyle name="Normal 4 3 4 5 3 4" xfId="37284"/>
    <cellStyle name="Normal 4 3 4 5 4" xfId="6025"/>
    <cellStyle name="Normal 4 3 4 5 4 2" xfId="14250"/>
    <cellStyle name="Normal 4 3 4 5 4 2 2" xfId="30700"/>
    <cellStyle name="Normal 4 3 4 5 4 3" xfId="22475"/>
    <cellStyle name="Normal 4 3 4 5 4 4" xfId="38929"/>
    <cellStyle name="Normal 4 3 4 5 5" xfId="7670"/>
    <cellStyle name="Normal 4 3 4 5 5 2" xfId="15895"/>
    <cellStyle name="Normal 4 3 4 5 5 2 2" xfId="32345"/>
    <cellStyle name="Normal 4 3 4 5 5 3" xfId="24120"/>
    <cellStyle name="Normal 4 3 4 5 5 4" xfId="40574"/>
    <cellStyle name="Normal 4 3 4 5 6" xfId="9315"/>
    <cellStyle name="Normal 4 3 4 5 6 2" xfId="25765"/>
    <cellStyle name="Normal 4 3 4 5 7" xfId="17539"/>
    <cellStyle name="Normal 4 3 4 5 8" xfId="33993"/>
    <cellStyle name="Normal 4 3 4 5 9" xfId="42220"/>
    <cellStyle name="Normal 4 3 4 6" xfId="1320"/>
    <cellStyle name="Normal 4 3 4 6 2" xfId="2970"/>
    <cellStyle name="Normal 4 3 4 6 2 2" xfId="11195"/>
    <cellStyle name="Normal 4 3 4 6 2 2 2" xfId="27645"/>
    <cellStyle name="Normal 4 3 4 6 2 3" xfId="19420"/>
    <cellStyle name="Normal 4 3 4 6 2 4" xfId="35874"/>
    <cellStyle name="Normal 4 3 4 6 3" xfId="4615"/>
    <cellStyle name="Normal 4 3 4 6 3 2" xfId="12840"/>
    <cellStyle name="Normal 4 3 4 6 3 2 2" xfId="29290"/>
    <cellStyle name="Normal 4 3 4 6 3 3" xfId="21065"/>
    <cellStyle name="Normal 4 3 4 6 3 4" xfId="37519"/>
    <cellStyle name="Normal 4 3 4 6 4" xfId="6260"/>
    <cellStyle name="Normal 4 3 4 6 4 2" xfId="14485"/>
    <cellStyle name="Normal 4 3 4 6 4 2 2" xfId="30935"/>
    <cellStyle name="Normal 4 3 4 6 4 3" xfId="22710"/>
    <cellStyle name="Normal 4 3 4 6 4 4" xfId="39164"/>
    <cellStyle name="Normal 4 3 4 6 5" xfId="7905"/>
    <cellStyle name="Normal 4 3 4 6 5 2" xfId="16130"/>
    <cellStyle name="Normal 4 3 4 6 5 2 2" xfId="32580"/>
    <cellStyle name="Normal 4 3 4 6 5 3" xfId="24355"/>
    <cellStyle name="Normal 4 3 4 6 5 4" xfId="40809"/>
    <cellStyle name="Normal 4 3 4 6 6" xfId="9550"/>
    <cellStyle name="Normal 4 3 4 6 6 2" xfId="26000"/>
    <cellStyle name="Normal 4 3 4 6 7" xfId="17774"/>
    <cellStyle name="Normal 4 3 4 6 8" xfId="34228"/>
    <cellStyle name="Normal 4 3 4 7" xfId="1555"/>
    <cellStyle name="Normal 4 3 4 7 2" xfId="3205"/>
    <cellStyle name="Normal 4 3 4 7 2 2" xfId="11430"/>
    <cellStyle name="Normal 4 3 4 7 2 2 2" xfId="27880"/>
    <cellStyle name="Normal 4 3 4 7 2 3" xfId="19655"/>
    <cellStyle name="Normal 4 3 4 7 2 4" xfId="36109"/>
    <cellStyle name="Normal 4 3 4 7 3" xfId="4850"/>
    <cellStyle name="Normal 4 3 4 7 3 2" xfId="13075"/>
    <cellStyle name="Normal 4 3 4 7 3 2 2" xfId="29525"/>
    <cellStyle name="Normal 4 3 4 7 3 3" xfId="21300"/>
    <cellStyle name="Normal 4 3 4 7 3 4" xfId="37754"/>
    <cellStyle name="Normal 4 3 4 7 4" xfId="6495"/>
    <cellStyle name="Normal 4 3 4 7 4 2" xfId="14720"/>
    <cellStyle name="Normal 4 3 4 7 4 2 2" xfId="31170"/>
    <cellStyle name="Normal 4 3 4 7 4 3" xfId="22945"/>
    <cellStyle name="Normal 4 3 4 7 4 4" xfId="39399"/>
    <cellStyle name="Normal 4 3 4 7 5" xfId="8140"/>
    <cellStyle name="Normal 4 3 4 7 5 2" xfId="16365"/>
    <cellStyle name="Normal 4 3 4 7 5 2 2" xfId="32815"/>
    <cellStyle name="Normal 4 3 4 7 5 3" xfId="24590"/>
    <cellStyle name="Normal 4 3 4 7 5 4" xfId="41044"/>
    <cellStyle name="Normal 4 3 4 7 6" xfId="9785"/>
    <cellStyle name="Normal 4 3 4 7 6 2" xfId="26235"/>
    <cellStyle name="Normal 4 3 4 7 7" xfId="18009"/>
    <cellStyle name="Normal 4 3 4 7 8" xfId="34463"/>
    <cellStyle name="Normal 4 3 4 8" xfId="1790"/>
    <cellStyle name="Normal 4 3 4 8 2" xfId="10020"/>
    <cellStyle name="Normal 4 3 4 8 2 2" xfId="26470"/>
    <cellStyle name="Normal 4 3 4 8 3" xfId="18244"/>
    <cellStyle name="Normal 4 3 4 8 4" xfId="34698"/>
    <cellStyle name="Normal 4 3 4 9" xfId="3440"/>
    <cellStyle name="Normal 4 3 4 9 2" xfId="11665"/>
    <cellStyle name="Normal 4 3 4 9 2 2" xfId="28115"/>
    <cellStyle name="Normal 4 3 4 9 3" xfId="19890"/>
    <cellStyle name="Normal 4 3 4 9 4" xfId="36344"/>
    <cellStyle name="Normal 4 3 5" xfId="136"/>
    <cellStyle name="Normal 4 3 5 10" xfId="5135"/>
    <cellStyle name="Normal 4 3 5 10 2" xfId="13360"/>
    <cellStyle name="Normal 4 3 5 10 2 2" xfId="29810"/>
    <cellStyle name="Normal 4 3 5 10 3" xfId="21585"/>
    <cellStyle name="Normal 4 3 5 10 4" xfId="38039"/>
    <cellStyle name="Normal 4 3 5 11" xfId="6780"/>
    <cellStyle name="Normal 4 3 5 11 2" xfId="15005"/>
    <cellStyle name="Normal 4 3 5 11 2 2" xfId="31455"/>
    <cellStyle name="Normal 4 3 5 11 3" xfId="23230"/>
    <cellStyle name="Normal 4 3 5 11 4" xfId="39684"/>
    <cellStyle name="Normal 4 3 5 12" xfId="8425"/>
    <cellStyle name="Normal 4 3 5 12 2" xfId="24875"/>
    <cellStyle name="Normal 4 3 5 13" xfId="16649"/>
    <cellStyle name="Normal 4 3 5 14" xfId="33102"/>
    <cellStyle name="Normal 4 3 5 15" xfId="41330"/>
    <cellStyle name="Normal 4 3 5 2" xfId="379"/>
    <cellStyle name="Normal 4 3 5 2 2" xfId="2078"/>
    <cellStyle name="Normal 4 3 5 2 2 2" xfId="10305"/>
    <cellStyle name="Normal 4 3 5 2 2 2 2" xfId="26755"/>
    <cellStyle name="Normal 4 3 5 2 2 3" xfId="18530"/>
    <cellStyle name="Normal 4 3 5 2 2 4" xfId="34984"/>
    <cellStyle name="Normal 4 3 5 2 3" xfId="3725"/>
    <cellStyle name="Normal 4 3 5 2 3 2" xfId="11950"/>
    <cellStyle name="Normal 4 3 5 2 3 2 2" xfId="28400"/>
    <cellStyle name="Normal 4 3 5 2 3 3" xfId="20175"/>
    <cellStyle name="Normal 4 3 5 2 3 4" xfId="36629"/>
    <cellStyle name="Normal 4 3 5 2 4" xfId="5370"/>
    <cellStyle name="Normal 4 3 5 2 4 2" xfId="13595"/>
    <cellStyle name="Normal 4 3 5 2 4 2 2" xfId="30045"/>
    <cellStyle name="Normal 4 3 5 2 4 3" xfId="21820"/>
    <cellStyle name="Normal 4 3 5 2 4 4" xfId="38274"/>
    <cellStyle name="Normal 4 3 5 2 5" xfId="7015"/>
    <cellStyle name="Normal 4 3 5 2 5 2" xfId="15240"/>
    <cellStyle name="Normal 4 3 5 2 5 2 2" xfId="31690"/>
    <cellStyle name="Normal 4 3 5 2 5 3" xfId="23465"/>
    <cellStyle name="Normal 4 3 5 2 5 4" xfId="39919"/>
    <cellStyle name="Normal 4 3 5 2 6" xfId="8660"/>
    <cellStyle name="Normal 4 3 5 2 6 2" xfId="25110"/>
    <cellStyle name="Normal 4 3 5 2 7" xfId="16884"/>
    <cellStyle name="Normal 4 3 5 2 8" xfId="33338"/>
    <cellStyle name="Normal 4 3 5 2 9" xfId="41565"/>
    <cellStyle name="Normal 4 3 5 3" xfId="620"/>
    <cellStyle name="Normal 4 3 5 3 2" xfId="2315"/>
    <cellStyle name="Normal 4 3 5 3 2 2" xfId="10540"/>
    <cellStyle name="Normal 4 3 5 3 2 2 2" xfId="26990"/>
    <cellStyle name="Normal 4 3 5 3 2 3" xfId="18765"/>
    <cellStyle name="Normal 4 3 5 3 2 4" xfId="35219"/>
    <cellStyle name="Normal 4 3 5 3 3" xfId="3960"/>
    <cellStyle name="Normal 4 3 5 3 3 2" xfId="12185"/>
    <cellStyle name="Normal 4 3 5 3 3 2 2" xfId="28635"/>
    <cellStyle name="Normal 4 3 5 3 3 3" xfId="20410"/>
    <cellStyle name="Normal 4 3 5 3 3 4" xfId="36864"/>
    <cellStyle name="Normal 4 3 5 3 4" xfId="5605"/>
    <cellStyle name="Normal 4 3 5 3 4 2" xfId="13830"/>
    <cellStyle name="Normal 4 3 5 3 4 2 2" xfId="30280"/>
    <cellStyle name="Normal 4 3 5 3 4 3" xfId="22055"/>
    <cellStyle name="Normal 4 3 5 3 4 4" xfId="38509"/>
    <cellStyle name="Normal 4 3 5 3 5" xfId="7250"/>
    <cellStyle name="Normal 4 3 5 3 5 2" xfId="15475"/>
    <cellStyle name="Normal 4 3 5 3 5 2 2" xfId="31925"/>
    <cellStyle name="Normal 4 3 5 3 5 3" xfId="23700"/>
    <cellStyle name="Normal 4 3 5 3 5 4" xfId="40154"/>
    <cellStyle name="Normal 4 3 5 3 6" xfId="8895"/>
    <cellStyle name="Normal 4 3 5 3 6 2" xfId="25345"/>
    <cellStyle name="Normal 4 3 5 3 7" xfId="17119"/>
    <cellStyle name="Normal 4 3 5 3 8" xfId="33573"/>
    <cellStyle name="Normal 4 3 5 3 9" xfId="41800"/>
    <cellStyle name="Normal 4 3 5 4" xfId="855"/>
    <cellStyle name="Normal 4 3 5 4 2" xfId="2550"/>
    <cellStyle name="Normal 4 3 5 4 2 2" xfId="10775"/>
    <cellStyle name="Normal 4 3 5 4 2 2 2" xfId="27225"/>
    <cellStyle name="Normal 4 3 5 4 2 3" xfId="19000"/>
    <cellStyle name="Normal 4 3 5 4 2 4" xfId="35454"/>
    <cellStyle name="Normal 4 3 5 4 3" xfId="4195"/>
    <cellStyle name="Normal 4 3 5 4 3 2" xfId="12420"/>
    <cellStyle name="Normal 4 3 5 4 3 2 2" xfId="28870"/>
    <cellStyle name="Normal 4 3 5 4 3 3" xfId="20645"/>
    <cellStyle name="Normal 4 3 5 4 3 4" xfId="37099"/>
    <cellStyle name="Normal 4 3 5 4 4" xfId="5840"/>
    <cellStyle name="Normal 4 3 5 4 4 2" xfId="14065"/>
    <cellStyle name="Normal 4 3 5 4 4 2 2" xfId="30515"/>
    <cellStyle name="Normal 4 3 5 4 4 3" xfId="22290"/>
    <cellStyle name="Normal 4 3 5 4 4 4" xfId="38744"/>
    <cellStyle name="Normal 4 3 5 4 5" xfId="7485"/>
    <cellStyle name="Normal 4 3 5 4 5 2" xfId="15710"/>
    <cellStyle name="Normal 4 3 5 4 5 2 2" xfId="32160"/>
    <cellStyle name="Normal 4 3 5 4 5 3" xfId="23935"/>
    <cellStyle name="Normal 4 3 5 4 5 4" xfId="40389"/>
    <cellStyle name="Normal 4 3 5 4 6" xfId="9130"/>
    <cellStyle name="Normal 4 3 5 4 6 2" xfId="25580"/>
    <cellStyle name="Normal 4 3 5 4 7" xfId="17354"/>
    <cellStyle name="Normal 4 3 5 4 8" xfId="33808"/>
    <cellStyle name="Normal 4 3 5 4 9" xfId="42035"/>
    <cellStyle name="Normal 4 3 5 5" xfId="1090"/>
    <cellStyle name="Normal 4 3 5 5 2" xfId="2785"/>
    <cellStyle name="Normal 4 3 5 5 2 2" xfId="11010"/>
    <cellStyle name="Normal 4 3 5 5 2 2 2" xfId="27460"/>
    <cellStyle name="Normal 4 3 5 5 2 3" xfId="19235"/>
    <cellStyle name="Normal 4 3 5 5 2 4" xfId="35689"/>
    <cellStyle name="Normal 4 3 5 5 3" xfId="4430"/>
    <cellStyle name="Normal 4 3 5 5 3 2" xfId="12655"/>
    <cellStyle name="Normal 4 3 5 5 3 2 2" xfId="29105"/>
    <cellStyle name="Normal 4 3 5 5 3 3" xfId="20880"/>
    <cellStyle name="Normal 4 3 5 5 3 4" xfId="37334"/>
    <cellStyle name="Normal 4 3 5 5 4" xfId="6075"/>
    <cellStyle name="Normal 4 3 5 5 4 2" xfId="14300"/>
    <cellStyle name="Normal 4 3 5 5 4 2 2" xfId="30750"/>
    <cellStyle name="Normal 4 3 5 5 4 3" xfId="22525"/>
    <cellStyle name="Normal 4 3 5 5 4 4" xfId="38979"/>
    <cellStyle name="Normal 4 3 5 5 5" xfId="7720"/>
    <cellStyle name="Normal 4 3 5 5 5 2" xfId="15945"/>
    <cellStyle name="Normal 4 3 5 5 5 2 2" xfId="32395"/>
    <cellStyle name="Normal 4 3 5 5 5 3" xfId="24170"/>
    <cellStyle name="Normal 4 3 5 5 5 4" xfId="40624"/>
    <cellStyle name="Normal 4 3 5 5 6" xfId="9365"/>
    <cellStyle name="Normal 4 3 5 5 6 2" xfId="25815"/>
    <cellStyle name="Normal 4 3 5 5 7" xfId="17589"/>
    <cellStyle name="Normal 4 3 5 5 8" xfId="34043"/>
    <cellStyle name="Normal 4 3 5 5 9" xfId="42270"/>
    <cellStyle name="Normal 4 3 5 6" xfId="1370"/>
    <cellStyle name="Normal 4 3 5 6 2" xfId="3020"/>
    <cellStyle name="Normal 4 3 5 6 2 2" xfId="11245"/>
    <cellStyle name="Normal 4 3 5 6 2 2 2" xfId="27695"/>
    <cellStyle name="Normal 4 3 5 6 2 3" xfId="19470"/>
    <cellStyle name="Normal 4 3 5 6 2 4" xfId="35924"/>
    <cellStyle name="Normal 4 3 5 6 3" xfId="4665"/>
    <cellStyle name="Normal 4 3 5 6 3 2" xfId="12890"/>
    <cellStyle name="Normal 4 3 5 6 3 2 2" xfId="29340"/>
    <cellStyle name="Normal 4 3 5 6 3 3" xfId="21115"/>
    <cellStyle name="Normal 4 3 5 6 3 4" xfId="37569"/>
    <cellStyle name="Normal 4 3 5 6 4" xfId="6310"/>
    <cellStyle name="Normal 4 3 5 6 4 2" xfId="14535"/>
    <cellStyle name="Normal 4 3 5 6 4 2 2" xfId="30985"/>
    <cellStyle name="Normal 4 3 5 6 4 3" xfId="22760"/>
    <cellStyle name="Normal 4 3 5 6 4 4" xfId="39214"/>
    <cellStyle name="Normal 4 3 5 6 5" xfId="7955"/>
    <cellStyle name="Normal 4 3 5 6 5 2" xfId="16180"/>
    <cellStyle name="Normal 4 3 5 6 5 2 2" xfId="32630"/>
    <cellStyle name="Normal 4 3 5 6 5 3" xfId="24405"/>
    <cellStyle name="Normal 4 3 5 6 5 4" xfId="40859"/>
    <cellStyle name="Normal 4 3 5 6 6" xfId="9600"/>
    <cellStyle name="Normal 4 3 5 6 6 2" xfId="26050"/>
    <cellStyle name="Normal 4 3 5 6 7" xfId="17824"/>
    <cellStyle name="Normal 4 3 5 6 8" xfId="34278"/>
    <cellStyle name="Normal 4 3 5 7" xfId="1605"/>
    <cellStyle name="Normal 4 3 5 7 2" xfId="3255"/>
    <cellStyle name="Normal 4 3 5 7 2 2" xfId="11480"/>
    <cellStyle name="Normal 4 3 5 7 2 2 2" xfId="27930"/>
    <cellStyle name="Normal 4 3 5 7 2 3" xfId="19705"/>
    <cellStyle name="Normal 4 3 5 7 2 4" xfId="36159"/>
    <cellStyle name="Normal 4 3 5 7 3" xfId="4900"/>
    <cellStyle name="Normal 4 3 5 7 3 2" xfId="13125"/>
    <cellStyle name="Normal 4 3 5 7 3 2 2" xfId="29575"/>
    <cellStyle name="Normal 4 3 5 7 3 3" xfId="21350"/>
    <cellStyle name="Normal 4 3 5 7 3 4" xfId="37804"/>
    <cellStyle name="Normal 4 3 5 7 4" xfId="6545"/>
    <cellStyle name="Normal 4 3 5 7 4 2" xfId="14770"/>
    <cellStyle name="Normal 4 3 5 7 4 2 2" xfId="31220"/>
    <cellStyle name="Normal 4 3 5 7 4 3" xfId="22995"/>
    <cellStyle name="Normal 4 3 5 7 4 4" xfId="39449"/>
    <cellStyle name="Normal 4 3 5 7 5" xfId="8190"/>
    <cellStyle name="Normal 4 3 5 7 5 2" xfId="16415"/>
    <cellStyle name="Normal 4 3 5 7 5 2 2" xfId="32865"/>
    <cellStyle name="Normal 4 3 5 7 5 3" xfId="24640"/>
    <cellStyle name="Normal 4 3 5 7 5 4" xfId="41094"/>
    <cellStyle name="Normal 4 3 5 7 6" xfId="9835"/>
    <cellStyle name="Normal 4 3 5 7 6 2" xfId="26285"/>
    <cellStyle name="Normal 4 3 5 7 7" xfId="18059"/>
    <cellStyle name="Normal 4 3 5 7 8" xfId="34513"/>
    <cellStyle name="Normal 4 3 5 8" xfId="1840"/>
    <cellStyle name="Normal 4 3 5 8 2" xfId="10070"/>
    <cellStyle name="Normal 4 3 5 8 2 2" xfId="26520"/>
    <cellStyle name="Normal 4 3 5 8 3" xfId="18294"/>
    <cellStyle name="Normal 4 3 5 8 4" xfId="34748"/>
    <cellStyle name="Normal 4 3 5 9" xfId="3490"/>
    <cellStyle name="Normal 4 3 5 9 2" xfId="11715"/>
    <cellStyle name="Normal 4 3 5 9 2 2" xfId="28165"/>
    <cellStyle name="Normal 4 3 5 9 3" xfId="19940"/>
    <cellStyle name="Normal 4 3 5 9 4" xfId="36394"/>
    <cellStyle name="Normal 4 3 6" xfId="163"/>
    <cellStyle name="Normal 4 3 6 10" xfId="5162"/>
    <cellStyle name="Normal 4 3 6 10 2" xfId="13387"/>
    <cellStyle name="Normal 4 3 6 10 2 2" xfId="29837"/>
    <cellStyle name="Normal 4 3 6 10 3" xfId="21612"/>
    <cellStyle name="Normal 4 3 6 10 4" xfId="38066"/>
    <cellStyle name="Normal 4 3 6 11" xfId="6807"/>
    <cellStyle name="Normal 4 3 6 11 2" xfId="15032"/>
    <cellStyle name="Normal 4 3 6 11 2 2" xfId="31482"/>
    <cellStyle name="Normal 4 3 6 11 3" xfId="23257"/>
    <cellStyle name="Normal 4 3 6 11 4" xfId="39711"/>
    <cellStyle name="Normal 4 3 6 12" xfId="8452"/>
    <cellStyle name="Normal 4 3 6 12 2" xfId="24902"/>
    <cellStyle name="Normal 4 3 6 13" xfId="16676"/>
    <cellStyle name="Normal 4 3 6 14" xfId="33129"/>
    <cellStyle name="Normal 4 3 6 15" xfId="41357"/>
    <cellStyle name="Normal 4 3 6 2" xfId="406"/>
    <cellStyle name="Normal 4 3 6 2 2" xfId="2105"/>
    <cellStyle name="Normal 4 3 6 2 2 2" xfId="10332"/>
    <cellStyle name="Normal 4 3 6 2 2 2 2" xfId="26782"/>
    <cellStyle name="Normal 4 3 6 2 2 3" xfId="18557"/>
    <cellStyle name="Normal 4 3 6 2 2 4" xfId="35011"/>
    <cellStyle name="Normal 4 3 6 2 3" xfId="3752"/>
    <cellStyle name="Normal 4 3 6 2 3 2" xfId="11977"/>
    <cellStyle name="Normal 4 3 6 2 3 2 2" xfId="28427"/>
    <cellStyle name="Normal 4 3 6 2 3 3" xfId="20202"/>
    <cellStyle name="Normal 4 3 6 2 3 4" xfId="36656"/>
    <cellStyle name="Normal 4 3 6 2 4" xfId="5397"/>
    <cellStyle name="Normal 4 3 6 2 4 2" xfId="13622"/>
    <cellStyle name="Normal 4 3 6 2 4 2 2" xfId="30072"/>
    <cellStyle name="Normal 4 3 6 2 4 3" xfId="21847"/>
    <cellStyle name="Normal 4 3 6 2 4 4" xfId="38301"/>
    <cellStyle name="Normal 4 3 6 2 5" xfId="7042"/>
    <cellStyle name="Normal 4 3 6 2 5 2" xfId="15267"/>
    <cellStyle name="Normal 4 3 6 2 5 2 2" xfId="31717"/>
    <cellStyle name="Normal 4 3 6 2 5 3" xfId="23492"/>
    <cellStyle name="Normal 4 3 6 2 5 4" xfId="39946"/>
    <cellStyle name="Normal 4 3 6 2 6" xfId="8687"/>
    <cellStyle name="Normal 4 3 6 2 6 2" xfId="25137"/>
    <cellStyle name="Normal 4 3 6 2 7" xfId="16911"/>
    <cellStyle name="Normal 4 3 6 2 8" xfId="33365"/>
    <cellStyle name="Normal 4 3 6 2 9" xfId="41592"/>
    <cellStyle name="Normal 4 3 6 3" xfId="647"/>
    <cellStyle name="Normal 4 3 6 3 2" xfId="2342"/>
    <cellStyle name="Normal 4 3 6 3 2 2" xfId="10567"/>
    <cellStyle name="Normal 4 3 6 3 2 2 2" xfId="27017"/>
    <cellStyle name="Normal 4 3 6 3 2 3" xfId="18792"/>
    <cellStyle name="Normal 4 3 6 3 2 4" xfId="35246"/>
    <cellStyle name="Normal 4 3 6 3 3" xfId="3987"/>
    <cellStyle name="Normal 4 3 6 3 3 2" xfId="12212"/>
    <cellStyle name="Normal 4 3 6 3 3 2 2" xfId="28662"/>
    <cellStyle name="Normal 4 3 6 3 3 3" xfId="20437"/>
    <cellStyle name="Normal 4 3 6 3 3 4" xfId="36891"/>
    <cellStyle name="Normal 4 3 6 3 4" xfId="5632"/>
    <cellStyle name="Normal 4 3 6 3 4 2" xfId="13857"/>
    <cellStyle name="Normal 4 3 6 3 4 2 2" xfId="30307"/>
    <cellStyle name="Normal 4 3 6 3 4 3" xfId="22082"/>
    <cellStyle name="Normal 4 3 6 3 4 4" xfId="38536"/>
    <cellStyle name="Normal 4 3 6 3 5" xfId="7277"/>
    <cellStyle name="Normal 4 3 6 3 5 2" xfId="15502"/>
    <cellStyle name="Normal 4 3 6 3 5 2 2" xfId="31952"/>
    <cellStyle name="Normal 4 3 6 3 5 3" xfId="23727"/>
    <cellStyle name="Normal 4 3 6 3 5 4" xfId="40181"/>
    <cellStyle name="Normal 4 3 6 3 6" xfId="8922"/>
    <cellStyle name="Normal 4 3 6 3 6 2" xfId="25372"/>
    <cellStyle name="Normal 4 3 6 3 7" xfId="17146"/>
    <cellStyle name="Normal 4 3 6 3 8" xfId="33600"/>
    <cellStyle name="Normal 4 3 6 3 9" xfId="41827"/>
    <cellStyle name="Normal 4 3 6 4" xfId="882"/>
    <cellStyle name="Normal 4 3 6 4 2" xfId="2577"/>
    <cellStyle name="Normal 4 3 6 4 2 2" xfId="10802"/>
    <cellStyle name="Normal 4 3 6 4 2 2 2" xfId="27252"/>
    <cellStyle name="Normal 4 3 6 4 2 3" xfId="19027"/>
    <cellStyle name="Normal 4 3 6 4 2 4" xfId="35481"/>
    <cellStyle name="Normal 4 3 6 4 3" xfId="4222"/>
    <cellStyle name="Normal 4 3 6 4 3 2" xfId="12447"/>
    <cellStyle name="Normal 4 3 6 4 3 2 2" xfId="28897"/>
    <cellStyle name="Normal 4 3 6 4 3 3" xfId="20672"/>
    <cellStyle name="Normal 4 3 6 4 3 4" xfId="37126"/>
    <cellStyle name="Normal 4 3 6 4 4" xfId="5867"/>
    <cellStyle name="Normal 4 3 6 4 4 2" xfId="14092"/>
    <cellStyle name="Normal 4 3 6 4 4 2 2" xfId="30542"/>
    <cellStyle name="Normal 4 3 6 4 4 3" xfId="22317"/>
    <cellStyle name="Normal 4 3 6 4 4 4" xfId="38771"/>
    <cellStyle name="Normal 4 3 6 4 5" xfId="7512"/>
    <cellStyle name="Normal 4 3 6 4 5 2" xfId="15737"/>
    <cellStyle name="Normal 4 3 6 4 5 2 2" xfId="32187"/>
    <cellStyle name="Normal 4 3 6 4 5 3" xfId="23962"/>
    <cellStyle name="Normal 4 3 6 4 5 4" xfId="40416"/>
    <cellStyle name="Normal 4 3 6 4 6" xfId="9157"/>
    <cellStyle name="Normal 4 3 6 4 6 2" xfId="25607"/>
    <cellStyle name="Normal 4 3 6 4 7" xfId="17381"/>
    <cellStyle name="Normal 4 3 6 4 8" xfId="33835"/>
    <cellStyle name="Normal 4 3 6 4 9" xfId="42062"/>
    <cellStyle name="Normal 4 3 6 5" xfId="1117"/>
    <cellStyle name="Normal 4 3 6 5 2" xfId="2812"/>
    <cellStyle name="Normal 4 3 6 5 2 2" xfId="11037"/>
    <cellStyle name="Normal 4 3 6 5 2 2 2" xfId="27487"/>
    <cellStyle name="Normal 4 3 6 5 2 3" xfId="19262"/>
    <cellStyle name="Normal 4 3 6 5 2 4" xfId="35716"/>
    <cellStyle name="Normal 4 3 6 5 3" xfId="4457"/>
    <cellStyle name="Normal 4 3 6 5 3 2" xfId="12682"/>
    <cellStyle name="Normal 4 3 6 5 3 2 2" xfId="29132"/>
    <cellStyle name="Normal 4 3 6 5 3 3" xfId="20907"/>
    <cellStyle name="Normal 4 3 6 5 3 4" xfId="37361"/>
    <cellStyle name="Normal 4 3 6 5 4" xfId="6102"/>
    <cellStyle name="Normal 4 3 6 5 4 2" xfId="14327"/>
    <cellStyle name="Normal 4 3 6 5 4 2 2" xfId="30777"/>
    <cellStyle name="Normal 4 3 6 5 4 3" xfId="22552"/>
    <cellStyle name="Normal 4 3 6 5 4 4" xfId="39006"/>
    <cellStyle name="Normal 4 3 6 5 5" xfId="7747"/>
    <cellStyle name="Normal 4 3 6 5 5 2" xfId="15972"/>
    <cellStyle name="Normal 4 3 6 5 5 2 2" xfId="32422"/>
    <cellStyle name="Normal 4 3 6 5 5 3" xfId="24197"/>
    <cellStyle name="Normal 4 3 6 5 5 4" xfId="40651"/>
    <cellStyle name="Normal 4 3 6 5 6" xfId="9392"/>
    <cellStyle name="Normal 4 3 6 5 6 2" xfId="25842"/>
    <cellStyle name="Normal 4 3 6 5 7" xfId="17616"/>
    <cellStyle name="Normal 4 3 6 5 8" xfId="34070"/>
    <cellStyle name="Normal 4 3 6 5 9" xfId="42297"/>
    <cellStyle name="Normal 4 3 6 6" xfId="1397"/>
    <cellStyle name="Normal 4 3 6 6 2" xfId="3047"/>
    <cellStyle name="Normal 4 3 6 6 2 2" xfId="11272"/>
    <cellStyle name="Normal 4 3 6 6 2 2 2" xfId="27722"/>
    <cellStyle name="Normal 4 3 6 6 2 3" xfId="19497"/>
    <cellStyle name="Normal 4 3 6 6 2 4" xfId="35951"/>
    <cellStyle name="Normal 4 3 6 6 3" xfId="4692"/>
    <cellStyle name="Normal 4 3 6 6 3 2" xfId="12917"/>
    <cellStyle name="Normal 4 3 6 6 3 2 2" xfId="29367"/>
    <cellStyle name="Normal 4 3 6 6 3 3" xfId="21142"/>
    <cellStyle name="Normal 4 3 6 6 3 4" xfId="37596"/>
    <cellStyle name="Normal 4 3 6 6 4" xfId="6337"/>
    <cellStyle name="Normal 4 3 6 6 4 2" xfId="14562"/>
    <cellStyle name="Normal 4 3 6 6 4 2 2" xfId="31012"/>
    <cellStyle name="Normal 4 3 6 6 4 3" xfId="22787"/>
    <cellStyle name="Normal 4 3 6 6 4 4" xfId="39241"/>
    <cellStyle name="Normal 4 3 6 6 5" xfId="7982"/>
    <cellStyle name="Normal 4 3 6 6 5 2" xfId="16207"/>
    <cellStyle name="Normal 4 3 6 6 5 2 2" xfId="32657"/>
    <cellStyle name="Normal 4 3 6 6 5 3" xfId="24432"/>
    <cellStyle name="Normal 4 3 6 6 5 4" xfId="40886"/>
    <cellStyle name="Normal 4 3 6 6 6" xfId="9627"/>
    <cellStyle name="Normal 4 3 6 6 6 2" xfId="26077"/>
    <cellStyle name="Normal 4 3 6 6 7" xfId="17851"/>
    <cellStyle name="Normal 4 3 6 6 8" xfId="34305"/>
    <cellStyle name="Normal 4 3 6 7" xfId="1632"/>
    <cellStyle name="Normal 4 3 6 7 2" xfId="3282"/>
    <cellStyle name="Normal 4 3 6 7 2 2" xfId="11507"/>
    <cellStyle name="Normal 4 3 6 7 2 2 2" xfId="27957"/>
    <cellStyle name="Normal 4 3 6 7 2 3" xfId="19732"/>
    <cellStyle name="Normal 4 3 6 7 2 4" xfId="36186"/>
    <cellStyle name="Normal 4 3 6 7 3" xfId="4927"/>
    <cellStyle name="Normal 4 3 6 7 3 2" xfId="13152"/>
    <cellStyle name="Normal 4 3 6 7 3 2 2" xfId="29602"/>
    <cellStyle name="Normal 4 3 6 7 3 3" xfId="21377"/>
    <cellStyle name="Normal 4 3 6 7 3 4" xfId="37831"/>
    <cellStyle name="Normal 4 3 6 7 4" xfId="6572"/>
    <cellStyle name="Normal 4 3 6 7 4 2" xfId="14797"/>
    <cellStyle name="Normal 4 3 6 7 4 2 2" xfId="31247"/>
    <cellStyle name="Normal 4 3 6 7 4 3" xfId="23022"/>
    <cellStyle name="Normal 4 3 6 7 4 4" xfId="39476"/>
    <cellStyle name="Normal 4 3 6 7 5" xfId="8217"/>
    <cellStyle name="Normal 4 3 6 7 5 2" xfId="16442"/>
    <cellStyle name="Normal 4 3 6 7 5 2 2" xfId="32892"/>
    <cellStyle name="Normal 4 3 6 7 5 3" xfId="24667"/>
    <cellStyle name="Normal 4 3 6 7 5 4" xfId="41121"/>
    <cellStyle name="Normal 4 3 6 7 6" xfId="9862"/>
    <cellStyle name="Normal 4 3 6 7 6 2" xfId="26312"/>
    <cellStyle name="Normal 4 3 6 7 7" xfId="18086"/>
    <cellStyle name="Normal 4 3 6 7 8" xfId="34540"/>
    <cellStyle name="Normal 4 3 6 8" xfId="1867"/>
    <cellStyle name="Normal 4 3 6 8 2" xfId="10097"/>
    <cellStyle name="Normal 4 3 6 8 2 2" xfId="26547"/>
    <cellStyle name="Normal 4 3 6 8 3" xfId="18321"/>
    <cellStyle name="Normal 4 3 6 8 4" xfId="34775"/>
    <cellStyle name="Normal 4 3 6 9" xfId="3517"/>
    <cellStyle name="Normal 4 3 6 9 2" xfId="11742"/>
    <cellStyle name="Normal 4 3 6 9 2 2" xfId="28192"/>
    <cellStyle name="Normal 4 3 6 9 3" xfId="19967"/>
    <cellStyle name="Normal 4 3 6 9 4" xfId="36421"/>
    <cellStyle name="Normal 4 3 7" xfId="192"/>
    <cellStyle name="Normal 4 3 7 10" xfId="5189"/>
    <cellStyle name="Normal 4 3 7 10 2" xfId="13414"/>
    <cellStyle name="Normal 4 3 7 10 2 2" xfId="29864"/>
    <cellStyle name="Normal 4 3 7 10 3" xfId="21639"/>
    <cellStyle name="Normal 4 3 7 10 4" xfId="38093"/>
    <cellStyle name="Normal 4 3 7 11" xfId="6834"/>
    <cellStyle name="Normal 4 3 7 11 2" xfId="15059"/>
    <cellStyle name="Normal 4 3 7 11 2 2" xfId="31509"/>
    <cellStyle name="Normal 4 3 7 11 3" xfId="23284"/>
    <cellStyle name="Normal 4 3 7 11 4" xfId="39738"/>
    <cellStyle name="Normal 4 3 7 12" xfId="8479"/>
    <cellStyle name="Normal 4 3 7 12 2" xfId="24929"/>
    <cellStyle name="Normal 4 3 7 13" xfId="16703"/>
    <cellStyle name="Normal 4 3 7 14" xfId="33156"/>
    <cellStyle name="Normal 4 3 7 15" xfId="41384"/>
    <cellStyle name="Normal 4 3 7 2" xfId="435"/>
    <cellStyle name="Normal 4 3 7 2 2" xfId="2132"/>
    <cellStyle name="Normal 4 3 7 2 2 2" xfId="10359"/>
    <cellStyle name="Normal 4 3 7 2 2 2 2" xfId="26809"/>
    <cellStyle name="Normal 4 3 7 2 2 3" xfId="18584"/>
    <cellStyle name="Normal 4 3 7 2 2 4" xfId="35038"/>
    <cellStyle name="Normal 4 3 7 2 3" xfId="3779"/>
    <cellStyle name="Normal 4 3 7 2 3 2" xfId="12004"/>
    <cellStyle name="Normal 4 3 7 2 3 2 2" xfId="28454"/>
    <cellStyle name="Normal 4 3 7 2 3 3" xfId="20229"/>
    <cellStyle name="Normal 4 3 7 2 3 4" xfId="36683"/>
    <cellStyle name="Normal 4 3 7 2 4" xfId="5424"/>
    <cellStyle name="Normal 4 3 7 2 4 2" xfId="13649"/>
    <cellStyle name="Normal 4 3 7 2 4 2 2" xfId="30099"/>
    <cellStyle name="Normal 4 3 7 2 4 3" xfId="21874"/>
    <cellStyle name="Normal 4 3 7 2 4 4" xfId="38328"/>
    <cellStyle name="Normal 4 3 7 2 5" xfId="7069"/>
    <cellStyle name="Normal 4 3 7 2 5 2" xfId="15294"/>
    <cellStyle name="Normal 4 3 7 2 5 2 2" xfId="31744"/>
    <cellStyle name="Normal 4 3 7 2 5 3" xfId="23519"/>
    <cellStyle name="Normal 4 3 7 2 5 4" xfId="39973"/>
    <cellStyle name="Normal 4 3 7 2 6" xfId="8714"/>
    <cellStyle name="Normal 4 3 7 2 6 2" xfId="25164"/>
    <cellStyle name="Normal 4 3 7 2 7" xfId="16938"/>
    <cellStyle name="Normal 4 3 7 2 8" xfId="33392"/>
    <cellStyle name="Normal 4 3 7 2 9" xfId="41619"/>
    <cellStyle name="Normal 4 3 7 3" xfId="674"/>
    <cellStyle name="Normal 4 3 7 3 2" xfId="2369"/>
    <cellStyle name="Normal 4 3 7 3 2 2" xfId="10594"/>
    <cellStyle name="Normal 4 3 7 3 2 2 2" xfId="27044"/>
    <cellStyle name="Normal 4 3 7 3 2 3" xfId="18819"/>
    <cellStyle name="Normal 4 3 7 3 2 4" xfId="35273"/>
    <cellStyle name="Normal 4 3 7 3 3" xfId="4014"/>
    <cellStyle name="Normal 4 3 7 3 3 2" xfId="12239"/>
    <cellStyle name="Normal 4 3 7 3 3 2 2" xfId="28689"/>
    <cellStyle name="Normal 4 3 7 3 3 3" xfId="20464"/>
    <cellStyle name="Normal 4 3 7 3 3 4" xfId="36918"/>
    <cellStyle name="Normal 4 3 7 3 4" xfId="5659"/>
    <cellStyle name="Normal 4 3 7 3 4 2" xfId="13884"/>
    <cellStyle name="Normal 4 3 7 3 4 2 2" xfId="30334"/>
    <cellStyle name="Normal 4 3 7 3 4 3" xfId="22109"/>
    <cellStyle name="Normal 4 3 7 3 4 4" xfId="38563"/>
    <cellStyle name="Normal 4 3 7 3 5" xfId="7304"/>
    <cellStyle name="Normal 4 3 7 3 5 2" xfId="15529"/>
    <cellStyle name="Normal 4 3 7 3 5 2 2" xfId="31979"/>
    <cellStyle name="Normal 4 3 7 3 5 3" xfId="23754"/>
    <cellStyle name="Normal 4 3 7 3 5 4" xfId="40208"/>
    <cellStyle name="Normal 4 3 7 3 6" xfId="8949"/>
    <cellStyle name="Normal 4 3 7 3 6 2" xfId="25399"/>
    <cellStyle name="Normal 4 3 7 3 7" xfId="17173"/>
    <cellStyle name="Normal 4 3 7 3 8" xfId="33627"/>
    <cellStyle name="Normal 4 3 7 3 9" xfId="41854"/>
    <cellStyle name="Normal 4 3 7 4" xfId="909"/>
    <cellStyle name="Normal 4 3 7 4 2" xfId="2604"/>
    <cellStyle name="Normal 4 3 7 4 2 2" xfId="10829"/>
    <cellStyle name="Normal 4 3 7 4 2 2 2" xfId="27279"/>
    <cellStyle name="Normal 4 3 7 4 2 3" xfId="19054"/>
    <cellStyle name="Normal 4 3 7 4 2 4" xfId="35508"/>
    <cellStyle name="Normal 4 3 7 4 3" xfId="4249"/>
    <cellStyle name="Normal 4 3 7 4 3 2" xfId="12474"/>
    <cellStyle name="Normal 4 3 7 4 3 2 2" xfId="28924"/>
    <cellStyle name="Normal 4 3 7 4 3 3" xfId="20699"/>
    <cellStyle name="Normal 4 3 7 4 3 4" xfId="37153"/>
    <cellStyle name="Normal 4 3 7 4 4" xfId="5894"/>
    <cellStyle name="Normal 4 3 7 4 4 2" xfId="14119"/>
    <cellStyle name="Normal 4 3 7 4 4 2 2" xfId="30569"/>
    <cellStyle name="Normal 4 3 7 4 4 3" xfId="22344"/>
    <cellStyle name="Normal 4 3 7 4 4 4" xfId="38798"/>
    <cellStyle name="Normal 4 3 7 4 5" xfId="7539"/>
    <cellStyle name="Normal 4 3 7 4 5 2" xfId="15764"/>
    <cellStyle name="Normal 4 3 7 4 5 2 2" xfId="32214"/>
    <cellStyle name="Normal 4 3 7 4 5 3" xfId="23989"/>
    <cellStyle name="Normal 4 3 7 4 5 4" xfId="40443"/>
    <cellStyle name="Normal 4 3 7 4 6" xfId="9184"/>
    <cellStyle name="Normal 4 3 7 4 6 2" xfId="25634"/>
    <cellStyle name="Normal 4 3 7 4 7" xfId="17408"/>
    <cellStyle name="Normal 4 3 7 4 8" xfId="33862"/>
    <cellStyle name="Normal 4 3 7 4 9" xfId="42089"/>
    <cellStyle name="Normal 4 3 7 5" xfId="1144"/>
    <cellStyle name="Normal 4 3 7 5 2" xfId="2839"/>
    <cellStyle name="Normal 4 3 7 5 2 2" xfId="11064"/>
    <cellStyle name="Normal 4 3 7 5 2 2 2" xfId="27514"/>
    <cellStyle name="Normal 4 3 7 5 2 3" xfId="19289"/>
    <cellStyle name="Normal 4 3 7 5 2 4" xfId="35743"/>
    <cellStyle name="Normal 4 3 7 5 3" xfId="4484"/>
    <cellStyle name="Normal 4 3 7 5 3 2" xfId="12709"/>
    <cellStyle name="Normal 4 3 7 5 3 2 2" xfId="29159"/>
    <cellStyle name="Normal 4 3 7 5 3 3" xfId="20934"/>
    <cellStyle name="Normal 4 3 7 5 3 4" xfId="37388"/>
    <cellStyle name="Normal 4 3 7 5 4" xfId="6129"/>
    <cellStyle name="Normal 4 3 7 5 4 2" xfId="14354"/>
    <cellStyle name="Normal 4 3 7 5 4 2 2" xfId="30804"/>
    <cellStyle name="Normal 4 3 7 5 4 3" xfId="22579"/>
    <cellStyle name="Normal 4 3 7 5 4 4" xfId="39033"/>
    <cellStyle name="Normal 4 3 7 5 5" xfId="7774"/>
    <cellStyle name="Normal 4 3 7 5 5 2" xfId="15999"/>
    <cellStyle name="Normal 4 3 7 5 5 2 2" xfId="32449"/>
    <cellStyle name="Normal 4 3 7 5 5 3" xfId="24224"/>
    <cellStyle name="Normal 4 3 7 5 5 4" xfId="40678"/>
    <cellStyle name="Normal 4 3 7 5 6" xfId="9419"/>
    <cellStyle name="Normal 4 3 7 5 6 2" xfId="25869"/>
    <cellStyle name="Normal 4 3 7 5 7" xfId="17643"/>
    <cellStyle name="Normal 4 3 7 5 8" xfId="34097"/>
    <cellStyle name="Normal 4 3 7 5 9" xfId="42324"/>
    <cellStyle name="Normal 4 3 7 6" xfId="1424"/>
    <cellStyle name="Normal 4 3 7 6 2" xfId="3074"/>
    <cellStyle name="Normal 4 3 7 6 2 2" xfId="11299"/>
    <cellStyle name="Normal 4 3 7 6 2 2 2" xfId="27749"/>
    <cellStyle name="Normal 4 3 7 6 2 3" xfId="19524"/>
    <cellStyle name="Normal 4 3 7 6 2 4" xfId="35978"/>
    <cellStyle name="Normal 4 3 7 6 3" xfId="4719"/>
    <cellStyle name="Normal 4 3 7 6 3 2" xfId="12944"/>
    <cellStyle name="Normal 4 3 7 6 3 2 2" xfId="29394"/>
    <cellStyle name="Normal 4 3 7 6 3 3" xfId="21169"/>
    <cellStyle name="Normal 4 3 7 6 3 4" xfId="37623"/>
    <cellStyle name="Normal 4 3 7 6 4" xfId="6364"/>
    <cellStyle name="Normal 4 3 7 6 4 2" xfId="14589"/>
    <cellStyle name="Normal 4 3 7 6 4 2 2" xfId="31039"/>
    <cellStyle name="Normal 4 3 7 6 4 3" xfId="22814"/>
    <cellStyle name="Normal 4 3 7 6 4 4" xfId="39268"/>
    <cellStyle name="Normal 4 3 7 6 5" xfId="8009"/>
    <cellStyle name="Normal 4 3 7 6 5 2" xfId="16234"/>
    <cellStyle name="Normal 4 3 7 6 5 2 2" xfId="32684"/>
    <cellStyle name="Normal 4 3 7 6 5 3" xfId="24459"/>
    <cellStyle name="Normal 4 3 7 6 5 4" xfId="40913"/>
    <cellStyle name="Normal 4 3 7 6 6" xfId="9654"/>
    <cellStyle name="Normal 4 3 7 6 6 2" xfId="26104"/>
    <cellStyle name="Normal 4 3 7 6 7" xfId="17878"/>
    <cellStyle name="Normal 4 3 7 6 8" xfId="34332"/>
    <cellStyle name="Normal 4 3 7 7" xfId="1659"/>
    <cellStyle name="Normal 4 3 7 7 2" xfId="3309"/>
    <cellStyle name="Normal 4 3 7 7 2 2" xfId="11534"/>
    <cellStyle name="Normal 4 3 7 7 2 2 2" xfId="27984"/>
    <cellStyle name="Normal 4 3 7 7 2 3" xfId="19759"/>
    <cellStyle name="Normal 4 3 7 7 2 4" xfId="36213"/>
    <cellStyle name="Normal 4 3 7 7 3" xfId="4954"/>
    <cellStyle name="Normal 4 3 7 7 3 2" xfId="13179"/>
    <cellStyle name="Normal 4 3 7 7 3 2 2" xfId="29629"/>
    <cellStyle name="Normal 4 3 7 7 3 3" xfId="21404"/>
    <cellStyle name="Normal 4 3 7 7 3 4" xfId="37858"/>
    <cellStyle name="Normal 4 3 7 7 4" xfId="6599"/>
    <cellStyle name="Normal 4 3 7 7 4 2" xfId="14824"/>
    <cellStyle name="Normal 4 3 7 7 4 2 2" xfId="31274"/>
    <cellStyle name="Normal 4 3 7 7 4 3" xfId="23049"/>
    <cellStyle name="Normal 4 3 7 7 4 4" xfId="39503"/>
    <cellStyle name="Normal 4 3 7 7 5" xfId="8244"/>
    <cellStyle name="Normal 4 3 7 7 5 2" xfId="16469"/>
    <cellStyle name="Normal 4 3 7 7 5 2 2" xfId="32919"/>
    <cellStyle name="Normal 4 3 7 7 5 3" xfId="24694"/>
    <cellStyle name="Normal 4 3 7 7 5 4" xfId="41148"/>
    <cellStyle name="Normal 4 3 7 7 6" xfId="9889"/>
    <cellStyle name="Normal 4 3 7 7 6 2" xfId="26339"/>
    <cellStyle name="Normal 4 3 7 7 7" xfId="18113"/>
    <cellStyle name="Normal 4 3 7 7 8" xfId="34567"/>
    <cellStyle name="Normal 4 3 7 8" xfId="1894"/>
    <cellStyle name="Normal 4 3 7 8 2" xfId="10124"/>
    <cellStyle name="Normal 4 3 7 8 2 2" xfId="26574"/>
    <cellStyle name="Normal 4 3 7 8 3" xfId="18348"/>
    <cellStyle name="Normal 4 3 7 8 4" xfId="34802"/>
    <cellStyle name="Normal 4 3 7 9" xfId="3544"/>
    <cellStyle name="Normal 4 3 7 9 2" xfId="11769"/>
    <cellStyle name="Normal 4 3 7 9 2 2" xfId="28219"/>
    <cellStyle name="Normal 4 3 7 9 3" xfId="19994"/>
    <cellStyle name="Normal 4 3 7 9 4" xfId="36448"/>
    <cellStyle name="Normal 4 3 8" xfId="219"/>
    <cellStyle name="Normal 4 3 8 10" xfId="5216"/>
    <cellStyle name="Normal 4 3 8 10 2" xfId="13441"/>
    <cellStyle name="Normal 4 3 8 10 2 2" xfId="29891"/>
    <cellStyle name="Normal 4 3 8 10 3" xfId="21666"/>
    <cellStyle name="Normal 4 3 8 10 4" xfId="38120"/>
    <cellStyle name="Normal 4 3 8 11" xfId="6861"/>
    <cellStyle name="Normal 4 3 8 11 2" xfId="15086"/>
    <cellStyle name="Normal 4 3 8 11 2 2" xfId="31536"/>
    <cellStyle name="Normal 4 3 8 11 3" xfId="23311"/>
    <cellStyle name="Normal 4 3 8 11 4" xfId="39765"/>
    <cellStyle name="Normal 4 3 8 12" xfId="8506"/>
    <cellStyle name="Normal 4 3 8 12 2" xfId="24956"/>
    <cellStyle name="Normal 4 3 8 13" xfId="16730"/>
    <cellStyle name="Normal 4 3 8 14" xfId="33183"/>
    <cellStyle name="Normal 4 3 8 15" xfId="41411"/>
    <cellStyle name="Normal 4 3 8 2" xfId="462"/>
    <cellStyle name="Normal 4 3 8 2 2" xfId="2159"/>
    <cellStyle name="Normal 4 3 8 2 2 2" xfId="10386"/>
    <cellStyle name="Normal 4 3 8 2 2 2 2" xfId="26836"/>
    <cellStyle name="Normal 4 3 8 2 2 3" xfId="18611"/>
    <cellStyle name="Normal 4 3 8 2 2 4" xfId="35065"/>
    <cellStyle name="Normal 4 3 8 2 3" xfId="3806"/>
    <cellStyle name="Normal 4 3 8 2 3 2" xfId="12031"/>
    <cellStyle name="Normal 4 3 8 2 3 2 2" xfId="28481"/>
    <cellStyle name="Normal 4 3 8 2 3 3" xfId="20256"/>
    <cellStyle name="Normal 4 3 8 2 3 4" xfId="36710"/>
    <cellStyle name="Normal 4 3 8 2 4" xfId="5451"/>
    <cellStyle name="Normal 4 3 8 2 4 2" xfId="13676"/>
    <cellStyle name="Normal 4 3 8 2 4 2 2" xfId="30126"/>
    <cellStyle name="Normal 4 3 8 2 4 3" xfId="21901"/>
    <cellStyle name="Normal 4 3 8 2 4 4" xfId="38355"/>
    <cellStyle name="Normal 4 3 8 2 5" xfId="7096"/>
    <cellStyle name="Normal 4 3 8 2 5 2" xfId="15321"/>
    <cellStyle name="Normal 4 3 8 2 5 2 2" xfId="31771"/>
    <cellStyle name="Normal 4 3 8 2 5 3" xfId="23546"/>
    <cellStyle name="Normal 4 3 8 2 5 4" xfId="40000"/>
    <cellStyle name="Normal 4 3 8 2 6" xfId="8741"/>
    <cellStyle name="Normal 4 3 8 2 6 2" xfId="25191"/>
    <cellStyle name="Normal 4 3 8 2 7" xfId="16965"/>
    <cellStyle name="Normal 4 3 8 2 8" xfId="33419"/>
    <cellStyle name="Normal 4 3 8 2 9" xfId="41646"/>
    <cellStyle name="Normal 4 3 8 3" xfId="701"/>
    <cellStyle name="Normal 4 3 8 3 2" xfId="2396"/>
    <cellStyle name="Normal 4 3 8 3 2 2" xfId="10621"/>
    <cellStyle name="Normal 4 3 8 3 2 2 2" xfId="27071"/>
    <cellStyle name="Normal 4 3 8 3 2 3" xfId="18846"/>
    <cellStyle name="Normal 4 3 8 3 2 4" xfId="35300"/>
    <cellStyle name="Normal 4 3 8 3 3" xfId="4041"/>
    <cellStyle name="Normal 4 3 8 3 3 2" xfId="12266"/>
    <cellStyle name="Normal 4 3 8 3 3 2 2" xfId="28716"/>
    <cellStyle name="Normal 4 3 8 3 3 3" xfId="20491"/>
    <cellStyle name="Normal 4 3 8 3 3 4" xfId="36945"/>
    <cellStyle name="Normal 4 3 8 3 4" xfId="5686"/>
    <cellStyle name="Normal 4 3 8 3 4 2" xfId="13911"/>
    <cellStyle name="Normal 4 3 8 3 4 2 2" xfId="30361"/>
    <cellStyle name="Normal 4 3 8 3 4 3" xfId="22136"/>
    <cellStyle name="Normal 4 3 8 3 4 4" xfId="38590"/>
    <cellStyle name="Normal 4 3 8 3 5" xfId="7331"/>
    <cellStyle name="Normal 4 3 8 3 5 2" xfId="15556"/>
    <cellStyle name="Normal 4 3 8 3 5 2 2" xfId="32006"/>
    <cellStyle name="Normal 4 3 8 3 5 3" xfId="23781"/>
    <cellStyle name="Normal 4 3 8 3 5 4" xfId="40235"/>
    <cellStyle name="Normal 4 3 8 3 6" xfId="8976"/>
    <cellStyle name="Normal 4 3 8 3 6 2" xfId="25426"/>
    <cellStyle name="Normal 4 3 8 3 7" xfId="17200"/>
    <cellStyle name="Normal 4 3 8 3 8" xfId="33654"/>
    <cellStyle name="Normal 4 3 8 3 9" xfId="41881"/>
    <cellStyle name="Normal 4 3 8 4" xfId="936"/>
    <cellStyle name="Normal 4 3 8 4 2" xfId="2631"/>
    <cellStyle name="Normal 4 3 8 4 2 2" xfId="10856"/>
    <cellStyle name="Normal 4 3 8 4 2 2 2" xfId="27306"/>
    <cellStyle name="Normal 4 3 8 4 2 3" xfId="19081"/>
    <cellStyle name="Normal 4 3 8 4 2 4" xfId="35535"/>
    <cellStyle name="Normal 4 3 8 4 3" xfId="4276"/>
    <cellStyle name="Normal 4 3 8 4 3 2" xfId="12501"/>
    <cellStyle name="Normal 4 3 8 4 3 2 2" xfId="28951"/>
    <cellStyle name="Normal 4 3 8 4 3 3" xfId="20726"/>
    <cellStyle name="Normal 4 3 8 4 3 4" xfId="37180"/>
    <cellStyle name="Normal 4 3 8 4 4" xfId="5921"/>
    <cellStyle name="Normal 4 3 8 4 4 2" xfId="14146"/>
    <cellStyle name="Normal 4 3 8 4 4 2 2" xfId="30596"/>
    <cellStyle name="Normal 4 3 8 4 4 3" xfId="22371"/>
    <cellStyle name="Normal 4 3 8 4 4 4" xfId="38825"/>
    <cellStyle name="Normal 4 3 8 4 5" xfId="7566"/>
    <cellStyle name="Normal 4 3 8 4 5 2" xfId="15791"/>
    <cellStyle name="Normal 4 3 8 4 5 2 2" xfId="32241"/>
    <cellStyle name="Normal 4 3 8 4 5 3" xfId="24016"/>
    <cellStyle name="Normal 4 3 8 4 5 4" xfId="40470"/>
    <cellStyle name="Normal 4 3 8 4 6" xfId="9211"/>
    <cellStyle name="Normal 4 3 8 4 6 2" xfId="25661"/>
    <cellStyle name="Normal 4 3 8 4 7" xfId="17435"/>
    <cellStyle name="Normal 4 3 8 4 8" xfId="33889"/>
    <cellStyle name="Normal 4 3 8 4 9" xfId="42116"/>
    <cellStyle name="Normal 4 3 8 5" xfId="1171"/>
    <cellStyle name="Normal 4 3 8 5 2" xfId="2866"/>
    <cellStyle name="Normal 4 3 8 5 2 2" xfId="11091"/>
    <cellStyle name="Normal 4 3 8 5 2 2 2" xfId="27541"/>
    <cellStyle name="Normal 4 3 8 5 2 3" xfId="19316"/>
    <cellStyle name="Normal 4 3 8 5 2 4" xfId="35770"/>
    <cellStyle name="Normal 4 3 8 5 3" xfId="4511"/>
    <cellStyle name="Normal 4 3 8 5 3 2" xfId="12736"/>
    <cellStyle name="Normal 4 3 8 5 3 2 2" xfId="29186"/>
    <cellStyle name="Normal 4 3 8 5 3 3" xfId="20961"/>
    <cellStyle name="Normal 4 3 8 5 3 4" xfId="37415"/>
    <cellStyle name="Normal 4 3 8 5 4" xfId="6156"/>
    <cellStyle name="Normal 4 3 8 5 4 2" xfId="14381"/>
    <cellStyle name="Normal 4 3 8 5 4 2 2" xfId="30831"/>
    <cellStyle name="Normal 4 3 8 5 4 3" xfId="22606"/>
    <cellStyle name="Normal 4 3 8 5 4 4" xfId="39060"/>
    <cellStyle name="Normal 4 3 8 5 5" xfId="7801"/>
    <cellStyle name="Normal 4 3 8 5 5 2" xfId="16026"/>
    <cellStyle name="Normal 4 3 8 5 5 2 2" xfId="32476"/>
    <cellStyle name="Normal 4 3 8 5 5 3" xfId="24251"/>
    <cellStyle name="Normal 4 3 8 5 5 4" xfId="40705"/>
    <cellStyle name="Normal 4 3 8 5 6" xfId="9446"/>
    <cellStyle name="Normal 4 3 8 5 6 2" xfId="25896"/>
    <cellStyle name="Normal 4 3 8 5 7" xfId="17670"/>
    <cellStyle name="Normal 4 3 8 5 8" xfId="34124"/>
    <cellStyle name="Normal 4 3 8 5 9" xfId="42351"/>
    <cellStyle name="Normal 4 3 8 6" xfId="1451"/>
    <cellStyle name="Normal 4 3 8 6 2" xfId="3101"/>
    <cellStyle name="Normal 4 3 8 6 2 2" xfId="11326"/>
    <cellStyle name="Normal 4 3 8 6 2 2 2" xfId="27776"/>
    <cellStyle name="Normal 4 3 8 6 2 3" xfId="19551"/>
    <cellStyle name="Normal 4 3 8 6 2 4" xfId="36005"/>
    <cellStyle name="Normal 4 3 8 6 3" xfId="4746"/>
    <cellStyle name="Normal 4 3 8 6 3 2" xfId="12971"/>
    <cellStyle name="Normal 4 3 8 6 3 2 2" xfId="29421"/>
    <cellStyle name="Normal 4 3 8 6 3 3" xfId="21196"/>
    <cellStyle name="Normal 4 3 8 6 3 4" xfId="37650"/>
    <cellStyle name="Normal 4 3 8 6 4" xfId="6391"/>
    <cellStyle name="Normal 4 3 8 6 4 2" xfId="14616"/>
    <cellStyle name="Normal 4 3 8 6 4 2 2" xfId="31066"/>
    <cellStyle name="Normal 4 3 8 6 4 3" xfId="22841"/>
    <cellStyle name="Normal 4 3 8 6 4 4" xfId="39295"/>
    <cellStyle name="Normal 4 3 8 6 5" xfId="8036"/>
    <cellStyle name="Normal 4 3 8 6 5 2" xfId="16261"/>
    <cellStyle name="Normal 4 3 8 6 5 2 2" xfId="32711"/>
    <cellStyle name="Normal 4 3 8 6 5 3" xfId="24486"/>
    <cellStyle name="Normal 4 3 8 6 5 4" xfId="40940"/>
    <cellStyle name="Normal 4 3 8 6 6" xfId="9681"/>
    <cellStyle name="Normal 4 3 8 6 6 2" xfId="26131"/>
    <cellStyle name="Normal 4 3 8 6 7" xfId="17905"/>
    <cellStyle name="Normal 4 3 8 6 8" xfId="34359"/>
    <cellStyle name="Normal 4 3 8 7" xfId="1686"/>
    <cellStyle name="Normal 4 3 8 7 2" xfId="3336"/>
    <cellStyle name="Normal 4 3 8 7 2 2" xfId="11561"/>
    <cellStyle name="Normal 4 3 8 7 2 2 2" xfId="28011"/>
    <cellStyle name="Normal 4 3 8 7 2 3" xfId="19786"/>
    <cellStyle name="Normal 4 3 8 7 2 4" xfId="36240"/>
    <cellStyle name="Normal 4 3 8 7 3" xfId="4981"/>
    <cellStyle name="Normal 4 3 8 7 3 2" xfId="13206"/>
    <cellStyle name="Normal 4 3 8 7 3 2 2" xfId="29656"/>
    <cellStyle name="Normal 4 3 8 7 3 3" xfId="21431"/>
    <cellStyle name="Normal 4 3 8 7 3 4" xfId="37885"/>
    <cellStyle name="Normal 4 3 8 7 4" xfId="6626"/>
    <cellStyle name="Normal 4 3 8 7 4 2" xfId="14851"/>
    <cellStyle name="Normal 4 3 8 7 4 2 2" xfId="31301"/>
    <cellStyle name="Normal 4 3 8 7 4 3" xfId="23076"/>
    <cellStyle name="Normal 4 3 8 7 4 4" xfId="39530"/>
    <cellStyle name="Normal 4 3 8 7 5" xfId="8271"/>
    <cellStyle name="Normal 4 3 8 7 5 2" xfId="16496"/>
    <cellStyle name="Normal 4 3 8 7 5 2 2" xfId="32946"/>
    <cellStyle name="Normal 4 3 8 7 5 3" xfId="24721"/>
    <cellStyle name="Normal 4 3 8 7 5 4" xfId="41175"/>
    <cellStyle name="Normal 4 3 8 7 6" xfId="9916"/>
    <cellStyle name="Normal 4 3 8 7 6 2" xfId="26366"/>
    <cellStyle name="Normal 4 3 8 7 7" xfId="18140"/>
    <cellStyle name="Normal 4 3 8 7 8" xfId="34594"/>
    <cellStyle name="Normal 4 3 8 8" xfId="1921"/>
    <cellStyle name="Normal 4 3 8 8 2" xfId="10151"/>
    <cellStyle name="Normal 4 3 8 8 2 2" xfId="26601"/>
    <cellStyle name="Normal 4 3 8 8 3" xfId="18375"/>
    <cellStyle name="Normal 4 3 8 8 4" xfId="34829"/>
    <cellStyle name="Normal 4 3 8 9" xfId="3571"/>
    <cellStyle name="Normal 4 3 8 9 2" xfId="11796"/>
    <cellStyle name="Normal 4 3 8 9 2 2" xfId="28246"/>
    <cellStyle name="Normal 4 3 8 9 3" xfId="20021"/>
    <cellStyle name="Normal 4 3 8 9 4" xfId="36475"/>
    <cellStyle name="Normal 4 3 9" xfId="248"/>
    <cellStyle name="Normal 4 3 9 10" xfId="5243"/>
    <cellStyle name="Normal 4 3 9 10 2" xfId="13468"/>
    <cellStyle name="Normal 4 3 9 10 2 2" xfId="29918"/>
    <cellStyle name="Normal 4 3 9 10 3" xfId="21693"/>
    <cellStyle name="Normal 4 3 9 10 4" xfId="38147"/>
    <cellStyle name="Normal 4 3 9 11" xfId="6888"/>
    <cellStyle name="Normal 4 3 9 11 2" xfId="15113"/>
    <cellStyle name="Normal 4 3 9 11 2 2" xfId="31563"/>
    <cellStyle name="Normal 4 3 9 11 3" xfId="23338"/>
    <cellStyle name="Normal 4 3 9 11 4" xfId="39792"/>
    <cellStyle name="Normal 4 3 9 12" xfId="8533"/>
    <cellStyle name="Normal 4 3 9 12 2" xfId="24983"/>
    <cellStyle name="Normal 4 3 9 13" xfId="16757"/>
    <cellStyle name="Normal 4 3 9 14" xfId="33210"/>
    <cellStyle name="Normal 4 3 9 15" xfId="41438"/>
    <cellStyle name="Normal 4 3 9 2" xfId="491"/>
    <cellStyle name="Normal 4 3 9 2 2" xfId="2186"/>
    <cellStyle name="Normal 4 3 9 2 2 2" xfId="10413"/>
    <cellStyle name="Normal 4 3 9 2 2 2 2" xfId="26863"/>
    <cellStyle name="Normal 4 3 9 2 2 3" xfId="18638"/>
    <cellStyle name="Normal 4 3 9 2 2 4" xfId="35092"/>
    <cellStyle name="Normal 4 3 9 2 3" xfId="3833"/>
    <cellStyle name="Normal 4 3 9 2 3 2" xfId="12058"/>
    <cellStyle name="Normal 4 3 9 2 3 2 2" xfId="28508"/>
    <cellStyle name="Normal 4 3 9 2 3 3" xfId="20283"/>
    <cellStyle name="Normal 4 3 9 2 3 4" xfId="36737"/>
    <cellStyle name="Normal 4 3 9 2 4" xfId="5478"/>
    <cellStyle name="Normal 4 3 9 2 4 2" xfId="13703"/>
    <cellStyle name="Normal 4 3 9 2 4 2 2" xfId="30153"/>
    <cellStyle name="Normal 4 3 9 2 4 3" xfId="21928"/>
    <cellStyle name="Normal 4 3 9 2 4 4" xfId="38382"/>
    <cellStyle name="Normal 4 3 9 2 5" xfId="7123"/>
    <cellStyle name="Normal 4 3 9 2 5 2" xfId="15348"/>
    <cellStyle name="Normal 4 3 9 2 5 2 2" xfId="31798"/>
    <cellStyle name="Normal 4 3 9 2 5 3" xfId="23573"/>
    <cellStyle name="Normal 4 3 9 2 5 4" xfId="40027"/>
    <cellStyle name="Normal 4 3 9 2 6" xfId="8768"/>
    <cellStyle name="Normal 4 3 9 2 6 2" xfId="25218"/>
    <cellStyle name="Normal 4 3 9 2 7" xfId="16992"/>
    <cellStyle name="Normal 4 3 9 2 8" xfId="33446"/>
    <cellStyle name="Normal 4 3 9 2 9" xfId="41673"/>
    <cellStyle name="Normal 4 3 9 3" xfId="728"/>
    <cellStyle name="Normal 4 3 9 3 2" xfId="2423"/>
    <cellStyle name="Normal 4 3 9 3 2 2" xfId="10648"/>
    <cellStyle name="Normal 4 3 9 3 2 2 2" xfId="27098"/>
    <cellStyle name="Normal 4 3 9 3 2 3" xfId="18873"/>
    <cellStyle name="Normal 4 3 9 3 2 4" xfId="35327"/>
    <cellStyle name="Normal 4 3 9 3 3" xfId="4068"/>
    <cellStyle name="Normal 4 3 9 3 3 2" xfId="12293"/>
    <cellStyle name="Normal 4 3 9 3 3 2 2" xfId="28743"/>
    <cellStyle name="Normal 4 3 9 3 3 3" xfId="20518"/>
    <cellStyle name="Normal 4 3 9 3 3 4" xfId="36972"/>
    <cellStyle name="Normal 4 3 9 3 4" xfId="5713"/>
    <cellStyle name="Normal 4 3 9 3 4 2" xfId="13938"/>
    <cellStyle name="Normal 4 3 9 3 4 2 2" xfId="30388"/>
    <cellStyle name="Normal 4 3 9 3 4 3" xfId="22163"/>
    <cellStyle name="Normal 4 3 9 3 4 4" xfId="38617"/>
    <cellStyle name="Normal 4 3 9 3 5" xfId="7358"/>
    <cellStyle name="Normal 4 3 9 3 5 2" xfId="15583"/>
    <cellStyle name="Normal 4 3 9 3 5 2 2" xfId="32033"/>
    <cellStyle name="Normal 4 3 9 3 5 3" xfId="23808"/>
    <cellStyle name="Normal 4 3 9 3 5 4" xfId="40262"/>
    <cellStyle name="Normal 4 3 9 3 6" xfId="9003"/>
    <cellStyle name="Normal 4 3 9 3 6 2" xfId="25453"/>
    <cellStyle name="Normal 4 3 9 3 7" xfId="17227"/>
    <cellStyle name="Normal 4 3 9 3 8" xfId="33681"/>
    <cellStyle name="Normal 4 3 9 3 9" xfId="41908"/>
    <cellStyle name="Normal 4 3 9 4" xfId="963"/>
    <cellStyle name="Normal 4 3 9 4 2" xfId="2658"/>
    <cellStyle name="Normal 4 3 9 4 2 2" xfId="10883"/>
    <cellStyle name="Normal 4 3 9 4 2 2 2" xfId="27333"/>
    <cellStyle name="Normal 4 3 9 4 2 3" xfId="19108"/>
    <cellStyle name="Normal 4 3 9 4 2 4" xfId="35562"/>
    <cellStyle name="Normal 4 3 9 4 3" xfId="4303"/>
    <cellStyle name="Normal 4 3 9 4 3 2" xfId="12528"/>
    <cellStyle name="Normal 4 3 9 4 3 2 2" xfId="28978"/>
    <cellStyle name="Normal 4 3 9 4 3 3" xfId="20753"/>
    <cellStyle name="Normal 4 3 9 4 3 4" xfId="37207"/>
    <cellStyle name="Normal 4 3 9 4 4" xfId="5948"/>
    <cellStyle name="Normal 4 3 9 4 4 2" xfId="14173"/>
    <cellStyle name="Normal 4 3 9 4 4 2 2" xfId="30623"/>
    <cellStyle name="Normal 4 3 9 4 4 3" xfId="22398"/>
    <cellStyle name="Normal 4 3 9 4 4 4" xfId="38852"/>
    <cellStyle name="Normal 4 3 9 4 5" xfId="7593"/>
    <cellStyle name="Normal 4 3 9 4 5 2" xfId="15818"/>
    <cellStyle name="Normal 4 3 9 4 5 2 2" xfId="32268"/>
    <cellStyle name="Normal 4 3 9 4 5 3" xfId="24043"/>
    <cellStyle name="Normal 4 3 9 4 5 4" xfId="40497"/>
    <cellStyle name="Normal 4 3 9 4 6" xfId="9238"/>
    <cellStyle name="Normal 4 3 9 4 6 2" xfId="25688"/>
    <cellStyle name="Normal 4 3 9 4 7" xfId="17462"/>
    <cellStyle name="Normal 4 3 9 4 8" xfId="33916"/>
    <cellStyle name="Normal 4 3 9 4 9" xfId="42143"/>
    <cellStyle name="Normal 4 3 9 5" xfId="1198"/>
    <cellStyle name="Normal 4 3 9 5 2" xfId="2893"/>
    <cellStyle name="Normal 4 3 9 5 2 2" xfId="11118"/>
    <cellStyle name="Normal 4 3 9 5 2 2 2" xfId="27568"/>
    <cellStyle name="Normal 4 3 9 5 2 3" xfId="19343"/>
    <cellStyle name="Normal 4 3 9 5 2 4" xfId="35797"/>
    <cellStyle name="Normal 4 3 9 5 3" xfId="4538"/>
    <cellStyle name="Normal 4 3 9 5 3 2" xfId="12763"/>
    <cellStyle name="Normal 4 3 9 5 3 2 2" xfId="29213"/>
    <cellStyle name="Normal 4 3 9 5 3 3" xfId="20988"/>
    <cellStyle name="Normal 4 3 9 5 3 4" xfId="37442"/>
    <cellStyle name="Normal 4 3 9 5 4" xfId="6183"/>
    <cellStyle name="Normal 4 3 9 5 4 2" xfId="14408"/>
    <cellStyle name="Normal 4 3 9 5 4 2 2" xfId="30858"/>
    <cellStyle name="Normal 4 3 9 5 4 3" xfId="22633"/>
    <cellStyle name="Normal 4 3 9 5 4 4" xfId="39087"/>
    <cellStyle name="Normal 4 3 9 5 5" xfId="7828"/>
    <cellStyle name="Normal 4 3 9 5 5 2" xfId="16053"/>
    <cellStyle name="Normal 4 3 9 5 5 2 2" xfId="32503"/>
    <cellStyle name="Normal 4 3 9 5 5 3" xfId="24278"/>
    <cellStyle name="Normal 4 3 9 5 5 4" xfId="40732"/>
    <cellStyle name="Normal 4 3 9 5 6" xfId="9473"/>
    <cellStyle name="Normal 4 3 9 5 6 2" xfId="25923"/>
    <cellStyle name="Normal 4 3 9 5 7" xfId="17697"/>
    <cellStyle name="Normal 4 3 9 5 8" xfId="34151"/>
    <cellStyle name="Normal 4 3 9 5 9" xfId="42378"/>
    <cellStyle name="Normal 4 3 9 6" xfId="1478"/>
    <cellStyle name="Normal 4 3 9 6 2" xfId="3128"/>
    <cellStyle name="Normal 4 3 9 6 2 2" xfId="11353"/>
    <cellStyle name="Normal 4 3 9 6 2 2 2" xfId="27803"/>
    <cellStyle name="Normal 4 3 9 6 2 3" xfId="19578"/>
    <cellStyle name="Normal 4 3 9 6 2 4" xfId="36032"/>
    <cellStyle name="Normal 4 3 9 6 3" xfId="4773"/>
    <cellStyle name="Normal 4 3 9 6 3 2" xfId="12998"/>
    <cellStyle name="Normal 4 3 9 6 3 2 2" xfId="29448"/>
    <cellStyle name="Normal 4 3 9 6 3 3" xfId="21223"/>
    <cellStyle name="Normal 4 3 9 6 3 4" xfId="37677"/>
    <cellStyle name="Normal 4 3 9 6 4" xfId="6418"/>
    <cellStyle name="Normal 4 3 9 6 4 2" xfId="14643"/>
    <cellStyle name="Normal 4 3 9 6 4 2 2" xfId="31093"/>
    <cellStyle name="Normal 4 3 9 6 4 3" xfId="22868"/>
    <cellStyle name="Normal 4 3 9 6 4 4" xfId="39322"/>
    <cellStyle name="Normal 4 3 9 6 5" xfId="8063"/>
    <cellStyle name="Normal 4 3 9 6 5 2" xfId="16288"/>
    <cellStyle name="Normal 4 3 9 6 5 2 2" xfId="32738"/>
    <cellStyle name="Normal 4 3 9 6 5 3" xfId="24513"/>
    <cellStyle name="Normal 4 3 9 6 5 4" xfId="40967"/>
    <cellStyle name="Normal 4 3 9 6 6" xfId="9708"/>
    <cellStyle name="Normal 4 3 9 6 6 2" xfId="26158"/>
    <cellStyle name="Normal 4 3 9 6 7" xfId="17932"/>
    <cellStyle name="Normal 4 3 9 6 8" xfId="34386"/>
    <cellStyle name="Normal 4 3 9 7" xfId="1713"/>
    <cellStyle name="Normal 4 3 9 7 2" xfId="3363"/>
    <cellStyle name="Normal 4 3 9 7 2 2" xfId="11588"/>
    <cellStyle name="Normal 4 3 9 7 2 2 2" xfId="28038"/>
    <cellStyle name="Normal 4 3 9 7 2 3" xfId="19813"/>
    <cellStyle name="Normal 4 3 9 7 2 4" xfId="36267"/>
    <cellStyle name="Normal 4 3 9 7 3" xfId="5008"/>
    <cellStyle name="Normal 4 3 9 7 3 2" xfId="13233"/>
    <cellStyle name="Normal 4 3 9 7 3 2 2" xfId="29683"/>
    <cellStyle name="Normal 4 3 9 7 3 3" xfId="21458"/>
    <cellStyle name="Normal 4 3 9 7 3 4" xfId="37912"/>
    <cellStyle name="Normal 4 3 9 7 4" xfId="6653"/>
    <cellStyle name="Normal 4 3 9 7 4 2" xfId="14878"/>
    <cellStyle name="Normal 4 3 9 7 4 2 2" xfId="31328"/>
    <cellStyle name="Normal 4 3 9 7 4 3" xfId="23103"/>
    <cellStyle name="Normal 4 3 9 7 4 4" xfId="39557"/>
    <cellStyle name="Normal 4 3 9 7 5" xfId="8298"/>
    <cellStyle name="Normal 4 3 9 7 5 2" xfId="16523"/>
    <cellStyle name="Normal 4 3 9 7 5 2 2" xfId="32973"/>
    <cellStyle name="Normal 4 3 9 7 5 3" xfId="24748"/>
    <cellStyle name="Normal 4 3 9 7 5 4" xfId="41202"/>
    <cellStyle name="Normal 4 3 9 7 6" xfId="9943"/>
    <cellStyle name="Normal 4 3 9 7 6 2" xfId="26393"/>
    <cellStyle name="Normal 4 3 9 7 7" xfId="18167"/>
    <cellStyle name="Normal 4 3 9 7 8" xfId="34621"/>
    <cellStyle name="Normal 4 3 9 8" xfId="1948"/>
    <cellStyle name="Normal 4 3 9 8 2" xfId="10178"/>
    <cellStyle name="Normal 4 3 9 8 2 2" xfId="26628"/>
    <cellStyle name="Normal 4 3 9 8 3" xfId="18402"/>
    <cellStyle name="Normal 4 3 9 8 4" xfId="34856"/>
    <cellStyle name="Normal 4 3 9 9" xfId="3598"/>
    <cellStyle name="Normal 4 3 9 9 2" xfId="11823"/>
    <cellStyle name="Normal 4 3 9 9 2 2" xfId="28273"/>
    <cellStyle name="Normal 4 3 9 9 3" xfId="20048"/>
    <cellStyle name="Normal 4 3 9 9 4" xfId="36502"/>
    <cellStyle name="Normal 4 30" xfId="32998"/>
    <cellStyle name="Normal 4 31" xfId="41226"/>
    <cellStyle name="Normal 4 4" xfId="36"/>
    <cellStyle name="Normal 4 4 10" xfId="279"/>
    <cellStyle name="Normal 4 4 10 2" xfId="1980"/>
    <cellStyle name="Normal 4 4 10 2 2" xfId="10207"/>
    <cellStyle name="Normal 4 4 10 2 2 2" xfId="26657"/>
    <cellStyle name="Normal 4 4 10 2 3" xfId="18432"/>
    <cellStyle name="Normal 4 4 10 2 4" xfId="34886"/>
    <cellStyle name="Normal 4 4 10 3" xfId="3627"/>
    <cellStyle name="Normal 4 4 10 3 2" xfId="11852"/>
    <cellStyle name="Normal 4 4 10 3 2 2" xfId="28302"/>
    <cellStyle name="Normal 4 4 10 3 3" xfId="20077"/>
    <cellStyle name="Normal 4 4 10 3 4" xfId="36531"/>
    <cellStyle name="Normal 4 4 10 4" xfId="5272"/>
    <cellStyle name="Normal 4 4 10 4 2" xfId="13497"/>
    <cellStyle name="Normal 4 4 10 4 2 2" xfId="29947"/>
    <cellStyle name="Normal 4 4 10 4 3" xfId="21722"/>
    <cellStyle name="Normal 4 4 10 4 4" xfId="38176"/>
    <cellStyle name="Normal 4 4 10 5" xfId="6917"/>
    <cellStyle name="Normal 4 4 10 5 2" xfId="15142"/>
    <cellStyle name="Normal 4 4 10 5 2 2" xfId="31592"/>
    <cellStyle name="Normal 4 4 10 5 3" xfId="23367"/>
    <cellStyle name="Normal 4 4 10 5 4" xfId="39821"/>
    <cellStyle name="Normal 4 4 10 6" xfId="8562"/>
    <cellStyle name="Normal 4 4 10 6 2" xfId="25012"/>
    <cellStyle name="Normal 4 4 10 7" xfId="16786"/>
    <cellStyle name="Normal 4 4 10 8" xfId="33240"/>
    <cellStyle name="Normal 4 4 10 9" xfId="41467"/>
    <cellStyle name="Normal 4 4 11" xfId="522"/>
    <cellStyle name="Normal 4 4 11 2" xfId="2217"/>
    <cellStyle name="Normal 4 4 11 2 2" xfId="10442"/>
    <cellStyle name="Normal 4 4 11 2 2 2" xfId="26892"/>
    <cellStyle name="Normal 4 4 11 2 3" xfId="18667"/>
    <cellStyle name="Normal 4 4 11 2 4" xfId="35121"/>
    <cellStyle name="Normal 4 4 11 3" xfId="3862"/>
    <cellStyle name="Normal 4 4 11 3 2" xfId="12087"/>
    <cellStyle name="Normal 4 4 11 3 2 2" xfId="28537"/>
    <cellStyle name="Normal 4 4 11 3 3" xfId="20312"/>
    <cellStyle name="Normal 4 4 11 3 4" xfId="36766"/>
    <cellStyle name="Normal 4 4 11 4" xfId="5507"/>
    <cellStyle name="Normal 4 4 11 4 2" xfId="13732"/>
    <cellStyle name="Normal 4 4 11 4 2 2" xfId="30182"/>
    <cellStyle name="Normal 4 4 11 4 3" xfId="21957"/>
    <cellStyle name="Normal 4 4 11 4 4" xfId="38411"/>
    <cellStyle name="Normal 4 4 11 5" xfId="7152"/>
    <cellStyle name="Normal 4 4 11 5 2" xfId="15377"/>
    <cellStyle name="Normal 4 4 11 5 2 2" xfId="31827"/>
    <cellStyle name="Normal 4 4 11 5 3" xfId="23602"/>
    <cellStyle name="Normal 4 4 11 5 4" xfId="40056"/>
    <cellStyle name="Normal 4 4 11 6" xfId="8797"/>
    <cellStyle name="Normal 4 4 11 6 2" xfId="25247"/>
    <cellStyle name="Normal 4 4 11 7" xfId="17021"/>
    <cellStyle name="Normal 4 4 11 8" xfId="33475"/>
    <cellStyle name="Normal 4 4 11 9" xfId="41702"/>
    <cellStyle name="Normal 4 4 12" xfId="757"/>
    <cellStyle name="Normal 4 4 12 2" xfId="2452"/>
    <cellStyle name="Normal 4 4 12 2 2" xfId="10677"/>
    <cellStyle name="Normal 4 4 12 2 2 2" xfId="27127"/>
    <cellStyle name="Normal 4 4 12 2 3" xfId="18902"/>
    <cellStyle name="Normal 4 4 12 2 4" xfId="35356"/>
    <cellStyle name="Normal 4 4 12 3" xfId="4097"/>
    <cellStyle name="Normal 4 4 12 3 2" xfId="12322"/>
    <cellStyle name="Normal 4 4 12 3 2 2" xfId="28772"/>
    <cellStyle name="Normal 4 4 12 3 3" xfId="20547"/>
    <cellStyle name="Normal 4 4 12 3 4" xfId="37001"/>
    <cellStyle name="Normal 4 4 12 4" xfId="5742"/>
    <cellStyle name="Normal 4 4 12 4 2" xfId="13967"/>
    <cellStyle name="Normal 4 4 12 4 2 2" xfId="30417"/>
    <cellStyle name="Normal 4 4 12 4 3" xfId="22192"/>
    <cellStyle name="Normal 4 4 12 4 4" xfId="38646"/>
    <cellStyle name="Normal 4 4 12 5" xfId="7387"/>
    <cellStyle name="Normal 4 4 12 5 2" xfId="15612"/>
    <cellStyle name="Normal 4 4 12 5 2 2" xfId="32062"/>
    <cellStyle name="Normal 4 4 12 5 3" xfId="23837"/>
    <cellStyle name="Normal 4 4 12 5 4" xfId="40291"/>
    <cellStyle name="Normal 4 4 12 6" xfId="9032"/>
    <cellStyle name="Normal 4 4 12 6 2" xfId="25482"/>
    <cellStyle name="Normal 4 4 12 7" xfId="17256"/>
    <cellStyle name="Normal 4 4 12 8" xfId="33710"/>
    <cellStyle name="Normal 4 4 12 9" xfId="41937"/>
    <cellStyle name="Normal 4 4 13" xfId="992"/>
    <cellStyle name="Normal 4 4 13 2" xfId="2687"/>
    <cellStyle name="Normal 4 4 13 2 2" xfId="10912"/>
    <cellStyle name="Normal 4 4 13 2 2 2" xfId="27362"/>
    <cellStyle name="Normal 4 4 13 2 3" xfId="19137"/>
    <cellStyle name="Normal 4 4 13 2 4" xfId="35591"/>
    <cellStyle name="Normal 4 4 13 3" xfId="4332"/>
    <cellStyle name="Normal 4 4 13 3 2" xfId="12557"/>
    <cellStyle name="Normal 4 4 13 3 2 2" xfId="29007"/>
    <cellStyle name="Normal 4 4 13 3 3" xfId="20782"/>
    <cellStyle name="Normal 4 4 13 3 4" xfId="37236"/>
    <cellStyle name="Normal 4 4 13 4" xfId="5977"/>
    <cellStyle name="Normal 4 4 13 4 2" xfId="14202"/>
    <cellStyle name="Normal 4 4 13 4 2 2" xfId="30652"/>
    <cellStyle name="Normal 4 4 13 4 3" xfId="22427"/>
    <cellStyle name="Normal 4 4 13 4 4" xfId="38881"/>
    <cellStyle name="Normal 4 4 13 5" xfId="7622"/>
    <cellStyle name="Normal 4 4 13 5 2" xfId="15847"/>
    <cellStyle name="Normal 4 4 13 5 2 2" xfId="32297"/>
    <cellStyle name="Normal 4 4 13 5 3" xfId="24072"/>
    <cellStyle name="Normal 4 4 13 5 4" xfId="40526"/>
    <cellStyle name="Normal 4 4 13 6" xfId="9267"/>
    <cellStyle name="Normal 4 4 13 6 2" xfId="25717"/>
    <cellStyle name="Normal 4 4 13 7" xfId="17491"/>
    <cellStyle name="Normal 4 4 13 8" xfId="33945"/>
    <cellStyle name="Normal 4 4 13 9" xfId="42172"/>
    <cellStyle name="Normal 4 4 14" xfId="1272"/>
    <cellStyle name="Normal 4 4 14 2" xfId="2922"/>
    <cellStyle name="Normal 4 4 14 2 2" xfId="11147"/>
    <cellStyle name="Normal 4 4 14 2 2 2" xfId="27597"/>
    <cellStyle name="Normal 4 4 14 2 3" xfId="19372"/>
    <cellStyle name="Normal 4 4 14 2 4" xfId="35826"/>
    <cellStyle name="Normal 4 4 14 3" xfId="4567"/>
    <cellStyle name="Normal 4 4 14 3 2" xfId="12792"/>
    <cellStyle name="Normal 4 4 14 3 2 2" xfId="29242"/>
    <cellStyle name="Normal 4 4 14 3 3" xfId="21017"/>
    <cellStyle name="Normal 4 4 14 3 4" xfId="37471"/>
    <cellStyle name="Normal 4 4 14 4" xfId="6212"/>
    <cellStyle name="Normal 4 4 14 4 2" xfId="14437"/>
    <cellStyle name="Normal 4 4 14 4 2 2" xfId="30887"/>
    <cellStyle name="Normal 4 4 14 4 3" xfId="22662"/>
    <cellStyle name="Normal 4 4 14 4 4" xfId="39116"/>
    <cellStyle name="Normal 4 4 14 5" xfId="7857"/>
    <cellStyle name="Normal 4 4 14 5 2" xfId="16082"/>
    <cellStyle name="Normal 4 4 14 5 2 2" xfId="32532"/>
    <cellStyle name="Normal 4 4 14 5 3" xfId="24307"/>
    <cellStyle name="Normal 4 4 14 5 4" xfId="40761"/>
    <cellStyle name="Normal 4 4 14 6" xfId="9502"/>
    <cellStyle name="Normal 4 4 14 6 2" xfId="25952"/>
    <cellStyle name="Normal 4 4 14 7" xfId="17726"/>
    <cellStyle name="Normal 4 4 14 8" xfId="34180"/>
    <cellStyle name="Normal 4 4 15" xfId="1507"/>
    <cellStyle name="Normal 4 4 15 2" xfId="3157"/>
    <cellStyle name="Normal 4 4 15 2 2" xfId="11382"/>
    <cellStyle name="Normal 4 4 15 2 2 2" xfId="27832"/>
    <cellStyle name="Normal 4 4 15 2 3" xfId="19607"/>
    <cellStyle name="Normal 4 4 15 2 4" xfId="36061"/>
    <cellStyle name="Normal 4 4 15 3" xfId="4802"/>
    <cellStyle name="Normal 4 4 15 3 2" xfId="13027"/>
    <cellStyle name="Normal 4 4 15 3 2 2" xfId="29477"/>
    <cellStyle name="Normal 4 4 15 3 3" xfId="21252"/>
    <cellStyle name="Normal 4 4 15 3 4" xfId="37706"/>
    <cellStyle name="Normal 4 4 15 4" xfId="6447"/>
    <cellStyle name="Normal 4 4 15 4 2" xfId="14672"/>
    <cellStyle name="Normal 4 4 15 4 2 2" xfId="31122"/>
    <cellStyle name="Normal 4 4 15 4 3" xfId="22897"/>
    <cellStyle name="Normal 4 4 15 4 4" xfId="39351"/>
    <cellStyle name="Normal 4 4 15 5" xfId="8092"/>
    <cellStyle name="Normal 4 4 15 5 2" xfId="16317"/>
    <cellStyle name="Normal 4 4 15 5 2 2" xfId="32767"/>
    <cellStyle name="Normal 4 4 15 5 3" xfId="24542"/>
    <cellStyle name="Normal 4 4 15 5 4" xfId="40996"/>
    <cellStyle name="Normal 4 4 15 6" xfId="9737"/>
    <cellStyle name="Normal 4 4 15 6 2" xfId="26187"/>
    <cellStyle name="Normal 4 4 15 7" xfId="17961"/>
    <cellStyle name="Normal 4 4 15 8" xfId="34415"/>
    <cellStyle name="Normal 4 4 16" xfId="1742"/>
    <cellStyle name="Normal 4 4 16 2" xfId="9972"/>
    <cellStyle name="Normal 4 4 16 2 2" xfId="26422"/>
    <cellStyle name="Normal 4 4 16 3" xfId="18196"/>
    <cellStyle name="Normal 4 4 16 4" xfId="34650"/>
    <cellStyle name="Normal 4 4 17" xfId="3392"/>
    <cellStyle name="Normal 4 4 17 2" xfId="11617"/>
    <cellStyle name="Normal 4 4 17 2 2" xfId="28067"/>
    <cellStyle name="Normal 4 4 17 3" xfId="19842"/>
    <cellStyle name="Normal 4 4 17 4" xfId="36296"/>
    <cellStyle name="Normal 4 4 18" xfId="5037"/>
    <cellStyle name="Normal 4 4 18 2" xfId="13262"/>
    <cellStyle name="Normal 4 4 18 2 2" xfId="29712"/>
    <cellStyle name="Normal 4 4 18 3" xfId="21487"/>
    <cellStyle name="Normal 4 4 18 4" xfId="37941"/>
    <cellStyle name="Normal 4 4 19" xfId="6682"/>
    <cellStyle name="Normal 4 4 19 2" xfId="14907"/>
    <cellStyle name="Normal 4 4 19 2 2" xfId="31357"/>
    <cellStyle name="Normal 4 4 19 3" xfId="23132"/>
    <cellStyle name="Normal 4 4 19 4" xfId="39586"/>
    <cellStyle name="Normal 4 4 2" xfId="43"/>
    <cellStyle name="Normal 4 4 2 10" xfId="529"/>
    <cellStyle name="Normal 4 4 2 10 2" xfId="2224"/>
    <cellStyle name="Normal 4 4 2 10 2 2" xfId="10449"/>
    <cellStyle name="Normal 4 4 2 10 2 2 2" xfId="26899"/>
    <cellStyle name="Normal 4 4 2 10 2 3" xfId="18674"/>
    <cellStyle name="Normal 4 4 2 10 2 4" xfId="35128"/>
    <cellStyle name="Normal 4 4 2 10 3" xfId="3869"/>
    <cellStyle name="Normal 4 4 2 10 3 2" xfId="12094"/>
    <cellStyle name="Normal 4 4 2 10 3 2 2" xfId="28544"/>
    <cellStyle name="Normal 4 4 2 10 3 3" xfId="20319"/>
    <cellStyle name="Normal 4 4 2 10 3 4" xfId="36773"/>
    <cellStyle name="Normal 4 4 2 10 4" xfId="5514"/>
    <cellStyle name="Normal 4 4 2 10 4 2" xfId="13739"/>
    <cellStyle name="Normal 4 4 2 10 4 2 2" xfId="30189"/>
    <cellStyle name="Normal 4 4 2 10 4 3" xfId="21964"/>
    <cellStyle name="Normal 4 4 2 10 4 4" xfId="38418"/>
    <cellStyle name="Normal 4 4 2 10 5" xfId="7159"/>
    <cellStyle name="Normal 4 4 2 10 5 2" xfId="15384"/>
    <cellStyle name="Normal 4 4 2 10 5 2 2" xfId="31834"/>
    <cellStyle name="Normal 4 4 2 10 5 3" xfId="23609"/>
    <cellStyle name="Normal 4 4 2 10 5 4" xfId="40063"/>
    <cellStyle name="Normal 4 4 2 10 6" xfId="8804"/>
    <cellStyle name="Normal 4 4 2 10 6 2" xfId="25254"/>
    <cellStyle name="Normal 4 4 2 10 7" xfId="17028"/>
    <cellStyle name="Normal 4 4 2 10 8" xfId="33482"/>
    <cellStyle name="Normal 4 4 2 10 9" xfId="41709"/>
    <cellStyle name="Normal 4 4 2 11" xfId="764"/>
    <cellStyle name="Normal 4 4 2 11 2" xfId="2459"/>
    <cellStyle name="Normal 4 4 2 11 2 2" xfId="10684"/>
    <cellStyle name="Normal 4 4 2 11 2 2 2" xfId="27134"/>
    <cellStyle name="Normal 4 4 2 11 2 3" xfId="18909"/>
    <cellStyle name="Normal 4 4 2 11 2 4" xfId="35363"/>
    <cellStyle name="Normal 4 4 2 11 3" xfId="4104"/>
    <cellStyle name="Normal 4 4 2 11 3 2" xfId="12329"/>
    <cellStyle name="Normal 4 4 2 11 3 2 2" xfId="28779"/>
    <cellStyle name="Normal 4 4 2 11 3 3" xfId="20554"/>
    <cellStyle name="Normal 4 4 2 11 3 4" xfId="37008"/>
    <cellStyle name="Normal 4 4 2 11 4" xfId="5749"/>
    <cellStyle name="Normal 4 4 2 11 4 2" xfId="13974"/>
    <cellStyle name="Normal 4 4 2 11 4 2 2" xfId="30424"/>
    <cellStyle name="Normal 4 4 2 11 4 3" xfId="22199"/>
    <cellStyle name="Normal 4 4 2 11 4 4" xfId="38653"/>
    <cellStyle name="Normal 4 4 2 11 5" xfId="7394"/>
    <cellStyle name="Normal 4 4 2 11 5 2" xfId="15619"/>
    <cellStyle name="Normal 4 4 2 11 5 2 2" xfId="32069"/>
    <cellStyle name="Normal 4 4 2 11 5 3" xfId="23844"/>
    <cellStyle name="Normal 4 4 2 11 5 4" xfId="40298"/>
    <cellStyle name="Normal 4 4 2 11 6" xfId="9039"/>
    <cellStyle name="Normal 4 4 2 11 6 2" xfId="25489"/>
    <cellStyle name="Normal 4 4 2 11 7" xfId="17263"/>
    <cellStyle name="Normal 4 4 2 11 8" xfId="33717"/>
    <cellStyle name="Normal 4 4 2 11 9" xfId="41944"/>
    <cellStyle name="Normal 4 4 2 12" xfId="999"/>
    <cellStyle name="Normal 4 4 2 12 2" xfId="2694"/>
    <cellStyle name="Normal 4 4 2 12 2 2" xfId="10919"/>
    <cellStyle name="Normal 4 4 2 12 2 2 2" xfId="27369"/>
    <cellStyle name="Normal 4 4 2 12 2 3" xfId="19144"/>
    <cellStyle name="Normal 4 4 2 12 2 4" xfId="35598"/>
    <cellStyle name="Normal 4 4 2 12 3" xfId="4339"/>
    <cellStyle name="Normal 4 4 2 12 3 2" xfId="12564"/>
    <cellStyle name="Normal 4 4 2 12 3 2 2" xfId="29014"/>
    <cellStyle name="Normal 4 4 2 12 3 3" xfId="20789"/>
    <cellStyle name="Normal 4 4 2 12 3 4" xfId="37243"/>
    <cellStyle name="Normal 4 4 2 12 4" xfId="5984"/>
    <cellStyle name="Normal 4 4 2 12 4 2" xfId="14209"/>
    <cellStyle name="Normal 4 4 2 12 4 2 2" xfId="30659"/>
    <cellStyle name="Normal 4 4 2 12 4 3" xfId="22434"/>
    <cellStyle name="Normal 4 4 2 12 4 4" xfId="38888"/>
    <cellStyle name="Normal 4 4 2 12 5" xfId="7629"/>
    <cellStyle name="Normal 4 4 2 12 5 2" xfId="15854"/>
    <cellStyle name="Normal 4 4 2 12 5 2 2" xfId="32304"/>
    <cellStyle name="Normal 4 4 2 12 5 3" xfId="24079"/>
    <cellStyle name="Normal 4 4 2 12 5 4" xfId="40533"/>
    <cellStyle name="Normal 4 4 2 12 6" xfId="9274"/>
    <cellStyle name="Normal 4 4 2 12 6 2" xfId="25724"/>
    <cellStyle name="Normal 4 4 2 12 7" xfId="17498"/>
    <cellStyle name="Normal 4 4 2 12 8" xfId="33952"/>
    <cellStyle name="Normal 4 4 2 12 9" xfId="42179"/>
    <cellStyle name="Normal 4 4 2 13" xfId="1279"/>
    <cellStyle name="Normal 4 4 2 13 2" xfId="2929"/>
    <cellStyle name="Normal 4 4 2 13 2 2" xfId="11154"/>
    <cellStyle name="Normal 4 4 2 13 2 2 2" xfId="27604"/>
    <cellStyle name="Normal 4 4 2 13 2 3" xfId="19379"/>
    <cellStyle name="Normal 4 4 2 13 2 4" xfId="35833"/>
    <cellStyle name="Normal 4 4 2 13 3" xfId="4574"/>
    <cellStyle name="Normal 4 4 2 13 3 2" xfId="12799"/>
    <cellStyle name="Normal 4 4 2 13 3 2 2" xfId="29249"/>
    <cellStyle name="Normal 4 4 2 13 3 3" xfId="21024"/>
    <cellStyle name="Normal 4 4 2 13 3 4" xfId="37478"/>
    <cellStyle name="Normal 4 4 2 13 4" xfId="6219"/>
    <cellStyle name="Normal 4 4 2 13 4 2" xfId="14444"/>
    <cellStyle name="Normal 4 4 2 13 4 2 2" xfId="30894"/>
    <cellStyle name="Normal 4 4 2 13 4 3" xfId="22669"/>
    <cellStyle name="Normal 4 4 2 13 4 4" xfId="39123"/>
    <cellStyle name="Normal 4 4 2 13 5" xfId="7864"/>
    <cellStyle name="Normal 4 4 2 13 5 2" xfId="16089"/>
    <cellStyle name="Normal 4 4 2 13 5 2 2" xfId="32539"/>
    <cellStyle name="Normal 4 4 2 13 5 3" xfId="24314"/>
    <cellStyle name="Normal 4 4 2 13 5 4" xfId="40768"/>
    <cellStyle name="Normal 4 4 2 13 6" xfId="9509"/>
    <cellStyle name="Normal 4 4 2 13 6 2" xfId="25959"/>
    <cellStyle name="Normal 4 4 2 13 7" xfId="17733"/>
    <cellStyle name="Normal 4 4 2 13 8" xfId="34187"/>
    <cellStyle name="Normal 4 4 2 14" xfId="1514"/>
    <cellStyle name="Normal 4 4 2 14 2" xfId="3164"/>
    <cellStyle name="Normal 4 4 2 14 2 2" xfId="11389"/>
    <cellStyle name="Normal 4 4 2 14 2 2 2" xfId="27839"/>
    <cellStyle name="Normal 4 4 2 14 2 3" xfId="19614"/>
    <cellStyle name="Normal 4 4 2 14 2 4" xfId="36068"/>
    <cellStyle name="Normal 4 4 2 14 3" xfId="4809"/>
    <cellStyle name="Normal 4 4 2 14 3 2" xfId="13034"/>
    <cellStyle name="Normal 4 4 2 14 3 2 2" xfId="29484"/>
    <cellStyle name="Normal 4 4 2 14 3 3" xfId="21259"/>
    <cellStyle name="Normal 4 4 2 14 3 4" xfId="37713"/>
    <cellStyle name="Normal 4 4 2 14 4" xfId="6454"/>
    <cellStyle name="Normal 4 4 2 14 4 2" xfId="14679"/>
    <cellStyle name="Normal 4 4 2 14 4 2 2" xfId="31129"/>
    <cellStyle name="Normal 4 4 2 14 4 3" xfId="22904"/>
    <cellStyle name="Normal 4 4 2 14 4 4" xfId="39358"/>
    <cellStyle name="Normal 4 4 2 14 5" xfId="8099"/>
    <cellStyle name="Normal 4 4 2 14 5 2" xfId="16324"/>
    <cellStyle name="Normal 4 4 2 14 5 2 2" xfId="32774"/>
    <cellStyle name="Normal 4 4 2 14 5 3" xfId="24549"/>
    <cellStyle name="Normal 4 4 2 14 5 4" xfId="41003"/>
    <cellStyle name="Normal 4 4 2 14 6" xfId="9744"/>
    <cellStyle name="Normal 4 4 2 14 6 2" xfId="26194"/>
    <cellStyle name="Normal 4 4 2 14 7" xfId="17968"/>
    <cellStyle name="Normal 4 4 2 14 8" xfId="34422"/>
    <cellStyle name="Normal 4 4 2 15" xfId="1749"/>
    <cellStyle name="Normal 4 4 2 15 2" xfId="9979"/>
    <cellStyle name="Normal 4 4 2 15 2 2" xfId="26429"/>
    <cellStyle name="Normal 4 4 2 15 3" xfId="18203"/>
    <cellStyle name="Normal 4 4 2 15 4" xfId="34657"/>
    <cellStyle name="Normal 4 4 2 16" xfId="3399"/>
    <cellStyle name="Normal 4 4 2 16 2" xfId="11624"/>
    <cellStyle name="Normal 4 4 2 16 2 2" xfId="28074"/>
    <cellStyle name="Normal 4 4 2 16 3" xfId="19849"/>
    <cellStyle name="Normal 4 4 2 16 4" xfId="36303"/>
    <cellStyle name="Normal 4 4 2 17" xfId="5044"/>
    <cellStyle name="Normal 4 4 2 17 2" xfId="13269"/>
    <cellStyle name="Normal 4 4 2 17 2 2" xfId="29719"/>
    <cellStyle name="Normal 4 4 2 17 3" xfId="21494"/>
    <cellStyle name="Normal 4 4 2 17 4" xfId="37948"/>
    <cellStyle name="Normal 4 4 2 18" xfId="6689"/>
    <cellStyle name="Normal 4 4 2 18 2" xfId="14914"/>
    <cellStyle name="Normal 4 4 2 18 2 2" xfId="31364"/>
    <cellStyle name="Normal 4 4 2 18 3" xfId="23139"/>
    <cellStyle name="Normal 4 4 2 18 4" xfId="39593"/>
    <cellStyle name="Normal 4 4 2 19" xfId="8334"/>
    <cellStyle name="Normal 4 4 2 19 2" xfId="24784"/>
    <cellStyle name="Normal 4 4 2 2" xfId="70"/>
    <cellStyle name="Normal 4 4 2 2 10" xfId="3424"/>
    <cellStyle name="Normal 4 4 2 2 10 2" xfId="11649"/>
    <cellStyle name="Normal 4 4 2 2 10 2 2" xfId="28099"/>
    <cellStyle name="Normal 4 4 2 2 10 3" xfId="19874"/>
    <cellStyle name="Normal 4 4 2 2 10 4" xfId="36328"/>
    <cellStyle name="Normal 4 4 2 2 11" xfId="5069"/>
    <cellStyle name="Normal 4 4 2 2 11 2" xfId="13294"/>
    <cellStyle name="Normal 4 4 2 2 11 2 2" xfId="29744"/>
    <cellStyle name="Normal 4 4 2 2 11 3" xfId="21519"/>
    <cellStyle name="Normal 4 4 2 2 11 4" xfId="37973"/>
    <cellStyle name="Normal 4 4 2 2 12" xfId="6714"/>
    <cellStyle name="Normal 4 4 2 2 12 2" xfId="14939"/>
    <cellStyle name="Normal 4 4 2 2 12 2 2" xfId="31389"/>
    <cellStyle name="Normal 4 4 2 2 12 3" xfId="23164"/>
    <cellStyle name="Normal 4 4 2 2 12 4" xfId="39618"/>
    <cellStyle name="Normal 4 4 2 2 13" xfId="8359"/>
    <cellStyle name="Normal 4 4 2 2 13 2" xfId="24809"/>
    <cellStyle name="Normal 4 4 2 2 14" xfId="16583"/>
    <cellStyle name="Normal 4 4 2 2 15" xfId="33036"/>
    <cellStyle name="Normal 4 4 2 2 16" xfId="41264"/>
    <cellStyle name="Normal 4 4 2 2 2" xfId="120"/>
    <cellStyle name="Normal 4 4 2 2 2 10" xfId="5119"/>
    <cellStyle name="Normal 4 4 2 2 2 10 2" xfId="13344"/>
    <cellStyle name="Normal 4 4 2 2 2 10 2 2" xfId="29794"/>
    <cellStyle name="Normal 4 4 2 2 2 10 3" xfId="21569"/>
    <cellStyle name="Normal 4 4 2 2 2 10 4" xfId="38023"/>
    <cellStyle name="Normal 4 4 2 2 2 11" xfId="6764"/>
    <cellStyle name="Normal 4 4 2 2 2 11 2" xfId="14989"/>
    <cellStyle name="Normal 4 4 2 2 2 11 2 2" xfId="31439"/>
    <cellStyle name="Normal 4 4 2 2 2 11 3" xfId="23214"/>
    <cellStyle name="Normal 4 4 2 2 2 11 4" xfId="39668"/>
    <cellStyle name="Normal 4 4 2 2 2 12" xfId="8409"/>
    <cellStyle name="Normal 4 4 2 2 2 12 2" xfId="24859"/>
    <cellStyle name="Normal 4 4 2 2 2 13" xfId="16633"/>
    <cellStyle name="Normal 4 4 2 2 2 14" xfId="33086"/>
    <cellStyle name="Normal 4 4 2 2 2 15" xfId="41314"/>
    <cellStyle name="Normal 4 4 2 2 2 2" xfId="363"/>
    <cellStyle name="Normal 4 4 2 2 2 2 2" xfId="2062"/>
    <cellStyle name="Normal 4 4 2 2 2 2 2 2" xfId="10289"/>
    <cellStyle name="Normal 4 4 2 2 2 2 2 2 2" xfId="26739"/>
    <cellStyle name="Normal 4 4 2 2 2 2 2 3" xfId="18514"/>
    <cellStyle name="Normal 4 4 2 2 2 2 2 4" xfId="34968"/>
    <cellStyle name="Normal 4 4 2 2 2 2 3" xfId="3709"/>
    <cellStyle name="Normal 4 4 2 2 2 2 3 2" xfId="11934"/>
    <cellStyle name="Normal 4 4 2 2 2 2 3 2 2" xfId="28384"/>
    <cellStyle name="Normal 4 4 2 2 2 2 3 3" xfId="20159"/>
    <cellStyle name="Normal 4 4 2 2 2 2 3 4" xfId="36613"/>
    <cellStyle name="Normal 4 4 2 2 2 2 4" xfId="5354"/>
    <cellStyle name="Normal 4 4 2 2 2 2 4 2" xfId="13579"/>
    <cellStyle name="Normal 4 4 2 2 2 2 4 2 2" xfId="30029"/>
    <cellStyle name="Normal 4 4 2 2 2 2 4 3" xfId="21804"/>
    <cellStyle name="Normal 4 4 2 2 2 2 4 4" xfId="38258"/>
    <cellStyle name="Normal 4 4 2 2 2 2 5" xfId="6999"/>
    <cellStyle name="Normal 4 4 2 2 2 2 5 2" xfId="15224"/>
    <cellStyle name="Normal 4 4 2 2 2 2 5 2 2" xfId="31674"/>
    <cellStyle name="Normal 4 4 2 2 2 2 5 3" xfId="23449"/>
    <cellStyle name="Normal 4 4 2 2 2 2 5 4" xfId="39903"/>
    <cellStyle name="Normal 4 4 2 2 2 2 6" xfId="8644"/>
    <cellStyle name="Normal 4 4 2 2 2 2 6 2" xfId="25094"/>
    <cellStyle name="Normal 4 4 2 2 2 2 7" xfId="16868"/>
    <cellStyle name="Normal 4 4 2 2 2 2 8" xfId="33322"/>
    <cellStyle name="Normal 4 4 2 2 2 2 9" xfId="41549"/>
    <cellStyle name="Normal 4 4 2 2 2 3" xfId="604"/>
    <cellStyle name="Normal 4 4 2 2 2 3 2" xfId="2299"/>
    <cellStyle name="Normal 4 4 2 2 2 3 2 2" xfId="10524"/>
    <cellStyle name="Normal 4 4 2 2 2 3 2 2 2" xfId="26974"/>
    <cellStyle name="Normal 4 4 2 2 2 3 2 3" xfId="18749"/>
    <cellStyle name="Normal 4 4 2 2 2 3 2 4" xfId="35203"/>
    <cellStyle name="Normal 4 4 2 2 2 3 3" xfId="3944"/>
    <cellStyle name="Normal 4 4 2 2 2 3 3 2" xfId="12169"/>
    <cellStyle name="Normal 4 4 2 2 2 3 3 2 2" xfId="28619"/>
    <cellStyle name="Normal 4 4 2 2 2 3 3 3" xfId="20394"/>
    <cellStyle name="Normal 4 4 2 2 2 3 3 4" xfId="36848"/>
    <cellStyle name="Normal 4 4 2 2 2 3 4" xfId="5589"/>
    <cellStyle name="Normal 4 4 2 2 2 3 4 2" xfId="13814"/>
    <cellStyle name="Normal 4 4 2 2 2 3 4 2 2" xfId="30264"/>
    <cellStyle name="Normal 4 4 2 2 2 3 4 3" xfId="22039"/>
    <cellStyle name="Normal 4 4 2 2 2 3 4 4" xfId="38493"/>
    <cellStyle name="Normal 4 4 2 2 2 3 5" xfId="7234"/>
    <cellStyle name="Normal 4 4 2 2 2 3 5 2" xfId="15459"/>
    <cellStyle name="Normal 4 4 2 2 2 3 5 2 2" xfId="31909"/>
    <cellStyle name="Normal 4 4 2 2 2 3 5 3" xfId="23684"/>
    <cellStyle name="Normal 4 4 2 2 2 3 5 4" xfId="40138"/>
    <cellStyle name="Normal 4 4 2 2 2 3 6" xfId="8879"/>
    <cellStyle name="Normal 4 4 2 2 2 3 6 2" xfId="25329"/>
    <cellStyle name="Normal 4 4 2 2 2 3 7" xfId="17103"/>
    <cellStyle name="Normal 4 4 2 2 2 3 8" xfId="33557"/>
    <cellStyle name="Normal 4 4 2 2 2 3 9" xfId="41784"/>
    <cellStyle name="Normal 4 4 2 2 2 4" xfId="839"/>
    <cellStyle name="Normal 4 4 2 2 2 4 2" xfId="2534"/>
    <cellStyle name="Normal 4 4 2 2 2 4 2 2" xfId="10759"/>
    <cellStyle name="Normal 4 4 2 2 2 4 2 2 2" xfId="27209"/>
    <cellStyle name="Normal 4 4 2 2 2 4 2 3" xfId="18984"/>
    <cellStyle name="Normal 4 4 2 2 2 4 2 4" xfId="35438"/>
    <cellStyle name="Normal 4 4 2 2 2 4 3" xfId="4179"/>
    <cellStyle name="Normal 4 4 2 2 2 4 3 2" xfId="12404"/>
    <cellStyle name="Normal 4 4 2 2 2 4 3 2 2" xfId="28854"/>
    <cellStyle name="Normal 4 4 2 2 2 4 3 3" xfId="20629"/>
    <cellStyle name="Normal 4 4 2 2 2 4 3 4" xfId="37083"/>
    <cellStyle name="Normal 4 4 2 2 2 4 4" xfId="5824"/>
    <cellStyle name="Normal 4 4 2 2 2 4 4 2" xfId="14049"/>
    <cellStyle name="Normal 4 4 2 2 2 4 4 2 2" xfId="30499"/>
    <cellStyle name="Normal 4 4 2 2 2 4 4 3" xfId="22274"/>
    <cellStyle name="Normal 4 4 2 2 2 4 4 4" xfId="38728"/>
    <cellStyle name="Normal 4 4 2 2 2 4 5" xfId="7469"/>
    <cellStyle name="Normal 4 4 2 2 2 4 5 2" xfId="15694"/>
    <cellStyle name="Normal 4 4 2 2 2 4 5 2 2" xfId="32144"/>
    <cellStyle name="Normal 4 4 2 2 2 4 5 3" xfId="23919"/>
    <cellStyle name="Normal 4 4 2 2 2 4 5 4" xfId="40373"/>
    <cellStyle name="Normal 4 4 2 2 2 4 6" xfId="9114"/>
    <cellStyle name="Normal 4 4 2 2 2 4 6 2" xfId="25564"/>
    <cellStyle name="Normal 4 4 2 2 2 4 7" xfId="17338"/>
    <cellStyle name="Normal 4 4 2 2 2 4 8" xfId="33792"/>
    <cellStyle name="Normal 4 4 2 2 2 4 9" xfId="42019"/>
    <cellStyle name="Normal 4 4 2 2 2 5" xfId="1074"/>
    <cellStyle name="Normal 4 4 2 2 2 5 2" xfId="2769"/>
    <cellStyle name="Normal 4 4 2 2 2 5 2 2" xfId="10994"/>
    <cellStyle name="Normal 4 4 2 2 2 5 2 2 2" xfId="27444"/>
    <cellStyle name="Normal 4 4 2 2 2 5 2 3" xfId="19219"/>
    <cellStyle name="Normal 4 4 2 2 2 5 2 4" xfId="35673"/>
    <cellStyle name="Normal 4 4 2 2 2 5 3" xfId="4414"/>
    <cellStyle name="Normal 4 4 2 2 2 5 3 2" xfId="12639"/>
    <cellStyle name="Normal 4 4 2 2 2 5 3 2 2" xfId="29089"/>
    <cellStyle name="Normal 4 4 2 2 2 5 3 3" xfId="20864"/>
    <cellStyle name="Normal 4 4 2 2 2 5 3 4" xfId="37318"/>
    <cellStyle name="Normal 4 4 2 2 2 5 4" xfId="6059"/>
    <cellStyle name="Normal 4 4 2 2 2 5 4 2" xfId="14284"/>
    <cellStyle name="Normal 4 4 2 2 2 5 4 2 2" xfId="30734"/>
    <cellStyle name="Normal 4 4 2 2 2 5 4 3" xfId="22509"/>
    <cellStyle name="Normal 4 4 2 2 2 5 4 4" xfId="38963"/>
    <cellStyle name="Normal 4 4 2 2 2 5 5" xfId="7704"/>
    <cellStyle name="Normal 4 4 2 2 2 5 5 2" xfId="15929"/>
    <cellStyle name="Normal 4 4 2 2 2 5 5 2 2" xfId="32379"/>
    <cellStyle name="Normal 4 4 2 2 2 5 5 3" xfId="24154"/>
    <cellStyle name="Normal 4 4 2 2 2 5 5 4" xfId="40608"/>
    <cellStyle name="Normal 4 4 2 2 2 5 6" xfId="9349"/>
    <cellStyle name="Normal 4 4 2 2 2 5 6 2" xfId="25799"/>
    <cellStyle name="Normal 4 4 2 2 2 5 7" xfId="17573"/>
    <cellStyle name="Normal 4 4 2 2 2 5 8" xfId="34027"/>
    <cellStyle name="Normal 4 4 2 2 2 5 9" xfId="42254"/>
    <cellStyle name="Normal 4 4 2 2 2 6" xfId="1354"/>
    <cellStyle name="Normal 4 4 2 2 2 6 2" xfId="3004"/>
    <cellStyle name="Normal 4 4 2 2 2 6 2 2" xfId="11229"/>
    <cellStyle name="Normal 4 4 2 2 2 6 2 2 2" xfId="27679"/>
    <cellStyle name="Normal 4 4 2 2 2 6 2 3" xfId="19454"/>
    <cellStyle name="Normal 4 4 2 2 2 6 2 4" xfId="35908"/>
    <cellStyle name="Normal 4 4 2 2 2 6 3" xfId="4649"/>
    <cellStyle name="Normal 4 4 2 2 2 6 3 2" xfId="12874"/>
    <cellStyle name="Normal 4 4 2 2 2 6 3 2 2" xfId="29324"/>
    <cellStyle name="Normal 4 4 2 2 2 6 3 3" xfId="21099"/>
    <cellStyle name="Normal 4 4 2 2 2 6 3 4" xfId="37553"/>
    <cellStyle name="Normal 4 4 2 2 2 6 4" xfId="6294"/>
    <cellStyle name="Normal 4 4 2 2 2 6 4 2" xfId="14519"/>
    <cellStyle name="Normal 4 4 2 2 2 6 4 2 2" xfId="30969"/>
    <cellStyle name="Normal 4 4 2 2 2 6 4 3" xfId="22744"/>
    <cellStyle name="Normal 4 4 2 2 2 6 4 4" xfId="39198"/>
    <cellStyle name="Normal 4 4 2 2 2 6 5" xfId="7939"/>
    <cellStyle name="Normal 4 4 2 2 2 6 5 2" xfId="16164"/>
    <cellStyle name="Normal 4 4 2 2 2 6 5 2 2" xfId="32614"/>
    <cellStyle name="Normal 4 4 2 2 2 6 5 3" xfId="24389"/>
    <cellStyle name="Normal 4 4 2 2 2 6 5 4" xfId="40843"/>
    <cellStyle name="Normal 4 4 2 2 2 6 6" xfId="9584"/>
    <cellStyle name="Normal 4 4 2 2 2 6 6 2" xfId="26034"/>
    <cellStyle name="Normal 4 4 2 2 2 6 7" xfId="17808"/>
    <cellStyle name="Normal 4 4 2 2 2 6 8" xfId="34262"/>
    <cellStyle name="Normal 4 4 2 2 2 7" xfId="1589"/>
    <cellStyle name="Normal 4 4 2 2 2 7 2" xfId="3239"/>
    <cellStyle name="Normal 4 4 2 2 2 7 2 2" xfId="11464"/>
    <cellStyle name="Normal 4 4 2 2 2 7 2 2 2" xfId="27914"/>
    <cellStyle name="Normal 4 4 2 2 2 7 2 3" xfId="19689"/>
    <cellStyle name="Normal 4 4 2 2 2 7 2 4" xfId="36143"/>
    <cellStyle name="Normal 4 4 2 2 2 7 3" xfId="4884"/>
    <cellStyle name="Normal 4 4 2 2 2 7 3 2" xfId="13109"/>
    <cellStyle name="Normal 4 4 2 2 2 7 3 2 2" xfId="29559"/>
    <cellStyle name="Normal 4 4 2 2 2 7 3 3" xfId="21334"/>
    <cellStyle name="Normal 4 4 2 2 2 7 3 4" xfId="37788"/>
    <cellStyle name="Normal 4 4 2 2 2 7 4" xfId="6529"/>
    <cellStyle name="Normal 4 4 2 2 2 7 4 2" xfId="14754"/>
    <cellStyle name="Normal 4 4 2 2 2 7 4 2 2" xfId="31204"/>
    <cellStyle name="Normal 4 4 2 2 2 7 4 3" xfId="22979"/>
    <cellStyle name="Normal 4 4 2 2 2 7 4 4" xfId="39433"/>
    <cellStyle name="Normal 4 4 2 2 2 7 5" xfId="8174"/>
    <cellStyle name="Normal 4 4 2 2 2 7 5 2" xfId="16399"/>
    <cellStyle name="Normal 4 4 2 2 2 7 5 2 2" xfId="32849"/>
    <cellStyle name="Normal 4 4 2 2 2 7 5 3" xfId="24624"/>
    <cellStyle name="Normal 4 4 2 2 2 7 5 4" xfId="41078"/>
    <cellStyle name="Normal 4 4 2 2 2 7 6" xfId="9819"/>
    <cellStyle name="Normal 4 4 2 2 2 7 6 2" xfId="26269"/>
    <cellStyle name="Normal 4 4 2 2 2 7 7" xfId="18043"/>
    <cellStyle name="Normal 4 4 2 2 2 7 8" xfId="34497"/>
    <cellStyle name="Normal 4 4 2 2 2 8" xfId="1824"/>
    <cellStyle name="Normal 4 4 2 2 2 8 2" xfId="10054"/>
    <cellStyle name="Normal 4 4 2 2 2 8 2 2" xfId="26504"/>
    <cellStyle name="Normal 4 4 2 2 2 8 3" xfId="18278"/>
    <cellStyle name="Normal 4 4 2 2 2 8 4" xfId="34732"/>
    <cellStyle name="Normal 4 4 2 2 2 9" xfId="3474"/>
    <cellStyle name="Normal 4 4 2 2 2 9 2" xfId="11699"/>
    <cellStyle name="Normal 4 4 2 2 2 9 2 2" xfId="28149"/>
    <cellStyle name="Normal 4 4 2 2 2 9 3" xfId="19924"/>
    <cellStyle name="Normal 4 4 2 2 2 9 4" xfId="36378"/>
    <cellStyle name="Normal 4 4 2 2 3" xfId="313"/>
    <cellStyle name="Normal 4 4 2 2 3 2" xfId="2012"/>
    <cellStyle name="Normal 4 4 2 2 3 2 2" xfId="10239"/>
    <cellStyle name="Normal 4 4 2 2 3 2 2 2" xfId="26689"/>
    <cellStyle name="Normal 4 4 2 2 3 2 3" xfId="18464"/>
    <cellStyle name="Normal 4 4 2 2 3 2 4" xfId="34918"/>
    <cellStyle name="Normal 4 4 2 2 3 3" xfId="3659"/>
    <cellStyle name="Normal 4 4 2 2 3 3 2" xfId="11884"/>
    <cellStyle name="Normal 4 4 2 2 3 3 2 2" xfId="28334"/>
    <cellStyle name="Normal 4 4 2 2 3 3 3" xfId="20109"/>
    <cellStyle name="Normal 4 4 2 2 3 3 4" xfId="36563"/>
    <cellStyle name="Normal 4 4 2 2 3 4" xfId="5304"/>
    <cellStyle name="Normal 4 4 2 2 3 4 2" xfId="13529"/>
    <cellStyle name="Normal 4 4 2 2 3 4 2 2" xfId="29979"/>
    <cellStyle name="Normal 4 4 2 2 3 4 3" xfId="21754"/>
    <cellStyle name="Normal 4 4 2 2 3 4 4" xfId="38208"/>
    <cellStyle name="Normal 4 4 2 2 3 5" xfId="6949"/>
    <cellStyle name="Normal 4 4 2 2 3 5 2" xfId="15174"/>
    <cellStyle name="Normal 4 4 2 2 3 5 2 2" xfId="31624"/>
    <cellStyle name="Normal 4 4 2 2 3 5 3" xfId="23399"/>
    <cellStyle name="Normal 4 4 2 2 3 5 4" xfId="39853"/>
    <cellStyle name="Normal 4 4 2 2 3 6" xfId="8594"/>
    <cellStyle name="Normal 4 4 2 2 3 6 2" xfId="25044"/>
    <cellStyle name="Normal 4 4 2 2 3 7" xfId="16818"/>
    <cellStyle name="Normal 4 4 2 2 3 8" xfId="33272"/>
    <cellStyle name="Normal 4 4 2 2 3 9" xfId="41499"/>
    <cellStyle name="Normal 4 4 2 2 4" xfId="554"/>
    <cellStyle name="Normal 4 4 2 2 4 2" xfId="2249"/>
    <cellStyle name="Normal 4 4 2 2 4 2 2" xfId="10474"/>
    <cellStyle name="Normal 4 4 2 2 4 2 2 2" xfId="26924"/>
    <cellStyle name="Normal 4 4 2 2 4 2 3" xfId="18699"/>
    <cellStyle name="Normal 4 4 2 2 4 2 4" xfId="35153"/>
    <cellStyle name="Normal 4 4 2 2 4 3" xfId="3894"/>
    <cellStyle name="Normal 4 4 2 2 4 3 2" xfId="12119"/>
    <cellStyle name="Normal 4 4 2 2 4 3 2 2" xfId="28569"/>
    <cellStyle name="Normal 4 4 2 2 4 3 3" xfId="20344"/>
    <cellStyle name="Normal 4 4 2 2 4 3 4" xfId="36798"/>
    <cellStyle name="Normal 4 4 2 2 4 4" xfId="5539"/>
    <cellStyle name="Normal 4 4 2 2 4 4 2" xfId="13764"/>
    <cellStyle name="Normal 4 4 2 2 4 4 2 2" xfId="30214"/>
    <cellStyle name="Normal 4 4 2 2 4 4 3" xfId="21989"/>
    <cellStyle name="Normal 4 4 2 2 4 4 4" xfId="38443"/>
    <cellStyle name="Normal 4 4 2 2 4 5" xfId="7184"/>
    <cellStyle name="Normal 4 4 2 2 4 5 2" xfId="15409"/>
    <cellStyle name="Normal 4 4 2 2 4 5 2 2" xfId="31859"/>
    <cellStyle name="Normal 4 4 2 2 4 5 3" xfId="23634"/>
    <cellStyle name="Normal 4 4 2 2 4 5 4" xfId="40088"/>
    <cellStyle name="Normal 4 4 2 2 4 6" xfId="8829"/>
    <cellStyle name="Normal 4 4 2 2 4 6 2" xfId="25279"/>
    <cellStyle name="Normal 4 4 2 2 4 7" xfId="17053"/>
    <cellStyle name="Normal 4 4 2 2 4 8" xfId="33507"/>
    <cellStyle name="Normal 4 4 2 2 4 9" xfId="41734"/>
    <cellStyle name="Normal 4 4 2 2 5" xfId="789"/>
    <cellStyle name="Normal 4 4 2 2 5 2" xfId="2484"/>
    <cellStyle name="Normal 4 4 2 2 5 2 2" xfId="10709"/>
    <cellStyle name="Normal 4 4 2 2 5 2 2 2" xfId="27159"/>
    <cellStyle name="Normal 4 4 2 2 5 2 3" xfId="18934"/>
    <cellStyle name="Normal 4 4 2 2 5 2 4" xfId="35388"/>
    <cellStyle name="Normal 4 4 2 2 5 3" xfId="4129"/>
    <cellStyle name="Normal 4 4 2 2 5 3 2" xfId="12354"/>
    <cellStyle name="Normal 4 4 2 2 5 3 2 2" xfId="28804"/>
    <cellStyle name="Normal 4 4 2 2 5 3 3" xfId="20579"/>
    <cellStyle name="Normal 4 4 2 2 5 3 4" xfId="37033"/>
    <cellStyle name="Normal 4 4 2 2 5 4" xfId="5774"/>
    <cellStyle name="Normal 4 4 2 2 5 4 2" xfId="13999"/>
    <cellStyle name="Normal 4 4 2 2 5 4 2 2" xfId="30449"/>
    <cellStyle name="Normal 4 4 2 2 5 4 3" xfId="22224"/>
    <cellStyle name="Normal 4 4 2 2 5 4 4" xfId="38678"/>
    <cellStyle name="Normal 4 4 2 2 5 5" xfId="7419"/>
    <cellStyle name="Normal 4 4 2 2 5 5 2" xfId="15644"/>
    <cellStyle name="Normal 4 4 2 2 5 5 2 2" xfId="32094"/>
    <cellStyle name="Normal 4 4 2 2 5 5 3" xfId="23869"/>
    <cellStyle name="Normal 4 4 2 2 5 5 4" xfId="40323"/>
    <cellStyle name="Normal 4 4 2 2 5 6" xfId="9064"/>
    <cellStyle name="Normal 4 4 2 2 5 6 2" xfId="25514"/>
    <cellStyle name="Normal 4 4 2 2 5 7" xfId="17288"/>
    <cellStyle name="Normal 4 4 2 2 5 8" xfId="33742"/>
    <cellStyle name="Normal 4 4 2 2 5 9" xfId="41969"/>
    <cellStyle name="Normal 4 4 2 2 6" xfId="1024"/>
    <cellStyle name="Normal 4 4 2 2 6 2" xfId="2719"/>
    <cellStyle name="Normal 4 4 2 2 6 2 2" xfId="10944"/>
    <cellStyle name="Normal 4 4 2 2 6 2 2 2" xfId="27394"/>
    <cellStyle name="Normal 4 4 2 2 6 2 3" xfId="19169"/>
    <cellStyle name="Normal 4 4 2 2 6 2 4" xfId="35623"/>
    <cellStyle name="Normal 4 4 2 2 6 3" xfId="4364"/>
    <cellStyle name="Normal 4 4 2 2 6 3 2" xfId="12589"/>
    <cellStyle name="Normal 4 4 2 2 6 3 2 2" xfId="29039"/>
    <cellStyle name="Normal 4 4 2 2 6 3 3" xfId="20814"/>
    <cellStyle name="Normal 4 4 2 2 6 3 4" xfId="37268"/>
    <cellStyle name="Normal 4 4 2 2 6 4" xfId="6009"/>
    <cellStyle name="Normal 4 4 2 2 6 4 2" xfId="14234"/>
    <cellStyle name="Normal 4 4 2 2 6 4 2 2" xfId="30684"/>
    <cellStyle name="Normal 4 4 2 2 6 4 3" xfId="22459"/>
    <cellStyle name="Normal 4 4 2 2 6 4 4" xfId="38913"/>
    <cellStyle name="Normal 4 4 2 2 6 5" xfId="7654"/>
    <cellStyle name="Normal 4 4 2 2 6 5 2" xfId="15879"/>
    <cellStyle name="Normal 4 4 2 2 6 5 2 2" xfId="32329"/>
    <cellStyle name="Normal 4 4 2 2 6 5 3" xfId="24104"/>
    <cellStyle name="Normal 4 4 2 2 6 5 4" xfId="40558"/>
    <cellStyle name="Normal 4 4 2 2 6 6" xfId="9299"/>
    <cellStyle name="Normal 4 4 2 2 6 6 2" xfId="25749"/>
    <cellStyle name="Normal 4 4 2 2 6 7" xfId="17523"/>
    <cellStyle name="Normal 4 4 2 2 6 8" xfId="33977"/>
    <cellStyle name="Normal 4 4 2 2 6 9" xfId="42204"/>
    <cellStyle name="Normal 4 4 2 2 7" xfId="1304"/>
    <cellStyle name="Normal 4 4 2 2 7 2" xfId="2954"/>
    <cellStyle name="Normal 4 4 2 2 7 2 2" xfId="11179"/>
    <cellStyle name="Normal 4 4 2 2 7 2 2 2" xfId="27629"/>
    <cellStyle name="Normal 4 4 2 2 7 2 3" xfId="19404"/>
    <cellStyle name="Normal 4 4 2 2 7 2 4" xfId="35858"/>
    <cellStyle name="Normal 4 4 2 2 7 3" xfId="4599"/>
    <cellStyle name="Normal 4 4 2 2 7 3 2" xfId="12824"/>
    <cellStyle name="Normal 4 4 2 2 7 3 2 2" xfId="29274"/>
    <cellStyle name="Normal 4 4 2 2 7 3 3" xfId="21049"/>
    <cellStyle name="Normal 4 4 2 2 7 3 4" xfId="37503"/>
    <cellStyle name="Normal 4 4 2 2 7 4" xfId="6244"/>
    <cellStyle name="Normal 4 4 2 2 7 4 2" xfId="14469"/>
    <cellStyle name="Normal 4 4 2 2 7 4 2 2" xfId="30919"/>
    <cellStyle name="Normal 4 4 2 2 7 4 3" xfId="22694"/>
    <cellStyle name="Normal 4 4 2 2 7 4 4" xfId="39148"/>
    <cellStyle name="Normal 4 4 2 2 7 5" xfId="7889"/>
    <cellStyle name="Normal 4 4 2 2 7 5 2" xfId="16114"/>
    <cellStyle name="Normal 4 4 2 2 7 5 2 2" xfId="32564"/>
    <cellStyle name="Normal 4 4 2 2 7 5 3" xfId="24339"/>
    <cellStyle name="Normal 4 4 2 2 7 5 4" xfId="40793"/>
    <cellStyle name="Normal 4 4 2 2 7 6" xfId="9534"/>
    <cellStyle name="Normal 4 4 2 2 7 6 2" xfId="25984"/>
    <cellStyle name="Normal 4 4 2 2 7 7" xfId="17758"/>
    <cellStyle name="Normal 4 4 2 2 7 8" xfId="34212"/>
    <cellStyle name="Normal 4 4 2 2 8" xfId="1539"/>
    <cellStyle name="Normal 4 4 2 2 8 2" xfId="3189"/>
    <cellStyle name="Normal 4 4 2 2 8 2 2" xfId="11414"/>
    <cellStyle name="Normal 4 4 2 2 8 2 2 2" xfId="27864"/>
    <cellStyle name="Normal 4 4 2 2 8 2 3" xfId="19639"/>
    <cellStyle name="Normal 4 4 2 2 8 2 4" xfId="36093"/>
    <cellStyle name="Normal 4 4 2 2 8 3" xfId="4834"/>
    <cellStyle name="Normal 4 4 2 2 8 3 2" xfId="13059"/>
    <cellStyle name="Normal 4 4 2 2 8 3 2 2" xfId="29509"/>
    <cellStyle name="Normal 4 4 2 2 8 3 3" xfId="21284"/>
    <cellStyle name="Normal 4 4 2 2 8 3 4" xfId="37738"/>
    <cellStyle name="Normal 4 4 2 2 8 4" xfId="6479"/>
    <cellStyle name="Normal 4 4 2 2 8 4 2" xfId="14704"/>
    <cellStyle name="Normal 4 4 2 2 8 4 2 2" xfId="31154"/>
    <cellStyle name="Normal 4 4 2 2 8 4 3" xfId="22929"/>
    <cellStyle name="Normal 4 4 2 2 8 4 4" xfId="39383"/>
    <cellStyle name="Normal 4 4 2 2 8 5" xfId="8124"/>
    <cellStyle name="Normal 4 4 2 2 8 5 2" xfId="16349"/>
    <cellStyle name="Normal 4 4 2 2 8 5 2 2" xfId="32799"/>
    <cellStyle name="Normal 4 4 2 2 8 5 3" xfId="24574"/>
    <cellStyle name="Normal 4 4 2 2 8 5 4" xfId="41028"/>
    <cellStyle name="Normal 4 4 2 2 8 6" xfId="9769"/>
    <cellStyle name="Normal 4 4 2 2 8 6 2" xfId="26219"/>
    <cellStyle name="Normal 4 4 2 2 8 7" xfId="17993"/>
    <cellStyle name="Normal 4 4 2 2 8 8" xfId="34447"/>
    <cellStyle name="Normal 4 4 2 2 9" xfId="1774"/>
    <cellStyle name="Normal 4 4 2 2 9 2" xfId="10004"/>
    <cellStyle name="Normal 4 4 2 2 9 2 2" xfId="26454"/>
    <cellStyle name="Normal 4 4 2 2 9 3" xfId="18228"/>
    <cellStyle name="Normal 4 4 2 2 9 4" xfId="34682"/>
    <cellStyle name="Normal 4 4 2 20" xfId="16558"/>
    <cellStyle name="Normal 4 4 2 21" xfId="33011"/>
    <cellStyle name="Normal 4 4 2 22" xfId="41239"/>
    <cellStyle name="Normal 4 4 2 3" xfId="95"/>
    <cellStyle name="Normal 4 4 2 3 10" xfId="5094"/>
    <cellStyle name="Normal 4 4 2 3 10 2" xfId="13319"/>
    <cellStyle name="Normal 4 4 2 3 10 2 2" xfId="29769"/>
    <cellStyle name="Normal 4 4 2 3 10 3" xfId="21544"/>
    <cellStyle name="Normal 4 4 2 3 10 4" xfId="37998"/>
    <cellStyle name="Normal 4 4 2 3 11" xfId="6739"/>
    <cellStyle name="Normal 4 4 2 3 11 2" xfId="14964"/>
    <cellStyle name="Normal 4 4 2 3 11 2 2" xfId="31414"/>
    <cellStyle name="Normal 4 4 2 3 11 3" xfId="23189"/>
    <cellStyle name="Normal 4 4 2 3 11 4" xfId="39643"/>
    <cellStyle name="Normal 4 4 2 3 12" xfId="8384"/>
    <cellStyle name="Normal 4 4 2 3 12 2" xfId="24834"/>
    <cellStyle name="Normal 4 4 2 3 13" xfId="16608"/>
    <cellStyle name="Normal 4 4 2 3 14" xfId="33061"/>
    <cellStyle name="Normal 4 4 2 3 15" xfId="41289"/>
    <cellStyle name="Normal 4 4 2 3 2" xfId="338"/>
    <cellStyle name="Normal 4 4 2 3 2 2" xfId="2037"/>
    <cellStyle name="Normal 4 4 2 3 2 2 2" xfId="10264"/>
    <cellStyle name="Normal 4 4 2 3 2 2 2 2" xfId="26714"/>
    <cellStyle name="Normal 4 4 2 3 2 2 3" xfId="18489"/>
    <cellStyle name="Normal 4 4 2 3 2 2 4" xfId="34943"/>
    <cellStyle name="Normal 4 4 2 3 2 3" xfId="3684"/>
    <cellStyle name="Normal 4 4 2 3 2 3 2" xfId="11909"/>
    <cellStyle name="Normal 4 4 2 3 2 3 2 2" xfId="28359"/>
    <cellStyle name="Normal 4 4 2 3 2 3 3" xfId="20134"/>
    <cellStyle name="Normal 4 4 2 3 2 3 4" xfId="36588"/>
    <cellStyle name="Normal 4 4 2 3 2 4" xfId="5329"/>
    <cellStyle name="Normal 4 4 2 3 2 4 2" xfId="13554"/>
    <cellStyle name="Normal 4 4 2 3 2 4 2 2" xfId="30004"/>
    <cellStyle name="Normal 4 4 2 3 2 4 3" xfId="21779"/>
    <cellStyle name="Normal 4 4 2 3 2 4 4" xfId="38233"/>
    <cellStyle name="Normal 4 4 2 3 2 5" xfId="6974"/>
    <cellStyle name="Normal 4 4 2 3 2 5 2" xfId="15199"/>
    <cellStyle name="Normal 4 4 2 3 2 5 2 2" xfId="31649"/>
    <cellStyle name="Normal 4 4 2 3 2 5 3" xfId="23424"/>
    <cellStyle name="Normal 4 4 2 3 2 5 4" xfId="39878"/>
    <cellStyle name="Normal 4 4 2 3 2 6" xfId="8619"/>
    <cellStyle name="Normal 4 4 2 3 2 6 2" xfId="25069"/>
    <cellStyle name="Normal 4 4 2 3 2 7" xfId="16843"/>
    <cellStyle name="Normal 4 4 2 3 2 8" xfId="33297"/>
    <cellStyle name="Normal 4 4 2 3 2 9" xfId="41524"/>
    <cellStyle name="Normal 4 4 2 3 3" xfId="579"/>
    <cellStyle name="Normal 4 4 2 3 3 2" xfId="2274"/>
    <cellStyle name="Normal 4 4 2 3 3 2 2" xfId="10499"/>
    <cellStyle name="Normal 4 4 2 3 3 2 2 2" xfId="26949"/>
    <cellStyle name="Normal 4 4 2 3 3 2 3" xfId="18724"/>
    <cellStyle name="Normal 4 4 2 3 3 2 4" xfId="35178"/>
    <cellStyle name="Normal 4 4 2 3 3 3" xfId="3919"/>
    <cellStyle name="Normal 4 4 2 3 3 3 2" xfId="12144"/>
    <cellStyle name="Normal 4 4 2 3 3 3 2 2" xfId="28594"/>
    <cellStyle name="Normal 4 4 2 3 3 3 3" xfId="20369"/>
    <cellStyle name="Normal 4 4 2 3 3 3 4" xfId="36823"/>
    <cellStyle name="Normal 4 4 2 3 3 4" xfId="5564"/>
    <cellStyle name="Normal 4 4 2 3 3 4 2" xfId="13789"/>
    <cellStyle name="Normal 4 4 2 3 3 4 2 2" xfId="30239"/>
    <cellStyle name="Normal 4 4 2 3 3 4 3" xfId="22014"/>
    <cellStyle name="Normal 4 4 2 3 3 4 4" xfId="38468"/>
    <cellStyle name="Normal 4 4 2 3 3 5" xfId="7209"/>
    <cellStyle name="Normal 4 4 2 3 3 5 2" xfId="15434"/>
    <cellStyle name="Normal 4 4 2 3 3 5 2 2" xfId="31884"/>
    <cellStyle name="Normal 4 4 2 3 3 5 3" xfId="23659"/>
    <cellStyle name="Normal 4 4 2 3 3 5 4" xfId="40113"/>
    <cellStyle name="Normal 4 4 2 3 3 6" xfId="8854"/>
    <cellStyle name="Normal 4 4 2 3 3 6 2" xfId="25304"/>
    <cellStyle name="Normal 4 4 2 3 3 7" xfId="17078"/>
    <cellStyle name="Normal 4 4 2 3 3 8" xfId="33532"/>
    <cellStyle name="Normal 4 4 2 3 3 9" xfId="41759"/>
    <cellStyle name="Normal 4 4 2 3 4" xfId="814"/>
    <cellStyle name="Normal 4 4 2 3 4 2" xfId="2509"/>
    <cellStyle name="Normal 4 4 2 3 4 2 2" xfId="10734"/>
    <cellStyle name="Normal 4 4 2 3 4 2 2 2" xfId="27184"/>
    <cellStyle name="Normal 4 4 2 3 4 2 3" xfId="18959"/>
    <cellStyle name="Normal 4 4 2 3 4 2 4" xfId="35413"/>
    <cellStyle name="Normal 4 4 2 3 4 3" xfId="4154"/>
    <cellStyle name="Normal 4 4 2 3 4 3 2" xfId="12379"/>
    <cellStyle name="Normal 4 4 2 3 4 3 2 2" xfId="28829"/>
    <cellStyle name="Normal 4 4 2 3 4 3 3" xfId="20604"/>
    <cellStyle name="Normal 4 4 2 3 4 3 4" xfId="37058"/>
    <cellStyle name="Normal 4 4 2 3 4 4" xfId="5799"/>
    <cellStyle name="Normal 4 4 2 3 4 4 2" xfId="14024"/>
    <cellStyle name="Normal 4 4 2 3 4 4 2 2" xfId="30474"/>
    <cellStyle name="Normal 4 4 2 3 4 4 3" xfId="22249"/>
    <cellStyle name="Normal 4 4 2 3 4 4 4" xfId="38703"/>
    <cellStyle name="Normal 4 4 2 3 4 5" xfId="7444"/>
    <cellStyle name="Normal 4 4 2 3 4 5 2" xfId="15669"/>
    <cellStyle name="Normal 4 4 2 3 4 5 2 2" xfId="32119"/>
    <cellStyle name="Normal 4 4 2 3 4 5 3" xfId="23894"/>
    <cellStyle name="Normal 4 4 2 3 4 5 4" xfId="40348"/>
    <cellStyle name="Normal 4 4 2 3 4 6" xfId="9089"/>
    <cellStyle name="Normal 4 4 2 3 4 6 2" xfId="25539"/>
    <cellStyle name="Normal 4 4 2 3 4 7" xfId="17313"/>
    <cellStyle name="Normal 4 4 2 3 4 8" xfId="33767"/>
    <cellStyle name="Normal 4 4 2 3 4 9" xfId="41994"/>
    <cellStyle name="Normal 4 4 2 3 5" xfId="1049"/>
    <cellStyle name="Normal 4 4 2 3 5 2" xfId="2744"/>
    <cellStyle name="Normal 4 4 2 3 5 2 2" xfId="10969"/>
    <cellStyle name="Normal 4 4 2 3 5 2 2 2" xfId="27419"/>
    <cellStyle name="Normal 4 4 2 3 5 2 3" xfId="19194"/>
    <cellStyle name="Normal 4 4 2 3 5 2 4" xfId="35648"/>
    <cellStyle name="Normal 4 4 2 3 5 3" xfId="4389"/>
    <cellStyle name="Normal 4 4 2 3 5 3 2" xfId="12614"/>
    <cellStyle name="Normal 4 4 2 3 5 3 2 2" xfId="29064"/>
    <cellStyle name="Normal 4 4 2 3 5 3 3" xfId="20839"/>
    <cellStyle name="Normal 4 4 2 3 5 3 4" xfId="37293"/>
    <cellStyle name="Normal 4 4 2 3 5 4" xfId="6034"/>
    <cellStyle name="Normal 4 4 2 3 5 4 2" xfId="14259"/>
    <cellStyle name="Normal 4 4 2 3 5 4 2 2" xfId="30709"/>
    <cellStyle name="Normal 4 4 2 3 5 4 3" xfId="22484"/>
    <cellStyle name="Normal 4 4 2 3 5 4 4" xfId="38938"/>
    <cellStyle name="Normal 4 4 2 3 5 5" xfId="7679"/>
    <cellStyle name="Normal 4 4 2 3 5 5 2" xfId="15904"/>
    <cellStyle name="Normal 4 4 2 3 5 5 2 2" xfId="32354"/>
    <cellStyle name="Normal 4 4 2 3 5 5 3" xfId="24129"/>
    <cellStyle name="Normal 4 4 2 3 5 5 4" xfId="40583"/>
    <cellStyle name="Normal 4 4 2 3 5 6" xfId="9324"/>
    <cellStyle name="Normal 4 4 2 3 5 6 2" xfId="25774"/>
    <cellStyle name="Normal 4 4 2 3 5 7" xfId="17548"/>
    <cellStyle name="Normal 4 4 2 3 5 8" xfId="34002"/>
    <cellStyle name="Normal 4 4 2 3 5 9" xfId="42229"/>
    <cellStyle name="Normal 4 4 2 3 6" xfId="1329"/>
    <cellStyle name="Normal 4 4 2 3 6 2" xfId="2979"/>
    <cellStyle name="Normal 4 4 2 3 6 2 2" xfId="11204"/>
    <cellStyle name="Normal 4 4 2 3 6 2 2 2" xfId="27654"/>
    <cellStyle name="Normal 4 4 2 3 6 2 3" xfId="19429"/>
    <cellStyle name="Normal 4 4 2 3 6 2 4" xfId="35883"/>
    <cellStyle name="Normal 4 4 2 3 6 3" xfId="4624"/>
    <cellStyle name="Normal 4 4 2 3 6 3 2" xfId="12849"/>
    <cellStyle name="Normal 4 4 2 3 6 3 2 2" xfId="29299"/>
    <cellStyle name="Normal 4 4 2 3 6 3 3" xfId="21074"/>
    <cellStyle name="Normal 4 4 2 3 6 3 4" xfId="37528"/>
    <cellStyle name="Normal 4 4 2 3 6 4" xfId="6269"/>
    <cellStyle name="Normal 4 4 2 3 6 4 2" xfId="14494"/>
    <cellStyle name="Normal 4 4 2 3 6 4 2 2" xfId="30944"/>
    <cellStyle name="Normal 4 4 2 3 6 4 3" xfId="22719"/>
    <cellStyle name="Normal 4 4 2 3 6 4 4" xfId="39173"/>
    <cellStyle name="Normal 4 4 2 3 6 5" xfId="7914"/>
    <cellStyle name="Normal 4 4 2 3 6 5 2" xfId="16139"/>
    <cellStyle name="Normal 4 4 2 3 6 5 2 2" xfId="32589"/>
    <cellStyle name="Normal 4 4 2 3 6 5 3" xfId="24364"/>
    <cellStyle name="Normal 4 4 2 3 6 5 4" xfId="40818"/>
    <cellStyle name="Normal 4 4 2 3 6 6" xfId="9559"/>
    <cellStyle name="Normal 4 4 2 3 6 6 2" xfId="26009"/>
    <cellStyle name="Normal 4 4 2 3 6 7" xfId="17783"/>
    <cellStyle name="Normal 4 4 2 3 6 8" xfId="34237"/>
    <cellStyle name="Normal 4 4 2 3 7" xfId="1564"/>
    <cellStyle name="Normal 4 4 2 3 7 2" xfId="3214"/>
    <cellStyle name="Normal 4 4 2 3 7 2 2" xfId="11439"/>
    <cellStyle name="Normal 4 4 2 3 7 2 2 2" xfId="27889"/>
    <cellStyle name="Normal 4 4 2 3 7 2 3" xfId="19664"/>
    <cellStyle name="Normal 4 4 2 3 7 2 4" xfId="36118"/>
    <cellStyle name="Normal 4 4 2 3 7 3" xfId="4859"/>
    <cellStyle name="Normal 4 4 2 3 7 3 2" xfId="13084"/>
    <cellStyle name="Normal 4 4 2 3 7 3 2 2" xfId="29534"/>
    <cellStyle name="Normal 4 4 2 3 7 3 3" xfId="21309"/>
    <cellStyle name="Normal 4 4 2 3 7 3 4" xfId="37763"/>
    <cellStyle name="Normal 4 4 2 3 7 4" xfId="6504"/>
    <cellStyle name="Normal 4 4 2 3 7 4 2" xfId="14729"/>
    <cellStyle name="Normal 4 4 2 3 7 4 2 2" xfId="31179"/>
    <cellStyle name="Normal 4 4 2 3 7 4 3" xfId="22954"/>
    <cellStyle name="Normal 4 4 2 3 7 4 4" xfId="39408"/>
    <cellStyle name="Normal 4 4 2 3 7 5" xfId="8149"/>
    <cellStyle name="Normal 4 4 2 3 7 5 2" xfId="16374"/>
    <cellStyle name="Normal 4 4 2 3 7 5 2 2" xfId="32824"/>
    <cellStyle name="Normal 4 4 2 3 7 5 3" xfId="24599"/>
    <cellStyle name="Normal 4 4 2 3 7 5 4" xfId="41053"/>
    <cellStyle name="Normal 4 4 2 3 7 6" xfId="9794"/>
    <cellStyle name="Normal 4 4 2 3 7 6 2" xfId="26244"/>
    <cellStyle name="Normal 4 4 2 3 7 7" xfId="18018"/>
    <cellStyle name="Normal 4 4 2 3 7 8" xfId="34472"/>
    <cellStyle name="Normal 4 4 2 3 8" xfId="1799"/>
    <cellStyle name="Normal 4 4 2 3 8 2" xfId="10029"/>
    <cellStyle name="Normal 4 4 2 3 8 2 2" xfId="26479"/>
    <cellStyle name="Normal 4 4 2 3 8 3" xfId="18253"/>
    <cellStyle name="Normal 4 4 2 3 8 4" xfId="34707"/>
    <cellStyle name="Normal 4 4 2 3 9" xfId="3449"/>
    <cellStyle name="Normal 4 4 2 3 9 2" xfId="11674"/>
    <cellStyle name="Normal 4 4 2 3 9 2 2" xfId="28124"/>
    <cellStyle name="Normal 4 4 2 3 9 3" xfId="19899"/>
    <cellStyle name="Normal 4 4 2 3 9 4" xfId="36353"/>
    <cellStyle name="Normal 4 4 2 4" xfId="145"/>
    <cellStyle name="Normal 4 4 2 4 10" xfId="5144"/>
    <cellStyle name="Normal 4 4 2 4 10 2" xfId="13369"/>
    <cellStyle name="Normal 4 4 2 4 10 2 2" xfId="29819"/>
    <cellStyle name="Normal 4 4 2 4 10 3" xfId="21594"/>
    <cellStyle name="Normal 4 4 2 4 10 4" xfId="38048"/>
    <cellStyle name="Normal 4 4 2 4 11" xfId="6789"/>
    <cellStyle name="Normal 4 4 2 4 11 2" xfId="15014"/>
    <cellStyle name="Normal 4 4 2 4 11 2 2" xfId="31464"/>
    <cellStyle name="Normal 4 4 2 4 11 3" xfId="23239"/>
    <cellStyle name="Normal 4 4 2 4 11 4" xfId="39693"/>
    <cellStyle name="Normal 4 4 2 4 12" xfId="8434"/>
    <cellStyle name="Normal 4 4 2 4 12 2" xfId="24884"/>
    <cellStyle name="Normal 4 4 2 4 13" xfId="16658"/>
    <cellStyle name="Normal 4 4 2 4 14" xfId="33111"/>
    <cellStyle name="Normal 4 4 2 4 15" xfId="41339"/>
    <cellStyle name="Normal 4 4 2 4 2" xfId="388"/>
    <cellStyle name="Normal 4 4 2 4 2 2" xfId="2087"/>
    <cellStyle name="Normal 4 4 2 4 2 2 2" xfId="10314"/>
    <cellStyle name="Normal 4 4 2 4 2 2 2 2" xfId="26764"/>
    <cellStyle name="Normal 4 4 2 4 2 2 3" xfId="18539"/>
    <cellStyle name="Normal 4 4 2 4 2 2 4" xfId="34993"/>
    <cellStyle name="Normal 4 4 2 4 2 3" xfId="3734"/>
    <cellStyle name="Normal 4 4 2 4 2 3 2" xfId="11959"/>
    <cellStyle name="Normal 4 4 2 4 2 3 2 2" xfId="28409"/>
    <cellStyle name="Normal 4 4 2 4 2 3 3" xfId="20184"/>
    <cellStyle name="Normal 4 4 2 4 2 3 4" xfId="36638"/>
    <cellStyle name="Normal 4 4 2 4 2 4" xfId="5379"/>
    <cellStyle name="Normal 4 4 2 4 2 4 2" xfId="13604"/>
    <cellStyle name="Normal 4 4 2 4 2 4 2 2" xfId="30054"/>
    <cellStyle name="Normal 4 4 2 4 2 4 3" xfId="21829"/>
    <cellStyle name="Normal 4 4 2 4 2 4 4" xfId="38283"/>
    <cellStyle name="Normal 4 4 2 4 2 5" xfId="7024"/>
    <cellStyle name="Normal 4 4 2 4 2 5 2" xfId="15249"/>
    <cellStyle name="Normal 4 4 2 4 2 5 2 2" xfId="31699"/>
    <cellStyle name="Normal 4 4 2 4 2 5 3" xfId="23474"/>
    <cellStyle name="Normal 4 4 2 4 2 5 4" xfId="39928"/>
    <cellStyle name="Normal 4 4 2 4 2 6" xfId="8669"/>
    <cellStyle name="Normal 4 4 2 4 2 6 2" xfId="25119"/>
    <cellStyle name="Normal 4 4 2 4 2 7" xfId="16893"/>
    <cellStyle name="Normal 4 4 2 4 2 8" xfId="33347"/>
    <cellStyle name="Normal 4 4 2 4 2 9" xfId="41574"/>
    <cellStyle name="Normal 4 4 2 4 3" xfId="629"/>
    <cellStyle name="Normal 4 4 2 4 3 2" xfId="2324"/>
    <cellStyle name="Normal 4 4 2 4 3 2 2" xfId="10549"/>
    <cellStyle name="Normal 4 4 2 4 3 2 2 2" xfId="26999"/>
    <cellStyle name="Normal 4 4 2 4 3 2 3" xfId="18774"/>
    <cellStyle name="Normal 4 4 2 4 3 2 4" xfId="35228"/>
    <cellStyle name="Normal 4 4 2 4 3 3" xfId="3969"/>
    <cellStyle name="Normal 4 4 2 4 3 3 2" xfId="12194"/>
    <cellStyle name="Normal 4 4 2 4 3 3 2 2" xfId="28644"/>
    <cellStyle name="Normal 4 4 2 4 3 3 3" xfId="20419"/>
    <cellStyle name="Normal 4 4 2 4 3 3 4" xfId="36873"/>
    <cellStyle name="Normal 4 4 2 4 3 4" xfId="5614"/>
    <cellStyle name="Normal 4 4 2 4 3 4 2" xfId="13839"/>
    <cellStyle name="Normal 4 4 2 4 3 4 2 2" xfId="30289"/>
    <cellStyle name="Normal 4 4 2 4 3 4 3" xfId="22064"/>
    <cellStyle name="Normal 4 4 2 4 3 4 4" xfId="38518"/>
    <cellStyle name="Normal 4 4 2 4 3 5" xfId="7259"/>
    <cellStyle name="Normal 4 4 2 4 3 5 2" xfId="15484"/>
    <cellStyle name="Normal 4 4 2 4 3 5 2 2" xfId="31934"/>
    <cellStyle name="Normal 4 4 2 4 3 5 3" xfId="23709"/>
    <cellStyle name="Normal 4 4 2 4 3 5 4" xfId="40163"/>
    <cellStyle name="Normal 4 4 2 4 3 6" xfId="8904"/>
    <cellStyle name="Normal 4 4 2 4 3 6 2" xfId="25354"/>
    <cellStyle name="Normal 4 4 2 4 3 7" xfId="17128"/>
    <cellStyle name="Normal 4 4 2 4 3 8" xfId="33582"/>
    <cellStyle name="Normal 4 4 2 4 3 9" xfId="41809"/>
    <cellStyle name="Normal 4 4 2 4 4" xfId="864"/>
    <cellStyle name="Normal 4 4 2 4 4 2" xfId="2559"/>
    <cellStyle name="Normal 4 4 2 4 4 2 2" xfId="10784"/>
    <cellStyle name="Normal 4 4 2 4 4 2 2 2" xfId="27234"/>
    <cellStyle name="Normal 4 4 2 4 4 2 3" xfId="19009"/>
    <cellStyle name="Normal 4 4 2 4 4 2 4" xfId="35463"/>
    <cellStyle name="Normal 4 4 2 4 4 3" xfId="4204"/>
    <cellStyle name="Normal 4 4 2 4 4 3 2" xfId="12429"/>
    <cellStyle name="Normal 4 4 2 4 4 3 2 2" xfId="28879"/>
    <cellStyle name="Normal 4 4 2 4 4 3 3" xfId="20654"/>
    <cellStyle name="Normal 4 4 2 4 4 3 4" xfId="37108"/>
    <cellStyle name="Normal 4 4 2 4 4 4" xfId="5849"/>
    <cellStyle name="Normal 4 4 2 4 4 4 2" xfId="14074"/>
    <cellStyle name="Normal 4 4 2 4 4 4 2 2" xfId="30524"/>
    <cellStyle name="Normal 4 4 2 4 4 4 3" xfId="22299"/>
    <cellStyle name="Normal 4 4 2 4 4 4 4" xfId="38753"/>
    <cellStyle name="Normal 4 4 2 4 4 5" xfId="7494"/>
    <cellStyle name="Normal 4 4 2 4 4 5 2" xfId="15719"/>
    <cellStyle name="Normal 4 4 2 4 4 5 2 2" xfId="32169"/>
    <cellStyle name="Normal 4 4 2 4 4 5 3" xfId="23944"/>
    <cellStyle name="Normal 4 4 2 4 4 5 4" xfId="40398"/>
    <cellStyle name="Normal 4 4 2 4 4 6" xfId="9139"/>
    <cellStyle name="Normal 4 4 2 4 4 6 2" xfId="25589"/>
    <cellStyle name="Normal 4 4 2 4 4 7" xfId="17363"/>
    <cellStyle name="Normal 4 4 2 4 4 8" xfId="33817"/>
    <cellStyle name="Normal 4 4 2 4 4 9" xfId="42044"/>
    <cellStyle name="Normal 4 4 2 4 5" xfId="1099"/>
    <cellStyle name="Normal 4 4 2 4 5 2" xfId="2794"/>
    <cellStyle name="Normal 4 4 2 4 5 2 2" xfId="11019"/>
    <cellStyle name="Normal 4 4 2 4 5 2 2 2" xfId="27469"/>
    <cellStyle name="Normal 4 4 2 4 5 2 3" xfId="19244"/>
    <cellStyle name="Normal 4 4 2 4 5 2 4" xfId="35698"/>
    <cellStyle name="Normal 4 4 2 4 5 3" xfId="4439"/>
    <cellStyle name="Normal 4 4 2 4 5 3 2" xfId="12664"/>
    <cellStyle name="Normal 4 4 2 4 5 3 2 2" xfId="29114"/>
    <cellStyle name="Normal 4 4 2 4 5 3 3" xfId="20889"/>
    <cellStyle name="Normal 4 4 2 4 5 3 4" xfId="37343"/>
    <cellStyle name="Normal 4 4 2 4 5 4" xfId="6084"/>
    <cellStyle name="Normal 4 4 2 4 5 4 2" xfId="14309"/>
    <cellStyle name="Normal 4 4 2 4 5 4 2 2" xfId="30759"/>
    <cellStyle name="Normal 4 4 2 4 5 4 3" xfId="22534"/>
    <cellStyle name="Normal 4 4 2 4 5 4 4" xfId="38988"/>
    <cellStyle name="Normal 4 4 2 4 5 5" xfId="7729"/>
    <cellStyle name="Normal 4 4 2 4 5 5 2" xfId="15954"/>
    <cellStyle name="Normal 4 4 2 4 5 5 2 2" xfId="32404"/>
    <cellStyle name="Normal 4 4 2 4 5 5 3" xfId="24179"/>
    <cellStyle name="Normal 4 4 2 4 5 5 4" xfId="40633"/>
    <cellStyle name="Normal 4 4 2 4 5 6" xfId="9374"/>
    <cellStyle name="Normal 4 4 2 4 5 6 2" xfId="25824"/>
    <cellStyle name="Normal 4 4 2 4 5 7" xfId="17598"/>
    <cellStyle name="Normal 4 4 2 4 5 8" xfId="34052"/>
    <cellStyle name="Normal 4 4 2 4 5 9" xfId="42279"/>
    <cellStyle name="Normal 4 4 2 4 6" xfId="1379"/>
    <cellStyle name="Normal 4 4 2 4 6 2" xfId="3029"/>
    <cellStyle name="Normal 4 4 2 4 6 2 2" xfId="11254"/>
    <cellStyle name="Normal 4 4 2 4 6 2 2 2" xfId="27704"/>
    <cellStyle name="Normal 4 4 2 4 6 2 3" xfId="19479"/>
    <cellStyle name="Normal 4 4 2 4 6 2 4" xfId="35933"/>
    <cellStyle name="Normal 4 4 2 4 6 3" xfId="4674"/>
    <cellStyle name="Normal 4 4 2 4 6 3 2" xfId="12899"/>
    <cellStyle name="Normal 4 4 2 4 6 3 2 2" xfId="29349"/>
    <cellStyle name="Normal 4 4 2 4 6 3 3" xfId="21124"/>
    <cellStyle name="Normal 4 4 2 4 6 3 4" xfId="37578"/>
    <cellStyle name="Normal 4 4 2 4 6 4" xfId="6319"/>
    <cellStyle name="Normal 4 4 2 4 6 4 2" xfId="14544"/>
    <cellStyle name="Normal 4 4 2 4 6 4 2 2" xfId="30994"/>
    <cellStyle name="Normal 4 4 2 4 6 4 3" xfId="22769"/>
    <cellStyle name="Normal 4 4 2 4 6 4 4" xfId="39223"/>
    <cellStyle name="Normal 4 4 2 4 6 5" xfId="7964"/>
    <cellStyle name="Normal 4 4 2 4 6 5 2" xfId="16189"/>
    <cellStyle name="Normal 4 4 2 4 6 5 2 2" xfId="32639"/>
    <cellStyle name="Normal 4 4 2 4 6 5 3" xfId="24414"/>
    <cellStyle name="Normal 4 4 2 4 6 5 4" xfId="40868"/>
    <cellStyle name="Normal 4 4 2 4 6 6" xfId="9609"/>
    <cellStyle name="Normal 4 4 2 4 6 6 2" xfId="26059"/>
    <cellStyle name="Normal 4 4 2 4 6 7" xfId="17833"/>
    <cellStyle name="Normal 4 4 2 4 6 8" xfId="34287"/>
    <cellStyle name="Normal 4 4 2 4 7" xfId="1614"/>
    <cellStyle name="Normal 4 4 2 4 7 2" xfId="3264"/>
    <cellStyle name="Normal 4 4 2 4 7 2 2" xfId="11489"/>
    <cellStyle name="Normal 4 4 2 4 7 2 2 2" xfId="27939"/>
    <cellStyle name="Normal 4 4 2 4 7 2 3" xfId="19714"/>
    <cellStyle name="Normal 4 4 2 4 7 2 4" xfId="36168"/>
    <cellStyle name="Normal 4 4 2 4 7 3" xfId="4909"/>
    <cellStyle name="Normal 4 4 2 4 7 3 2" xfId="13134"/>
    <cellStyle name="Normal 4 4 2 4 7 3 2 2" xfId="29584"/>
    <cellStyle name="Normal 4 4 2 4 7 3 3" xfId="21359"/>
    <cellStyle name="Normal 4 4 2 4 7 3 4" xfId="37813"/>
    <cellStyle name="Normal 4 4 2 4 7 4" xfId="6554"/>
    <cellStyle name="Normal 4 4 2 4 7 4 2" xfId="14779"/>
    <cellStyle name="Normal 4 4 2 4 7 4 2 2" xfId="31229"/>
    <cellStyle name="Normal 4 4 2 4 7 4 3" xfId="23004"/>
    <cellStyle name="Normal 4 4 2 4 7 4 4" xfId="39458"/>
    <cellStyle name="Normal 4 4 2 4 7 5" xfId="8199"/>
    <cellStyle name="Normal 4 4 2 4 7 5 2" xfId="16424"/>
    <cellStyle name="Normal 4 4 2 4 7 5 2 2" xfId="32874"/>
    <cellStyle name="Normal 4 4 2 4 7 5 3" xfId="24649"/>
    <cellStyle name="Normal 4 4 2 4 7 5 4" xfId="41103"/>
    <cellStyle name="Normal 4 4 2 4 7 6" xfId="9844"/>
    <cellStyle name="Normal 4 4 2 4 7 6 2" xfId="26294"/>
    <cellStyle name="Normal 4 4 2 4 7 7" xfId="18068"/>
    <cellStyle name="Normal 4 4 2 4 7 8" xfId="34522"/>
    <cellStyle name="Normal 4 4 2 4 8" xfId="1849"/>
    <cellStyle name="Normal 4 4 2 4 8 2" xfId="10079"/>
    <cellStyle name="Normal 4 4 2 4 8 2 2" xfId="26529"/>
    <cellStyle name="Normal 4 4 2 4 8 3" xfId="18303"/>
    <cellStyle name="Normal 4 4 2 4 8 4" xfId="34757"/>
    <cellStyle name="Normal 4 4 2 4 9" xfId="3499"/>
    <cellStyle name="Normal 4 4 2 4 9 2" xfId="11724"/>
    <cellStyle name="Normal 4 4 2 4 9 2 2" xfId="28174"/>
    <cellStyle name="Normal 4 4 2 4 9 3" xfId="19949"/>
    <cellStyle name="Normal 4 4 2 4 9 4" xfId="36403"/>
    <cellStyle name="Normal 4 4 2 5" xfId="172"/>
    <cellStyle name="Normal 4 4 2 5 10" xfId="5171"/>
    <cellStyle name="Normal 4 4 2 5 10 2" xfId="13396"/>
    <cellStyle name="Normal 4 4 2 5 10 2 2" xfId="29846"/>
    <cellStyle name="Normal 4 4 2 5 10 3" xfId="21621"/>
    <cellStyle name="Normal 4 4 2 5 10 4" xfId="38075"/>
    <cellStyle name="Normal 4 4 2 5 11" xfId="6816"/>
    <cellStyle name="Normal 4 4 2 5 11 2" xfId="15041"/>
    <cellStyle name="Normal 4 4 2 5 11 2 2" xfId="31491"/>
    <cellStyle name="Normal 4 4 2 5 11 3" xfId="23266"/>
    <cellStyle name="Normal 4 4 2 5 11 4" xfId="39720"/>
    <cellStyle name="Normal 4 4 2 5 12" xfId="8461"/>
    <cellStyle name="Normal 4 4 2 5 12 2" xfId="24911"/>
    <cellStyle name="Normal 4 4 2 5 13" xfId="16685"/>
    <cellStyle name="Normal 4 4 2 5 14" xfId="33138"/>
    <cellStyle name="Normal 4 4 2 5 15" xfId="41366"/>
    <cellStyle name="Normal 4 4 2 5 2" xfId="415"/>
    <cellStyle name="Normal 4 4 2 5 2 2" xfId="2114"/>
    <cellStyle name="Normal 4 4 2 5 2 2 2" xfId="10341"/>
    <cellStyle name="Normal 4 4 2 5 2 2 2 2" xfId="26791"/>
    <cellStyle name="Normal 4 4 2 5 2 2 3" xfId="18566"/>
    <cellStyle name="Normal 4 4 2 5 2 2 4" xfId="35020"/>
    <cellStyle name="Normal 4 4 2 5 2 3" xfId="3761"/>
    <cellStyle name="Normal 4 4 2 5 2 3 2" xfId="11986"/>
    <cellStyle name="Normal 4 4 2 5 2 3 2 2" xfId="28436"/>
    <cellStyle name="Normal 4 4 2 5 2 3 3" xfId="20211"/>
    <cellStyle name="Normal 4 4 2 5 2 3 4" xfId="36665"/>
    <cellStyle name="Normal 4 4 2 5 2 4" xfId="5406"/>
    <cellStyle name="Normal 4 4 2 5 2 4 2" xfId="13631"/>
    <cellStyle name="Normal 4 4 2 5 2 4 2 2" xfId="30081"/>
    <cellStyle name="Normal 4 4 2 5 2 4 3" xfId="21856"/>
    <cellStyle name="Normal 4 4 2 5 2 4 4" xfId="38310"/>
    <cellStyle name="Normal 4 4 2 5 2 5" xfId="7051"/>
    <cellStyle name="Normal 4 4 2 5 2 5 2" xfId="15276"/>
    <cellStyle name="Normal 4 4 2 5 2 5 2 2" xfId="31726"/>
    <cellStyle name="Normal 4 4 2 5 2 5 3" xfId="23501"/>
    <cellStyle name="Normal 4 4 2 5 2 5 4" xfId="39955"/>
    <cellStyle name="Normal 4 4 2 5 2 6" xfId="8696"/>
    <cellStyle name="Normal 4 4 2 5 2 6 2" xfId="25146"/>
    <cellStyle name="Normal 4 4 2 5 2 7" xfId="16920"/>
    <cellStyle name="Normal 4 4 2 5 2 8" xfId="33374"/>
    <cellStyle name="Normal 4 4 2 5 2 9" xfId="41601"/>
    <cellStyle name="Normal 4 4 2 5 3" xfId="656"/>
    <cellStyle name="Normal 4 4 2 5 3 2" xfId="2351"/>
    <cellStyle name="Normal 4 4 2 5 3 2 2" xfId="10576"/>
    <cellStyle name="Normal 4 4 2 5 3 2 2 2" xfId="27026"/>
    <cellStyle name="Normal 4 4 2 5 3 2 3" xfId="18801"/>
    <cellStyle name="Normal 4 4 2 5 3 2 4" xfId="35255"/>
    <cellStyle name="Normal 4 4 2 5 3 3" xfId="3996"/>
    <cellStyle name="Normal 4 4 2 5 3 3 2" xfId="12221"/>
    <cellStyle name="Normal 4 4 2 5 3 3 2 2" xfId="28671"/>
    <cellStyle name="Normal 4 4 2 5 3 3 3" xfId="20446"/>
    <cellStyle name="Normal 4 4 2 5 3 3 4" xfId="36900"/>
    <cellStyle name="Normal 4 4 2 5 3 4" xfId="5641"/>
    <cellStyle name="Normal 4 4 2 5 3 4 2" xfId="13866"/>
    <cellStyle name="Normal 4 4 2 5 3 4 2 2" xfId="30316"/>
    <cellStyle name="Normal 4 4 2 5 3 4 3" xfId="22091"/>
    <cellStyle name="Normal 4 4 2 5 3 4 4" xfId="38545"/>
    <cellStyle name="Normal 4 4 2 5 3 5" xfId="7286"/>
    <cellStyle name="Normal 4 4 2 5 3 5 2" xfId="15511"/>
    <cellStyle name="Normal 4 4 2 5 3 5 2 2" xfId="31961"/>
    <cellStyle name="Normal 4 4 2 5 3 5 3" xfId="23736"/>
    <cellStyle name="Normal 4 4 2 5 3 5 4" xfId="40190"/>
    <cellStyle name="Normal 4 4 2 5 3 6" xfId="8931"/>
    <cellStyle name="Normal 4 4 2 5 3 6 2" xfId="25381"/>
    <cellStyle name="Normal 4 4 2 5 3 7" xfId="17155"/>
    <cellStyle name="Normal 4 4 2 5 3 8" xfId="33609"/>
    <cellStyle name="Normal 4 4 2 5 3 9" xfId="41836"/>
    <cellStyle name="Normal 4 4 2 5 4" xfId="891"/>
    <cellStyle name="Normal 4 4 2 5 4 2" xfId="2586"/>
    <cellStyle name="Normal 4 4 2 5 4 2 2" xfId="10811"/>
    <cellStyle name="Normal 4 4 2 5 4 2 2 2" xfId="27261"/>
    <cellStyle name="Normal 4 4 2 5 4 2 3" xfId="19036"/>
    <cellStyle name="Normal 4 4 2 5 4 2 4" xfId="35490"/>
    <cellStyle name="Normal 4 4 2 5 4 3" xfId="4231"/>
    <cellStyle name="Normal 4 4 2 5 4 3 2" xfId="12456"/>
    <cellStyle name="Normal 4 4 2 5 4 3 2 2" xfId="28906"/>
    <cellStyle name="Normal 4 4 2 5 4 3 3" xfId="20681"/>
    <cellStyle name="Normal 4 4 2 5 4 3 4" xfId="37135"/>
    <cellStyle name="Normal 4 4 2 5 4 4" xfId="5876"/>
    <cellStyle name="Normal 4 4 2 5 4 4 2" xfId="14101"/>
    <cellStyle name="Normal 4 4 2 5 4 4 2 2" xfId="30551"/>
    <cellStyle name="Normal 4 4 2 5 4 4 3" xfId="22326"/>
    <cellStyle name="Normal 4 4 2 5 4 4 4" xfId="38780"/>
    <cellStyle name="Normal 4 4 2 5 4 5" xfId="7521"/>
    <cellStyle name="Normal 4 4 2 5 4 5 2" xfId="15746"/>
    <cellStyle name="Normal 4 4 2 5 4 5 2 2" xfId="32196"/>
    <cellStyle name="Normal 4 4 2 5 4 5 3" xfId="23971"/>
    <cellStyle name="Normal 4 4 2 5 4 5 4" xfId="40425"/>
    <cellStyle name="Normal 4 4 2 5 4 6" xfId="9166"/>
    <cellStyle name="Normal 4 4 2 5 4 6 2" xfId="25616"/>
    <cellStyle name="Normal 4 4 2 5 4 7" xfId="17390"/>
    <cellStyle name="Normal 4 4 2 5 4 8" xfId="33844"/>
    <cellStyle name="Normal 4 4 2 5 4 9" xfId="42071"/>
    <cellStyle name="Normal 4 4 2 5 5" xfId="1126"/>
    <cellStyle name="Normal 4 4 2 5 5 2" xfId="2821"/>
    <cellStyle name="Normal 4 4 2 5 5 2 2" xfId="11046"/>
    <cellStyle name="Normal 4 4 2 5 5 2 2 2" xfId="27496"/>
    <cellStyle name="Normal 4 4 2 5 5 2 3" xfId="19271"/>
    <cellStyle name="Normal 4 4 2 5 5 2 4" xfId="35725"/>
    <cellStyle name="Normal 4 4 2 5 5 3" xfId="4466"/>
    <cellStyle name="Normal 4 4 2 5 5 3 2" xfId="12691"/>
    <cellStyle name="Normal 4 4 2 5 5 3 2 2" xfId="29141"/>
    <cellStyle name="Normal 4 4 2 5 5 3 3" xfId="20916"/>
    <cellStyle name="Normal 4 4 2 5 5 3 4" xfId="37370"/>
    <cellStyle name="Normal 4 4 2 5 5 4" xfId="6111"/>
    <cellStyle name="Normal 4 4 2 5 5 4 2" xfId="14336"/>
    <cellStyle name="Normal 4 4 2 5 5 4 2 2" xfId="30786"/>
    <cellStyle name="Normal 4 4 2 5 5 4 3" xfId="22561"/>
    <cellStyle name="Normal 4 4 2 5 5 4 4" xfId="39015"/>
    <cellStyle name="Normal 4 4 2 5 5 5" xfId="7756"/>
    <cellStyle name="Normal 4 4 2 5 5 5 2" xfId="15981"/>
    <cellStyle name="Normal 4 4 2 5 5 5 2 2" xfId="32431"/>
    <cellStyle name="Normal 4 4 2 5 5 5 3" xfId="24206"/>
    <cellStyle name="Normal 4 4 2 5 5 5 4" xfId="40660"/>
    <cellStyle name="Normal 4 4 2 5 5 6" xfId="9401"/>
    <cellStyle name="Normal 4 4 2 5 5 6 2" xfId="25851"/>
    <cellStyle name="Normal 4 4 2 5 5 7" xfId="17625"/>
    <cellStyle name="Normal 4 4 2 5 5 8" xfId="34079"/>
    <cellStyle name="Normal 4 4 2 5 5 9" xfId="42306"/>
    <cellStyle name="Normal 4 4 2 5 6" xfId="1406"/>
    <cellStyle name="Normal 4 4 2 5 6 2" xfId="3056"/>
    <cellStyle name="Normal 4 4 2 5 6 2 2" xfId="11281"/>
    <cellStyle name="Normal 4 4 2 5 6 2 2 2" xfId="27731"/>
    <cellStyle name="Normal 4 4 2 5 6 2 3" xfId="19506"/>
    <cellStyle name="Normal 4 4 2 5 6 2 4" xfId="35960"/>
    <cellStyle name="Normal 4 4 2 5 6 3" xfId="4701"/>
    <cellStyle name="Normal 4 4 2 5 6 3 2" xfId="12926"/>
    <cellStyle name="Normal 4 4 2 5 6 3 2 2" xfId="29376"/>
    <cellStyle name="Normal 4 4 2 5 6 3 3" xfId="21151"/>
    <cellStyle name="Normal 4 4 2 5 6 3 4" xfId="37605"/>
    <cellStyle name="Normal 4 4 2 5 6 4" xfId="6346"/>
    <cellStyle name="Normal 4 4 2 5 6 4 2" xfId="14571"/>
    <cellStyle name="Normal 4 4 2 5 6 4 2 2" xfId="31021"/>
    <cellStyle name="Normal 4 4 2 5 6 4 3" xfId="22796"/>
    <cellStyle name="Normal 4 4 2 5 6 4 4" xfId="39250"/>
    <cellStyle name="Normal 4 4 2 5 6 5" xfId="7991"/>
    <cellStyle name="Normal 4 4 2 5 6 5 2" xfId="16216"/>
    <cellStyle name="Normal 4 4 2 5 6 5 2 2" xfId="32666"/>
    <cellStyle name="Normal 4 4 2 5 6 5 3" xfId="24441"/>
    <cellStyle name="Normal 4 4 2 5 6 5 4" xfId="40895"/>
    <cellStyle name="Normal 4 4 2 5 6 6" xfId="9636"/>
    <cellStyle name="Normal 4 4 2 5 6 6 2" xfId="26086"/>
    <cellStyle name="Normal 4 4 2 5 6 7" xfId="17860"/>
    <cellStyle name="Normal 4 4 2 5 6 8" xfId="34314"/>
    <cellStyle name="Normal 4 4 2 5 7" xfId="1641"/>
    <cellStyle name="Normal 4 4 2 5 7 2" xfId="3291"/>
    <cellStyle name="Normal 4 4 2 5 7 2 2" xfId="11516"/>
    <cellStyle name="Normal 4 4 2 5 7 2 2 2" xfId="27966"/>
    <cellStyle name="Normal 4 4 2 5 7 2 3" xfId="19741"/>
    <cellStyle name="Normal 4 4 2 5 7 2 4" xfId="36195"/>
    <cellStyle name="Normal 4 4 2 5 7 3" xfId="4936"/>
    <cellStyle name="Normal 4 4 2 5 7 3 2" xfId="13161"/>
    <cellStyle name="Normal 4 4 2 5 7 3 2 2" xfId="29611"/>
    <cellStyle name="Normal 4 4 2 5 7 3 3" xfId="21386"/>
    <cellStyle name="Normal 4 4 2 5 7 3 4" xfId="37840"/>
    <cellStyle name="Normal 4 4 2 5 7 4" xfId="6581"/>
    <cellStyle name="Normal 4 4 2 5 7 4 2" xfId="14806"/>
    <cellStyle name="Normal 4 4 2 5 7 4 2 2" xfId="31256"/>
    <cellStyle name="Normal 4 4 2 5 7 4 3" xfId="23031"/>
    <cellStyle name="Normal 4 4 2 5 7 4 4" xfId="39485"/>
    <cellStyle name="Normal 4 4 2 5 7 5" xfId="8226"/>
    <cellStyle name="Normal 4 4 2 5 7 5 2" xfId="16451"/>
    <cellStyle name="Normal 4 4 2 5 7 5 2 2" xfId="32901"/>
    <cellStyle name="Normal 4 4 2 5 7 5 3" xfId="24676"/>
    <cellStyle name="Normal 4 4 2 5 7 5 4" xfId="41130"/>
    <cellStyle name="Normal 4 4 2 5 7 6" xfId="9871"/>
    <cellStyle name="Normal 4 4 2 5 7 6 2" xfId="26321"/>
    <cellStyle name="Normal 4 4 2 5 7 7" xfId="18095"/>
    <cellStyle name="Normal 4 4 2 5 7 8" xfId="34549"/>
    <cellStyle name="Normal 4 4 2 5 8" xfId="1876"/>
    <cellStyle name="Normal 4 4 2 5 8 2" xfId="10106"/>
    <cellStyle name="Normal 4 4 2 5 8 2 2" xfId="26556"/>
    <cellStyle name="Normal 4 4 2 5 8 3" xfId="18330"/>
    <cellStyle name="Normal 4 4 2 5 8 4" xfId="34784"/>
    <cellStyle name="Normal 4 4 2 5 9" xfId="3526"/>
    <cellStyle name="Normal 4 4 2 5 9 2" xfId="11751"/>
    <cellStyle name="Normal 4 4 2 5 9 2 2" xfId="28201"/>
    <cellStyle name="Normal 4 4 2 5 9 3" xfId="19976"/>
    <cellStyle name="Normal 4 4 2 5 9 4" xfId="36430"/>
    <cellStyle name="Normal 4 4 2 6" xfId="201"/>
    <cellStyle name="Normal 4 4 2 6 10" xfId="5198"/>
    <cellStyle name="Normal 4 4 2 6 10 2" xfId="13423"/>
    <cellStyle name="Normal 4 4 2 6 10 2 2" xfId="29873"/>
    <cellStyle name="Normal 4 4 2 6 10 3" xfId="21648"/>
    <cellStyle name="Normal 4 4 2 6 10 4" xfId="38102"/>
    <cellStyle name="Normal 4 4 2 6 11" xfId="6843"/>
    <cellStyle name="Normal 4 4 2 6 11 2" xfId="15068"/>
    <cellStyle name="Normal 4 4 2 6 11 2 2" xfId="31518"/>
    <cellStyle name="Normal 4 4 2 6 11 3" xfId="23293"/>
    <cellStyle name="Normal 4 4 2 6 11 4" xfId="39747"/>
    <cellStyle name="Normal 4 4 2 6 12" xfId="8488"/>
    <cellStyle name="Normal 4 4 2 6 12 2" xfId="24938"/>
    <cellStyle name="Normal 4 4 2 6 13" xfId="16712"/>
    <cellStyle name="Normal 4 4 2 6 14" xfId="33165"/>
    <cellStyle name="Normal 4 4 2 6 15" xfId="41393"/>
    <cellStyle name="Normal 4 4 2 6 2" xfId="444"/>
    <cellStyle name="Normal 4 4 2 6 2 2" xfId="2141"/>
    <cellStyle name="Normal 4 4 2 6 2 2 2" xfId="10368"/>
    <cellStyle name="Normal 4 4 2 6 2 2 2 2" xfId="26818"/>
    <cellStyle name="Normal 4 4 2 6 2 2 3" xfId="18593"/>
    <cellStyle name="Normal 4 4 2 6 2 2 4" xfId="35047"/>
    <cellStyle name="Normal 4 4 2 6 2 3" xfId="3788"/>
    <cellStyle name="Normal 4 4 2 6 2 3 2" xfId="12013"/>
    <cellStyle name="Normal 4 4 2 6 2 3 2 2" xfId="28463"/>
    <cellStyle name="Normal 4 4 2 6 2 3 3" xfId="20238"/>
    <cellStyle name="Normal 4 4 2 6 2 3 4" xfId="36692"/>
    <cellStyle name="Normal 4 4 2 6 2 4" xfId="5433"/>
    <cellStyle name="Normal 4 4 2 6 2 4 2" xfId="13658"/>
    <cellStyle name="Normal 4 4 2 6 2 4 2 2" xfId="30108"/>
    <cellStyle name="Normal 4 4 2 6 2 4 3" xfId="21883"/>
    <cellStyle name="Normal 4 4 2 6 2 4 4" xfId="38337"/>
    <cellStyle name="Normal 4 4 2 6 2 5" xfId="7078"/>
    <cellStyle name="Normal 4 4 2 6 2 5 2" xfId="15303"/>
    <cellStyle name="Normal 4 4 2 6 2 5 2 2" xfId="31753"/>
    <cellStyle name="Normal 4 4 2 6 2 5 3" xfId="23528"/>
    <cellStyle name="Normal 4 4 2 6 2 5 4" xfId="39982"/>
    <cellStyle name="Normal 4 4 2 6 2 6" xfId="8723"/>
    <cellStyle name="Normal 4 4 2 6 2 6 2" xfId="25173"/>
    <cellStyle name="Normal 4 4 2 6 2 7" xfId="16947"/>
    <cellStyle name="Normal 4 4 2 6 2 8" xfId="33401"/>
    <cellStyle name="Normal 4 4 2 6 2 9" xfId="41628"/>
    <cellStyle name="Normal 4 4 2 6 3" xfId="683"/>
    <cellStyle name="Normal 4 4 2 6 3 2" xfId="2378"/>
    <cellStyle name="Normal 4 4 2 6 3 2 2" xfId="10603"/>
    <cellStyle name="Normal 4 4 2 6 3 2 2 2" xfId="27053"/>
    <cellStyle name="Normal 4 4 2 6 3 2 3" xfId="18828"/>
    <cellStyle name="Normal 4 4 2 6 3 2 4" xfId="35282"/>
    <cellStyle name="Normal 4 4 2 6 3 3" xfId="4023"/>
    <cellStyle name="Normal 4 4 2 6 3 3 2" xfId="12248"/>
    <cellStyle name="Normal 4 4 2 6 3 3 2 2" xfId="28698"/>
    <cellStyle name="Normal 4 4 2 6 3 3 3" xfId="20473"/>
    <cellStyle name="Normal 4 4 2 6 3 3 4" xfId="36927"/>
    <cellStyle name="Normal 4 4 2 6 3 4" xfId="5668"/>
    <cellStyle name="Normal 4 4 2 6 3 4 2" xfId="13893"/>
    <cellStyle name="Normal 4 4 2 6 3 4 2 2" xfId="30343"/>
    <cellStyle name="Normal 4 4 2 6 3 4 3" xfId="22118"/>
    <cellStyle name="Normal 4 4 2 6 3 4 4" xfId="38572"/>
    <cellStyle name="Normal 4 4 2 6 3 5" xfId="7313"/>
    <cellStyle name="Normal 4 4 2 6 3 5 2" xfId="15538"/>
    <cellStyle name="Normal 4 4 2 6 3 5 2 2" xfId="31988"/>
    <cellStyle name="Normal 4 4 2 6 3 5 3" xfId="23763"/>
    <cellStyle name="Normal 4 4 2 6 3 5 4" xfId="40217"/>
    <cellStyle name="Normal 4 4 2 6 3 6" xfId="8958"/>
    <cellStyle name="Normal 4 4 2 6 3 6 2" xfId="25408"/>
    <cellStyle name="Normal 4 4 2 6 3 7" xfId="17182"/>
    <cellStyle name="Normal 4 4 2 6 3 8" xfId="33636"/>
    <cellStyle name="Normal 4 4 2 6 3 9" xfId="41863"/>
    <cellStyle name="Normal 4 4 2 6 4" xfId="918"/>
    <cellStyle name="Normal 4 4 2 6 4 2" xfId="2613"/>
    <cellStyle name="Normal 4 4 2 6 4 2 2" xfId="10838"/>
    <cellStyle name="Normal 4 4 2 6 4 2 2 2" xfId="27288"/>
    <cellStyle name="Normal 4 4 2 6 4 2 3" xfId="19063"/>
    <cellStyle name="Normal 4 4 2 6 4 2 4" xfId="35517"/>
    <cellStyle name="Normal 4 4 2 6 4 3" xfId="4258"/>
    <cellStyle name="Normal 4 4 2 6 4 3 2" xfId="12483"/>
    <cellStyle name="Normal 4 4 2 6 4 3 2 2" xfId="28933"/>
    <cellStyle name="Normal 4 4 2 6 4 3 3" xfId="20708"/>
    <cellStyle name="Normal 4 4 2 6 4 3 4" xfId="37162"/>
    <cellStyle name="Normal 4 4 2 6 4 4" xfId="5903"/>
    <cellStyle name="Normal 4 4 2 6 4 4 2" xfId="14128"/>
    <cellStyle name="Normal 4 4 2 6 4 4 2 2" xfId="30578"/>
    <cellStyle name="Normal 4 4 2 6 4 4 3" xfId="22353"/>
    <cellStyle name="Normal 4 4 2 6 4 4 4" xfId="38807"/>
    <cellStyle name="Normal 4 4 2 6 4 5" xfId="7548"/>
    <cellStyle name="Normal 4 4 2 6 4 5 2" xfId="15773"/>
    <cellStyle name="Normal 4 4 2 6 4 5 2 2" xfId="32223"/>
    <cellStyle name="Normal 4 4 2 6 4 5 3" xfId="23998"/>
    <cellStyle name="Normal 4 4 2 6 4 5 4" xfId="40452"/>
    <cellStyle name="Normal 4 4 2 6 4 6" xfId="9193"/>
    <cellStyle name="Normal 4 4 2 6 4 6 2" xfId="25643"/>
    <cellStyle name="Normal 4 4 2 6 4 7" xfId="17417"/>
    <cellStyle name="Normal 4 4 2 6 4 8" xfId="33871"/>
    <cellStyle name="Normal 4 4 2 6 4 9" xfId="42098"/>
    <cellStyle name="Normal 4 4 2 6 5" xfId="1153"/>
    <cellStyle name="Normal 4 4 2 6 5 2" xfId="2848"/>
    <cellStyle name="Normal 4 4 2 6 5 2 2" xfId="11073"/>
    <cellStyle name="Normal 4 4 2 6 5 2 2 2" xfId="27523"/>
    <cellStyle name="Normal 4 4 2 6 5 2 3" xfId="19298"/>
    <cellStyle name="Normal 4 4 2 6 5 2 4" xfId="35752"/>
    <cellStyle name="Normal 4 4 2 6 5 3" xfId="4493"/>
    <cellStyle name="Normal 4 4 2 6 5 3 2" xfId="12718"/>
    <cellStyle name="Normal 4 4 2 6 5 3 2 2" xfId="29168"/>
    <cellStyle name="Normal 4 4 2 6 5 3 3" xfId="20943"/>
    <cellStyle name="Normal 4 4 2 6 5 3 4" xfId="37397"/>
    <cellStyle name="Normal 4 4 2 6 5 4" xfId="6138"/>
    <cellStyle name="Normal 4 4 2 6 5 4 2" xfId="14363"/>
    <cellStyle name="Normal 4 4 2 6 5 4 2 2" xfId="30813"/>
    <cellStyle name="Normal 4 4 2 6 5 4 3" xfId="22588"/>
    <cellStyle name="Normal 4 4 2 6 5 4 4" xfId="39042"/>
    <cellStyle name="Normal 4 4 2 6 5 5" xfId="7783"/>
    <cellStyle name="Normal 4 4 2 6 5 5 2" xfId="16008"/>
    <cellStyle name="Normal 4 4 2 6 5 5 2 2" xfId="32458"/>
    <cellStyle name="Normal 4 4 2 6 5 5 3" xfId="24233"/>
    <cellStyle name="Normal 4 4 2 6 5 5 4" xfId="40687"/>
    <cellStyle name="Normal 4 4 2 6 5 6" xfId="9428"/>
    <cellStyle name="Normal 4 4 2 6 5 6 2" xfId="25878"/>
    <cellStyle name="Normal 4 4 2 6 5 7" xfId="17652"/>
    <cellStyle name="Normal 4 4 2 6 5 8" xfId="34106"/>
    <cellStyle name="Normal 4 4 2 6 5 9" xfId="42333"/>
    <cellStyle name="Normal 4 4 2 6 6" xfId="1433"/>
    <cellStyle name="Normal 4 4 2 6 6 2" xfId="3083"/>
    <cellStyle name="Normal 4 4 2 6 6 2 2" xfId="11308"/>
    <cellStyle name="Normal 4 4 2 6 6 2 2 2" xfId="27758"/>
    <cellStyle name="Normal 4 4 2 6 6 2 3" xfId="19533"/>
    <cellStyle name="Normal 4 4 2 6 6 2 4" xfId="35987"/>
    <cellStyle name="Normal 4 4 2 6 6 3" xfId="4728"/>
    <cellStyle name="Normal 4 4 2 6 6 3 2" xfId="12953"/>
    <cellStyle name="Normal 4 4 2 6 6 3 2 2" xfId="29403"/>
    <cellStyle name="Normal 4 4 2 6 6 3 3" xfId="21178"/>
    <cellStyle name="Normal 4 4 2 6 6 3 4" xfId="37632"/>
    <cellStyle name="Normal 4 4 2 6 6 4" xfId="6373"/>
    <cellStyle name="Normal 4 4 2 6 6 4 2" xfId="14598"/>
    <cellStyle name="Normal 4 4 2 6 6 4 2 2" xfId="31048"/>
    <cellStyle name="Normal 4 4 2 6 6 4 3" xfId="22823"/>
    <cellStyle name="Normal 4 4 2 6 6 4 4" xfId="39277"/>
    <cellStyle name="Normal 4 4 2 6 6 5" xfId="8018"/>
    <cellStyle name="Normal 4 4 2 6 6 5 2" xfId="16243"/>
    <cellStyle name="Normal 4 4 2 6 6 5 2 2" xfId="32693"/>
    <cellStyle name="Normal 4 4 2 6 6 5 3" xfId="24468"/>
    <cellStyle name="Normal 4 4 2 6 6 5 4" xfId="40922"/>
    <cellStyle name="Normal 4 4 2 6 6 6" xfId="9663"/>
    <cellStyle name="Normal 4 4 2 6 6 6 2" xfId="26113"/>
    <cellStyle name="Normal 4 4 2 6 6 7" xfId="17887"/>
    <cellStyle name="Normal 4 4 2 6 6 8" xfId="34341"/>
    <cellStyle name="Normal 4 4 2 6 7" xfId="1668"/>
    <cellStyle name="Normal 4 4 2 6 7 2" xfId="3318"/>
    <cellStyle name="Normal 4 4 2 6 7 2 2" xfId="11543"/>
    <cellStyle name="Normal 4 4 2 6 7 2 2 2" xfId="27993"/>
    <cellStyle name="Normal 4 4 2 6 7 2 3" xfId="19768"/>
    <cellStyle name="Normal 4 4 2 6 7 2 4" xfId="36222"/>
    <cellStyle name="Normal 4 4 2 6 7 3" xfId="4963"/>
    <cellStyle name="Normal 4 4 2 6 7 3 2" xfId="13188"/>
    <cellStyle name="Normal 4 4 2 6 7 3 2 2" xfId="29638"/>
    <cellStyle name="Normal 4 4 2 6 7 3 3" xfId="21413"/>
    <cellStyle name="Normal 4 4 2 6 7 3 4" xfId="37867"/>
    <cellStyle name="Normal 4 4 2 6 7 4" xfId="6608"/>
    <cellStyle name="Normal 4 4 2 6 7 4 2" xfId="14833"/>
    <cellStyle name="Normal 4 4 2 6 7 4 2 2" xfId="31283"/>
    <cellStyle name="Normal 4 4 2 6 7 4 3" xfId="23058"/>
    <cellStyle name="Normal 4 4 2 6 7 4 4" xfId="39512"/>
    <cellStyle name="Normal 4 4 2 6 7 5" xfId="8253"/>
    <cellStyle name="Normal 4 4 2 6 7 5 2" xfId="16478"/>
    <cellStyle name="Normal 4 4 2 6 7 5 2 2" xfId="32928"/>
    <cellStyle name="Normal 4 4 2 6 7 5 3" xfId="24703"/>
    <cellStyle name="Normal 4 4 2 6 7 5 4" xfId="41157"/>
    <cellStyle name="Normal 4 4 2 6 7 6" xfId="9898"/>
    <cellStyle name="Normal 4 4 2 6 7 6 2" xfId="26348"/>
    <cellStyle name="Normal 4 4 2 6 7 7" xfId="18122"/>
    <cellStyle name="Normal 4 4 2 6 7 8" xfId="34576"/>
    <cellStyle name="Normal 4 4 2 6 8" xfId="1903"/>
    <cellStyle name="Normal 4 4 2 6 8 2" xfId="10133"/>
    <cellStyle name="Normal 4 4 2 6 8 2 2" xfId="26583"/>
    <cellStyle name="Normal 4 4 2 6 8 3" xfId="18357"/>
    <cellStyle name="Normal 4 4 2 6 8 4" xfId="34811"/>
    <cellStyle name="Normal 4 4 2 6 9" xfId="3553"/>
    <cellStyle name="Normal 4 4 2 6 9 2" xfId="11778"/>
    <cellStyle name="Normal 4 4 2 6 9 2 2" xfId="28228"/>
    <cellStyle name="Normal 4 4 2 6 9 3" xfId="20003"/>
    <cellStyle name="Normal 4 4 2 6 9 4" xfId="36457"/>
    <cellStyle name="Normal 4 4 2 7" xfId="228"/>
    <cellStyle name="Normal 4 4 2 7 10" xfId="5225"/>
    <cellStyle name="Normal 4 4 2 7 10 2" xfId="13450"/>
    <cellStyle name="Normal 4 4 2 7 10 2 2" xfId="29900"/>
    <cellStyle name="Normal 4 4 2 7 10 3" xfId="21675"/>
    <cellStyle name="Normal 4 4 2 7 10 4" xfId="38129"/>
    <cellStyle name="Normal 4 4 2 7 11" xfId="6870"/>
    <cellStyle name="Normal 4 4 2 7 11 2" xfId="15095"/>
    <cellStyle name="Normal 4 4 2 7 11 2 2" xfId="31545"/>
    <cellStyle name="Normal 4 4 2 7 11 3" xfId="23320"/>
    <cellStyle name="Normal 4 4 2 7 11 4" xfId="39774"/>
    <cellStyle name="Normal 4 4 2 7 12" xfId="8515"/>
    <cellStyle name="Normal 4 4 2 7 12 2" xfId="24965"/>
    <cellStyle name="Normal 4 4 2 7 13" xfId="16739"/>
    <cellStyle name="Normal 4 4 2 7 14" xfId="33192"/>
    <cellStyle name="Normal 4 4 2 7 15" xfId="41420"/>
    <cellStyle name="Normal 4 4 2 7 2" xfId="471"/>
    <cellStyle name="Normal 4 4 2 7 2 2" xfId="2168"/>
    <cellStyle name="Normal 4 4 2 7 2 2 2" xfId="10395"/>
    <cellStyle name="Normal 4 4 2 7 2 2 2 2" xfId="26845"/>
    <cellStyle name="Normal 4 4 2 7 2 2 3" xfId="18620"/>
    <cellStyle name="Normal 4 4 2 7 2 2 4" xfId="35074"/>
    <cellStyle name="Normal 4 4 2 7 2 3" xfId="3815"/>
    <cellStyle name="Normal 4 4 2 7 2 3 2" xfId="12040"/>
    <cellStyle name="Normal 4 4 2 7 2 3 2 2" xfId="28490"/>
    <cellStyle name="Normal 4 4 2 7 2 3 3" xfId="20265"/>
    <cellStyle name="Normal 4 4 2 7 2 3 4" xfId="36719"/>
    <cellStyle name="Normal 4 4 2 7 2 4" xfId="5460"/>
    <cellStyle name="Normal 4 4 2 7 2 4 2" xfId="13685"/>
    <cellStyle name="Normal 4 4 2 7 2 4 2 2" xfId="30135"/>
    <cellStyle name="Normal 4 4 2 7 2 4 3" xfId="21910"/>
    <cellStyle name="Normal 4 4 2 7 2 4 4" xfId="38364"/>
    <cellStyle name="Normal 4 4 2 7 2 5" xfId="7105"/>
    <cellStyle name="Normal 4 4 2 7 2 5 2" xfId="15330"/>
    <cellStyle name="Normal 4 4 2 7 2 5 2 2" xfId="31780"/>
    <cellStyle name="Normal 4 4 2 7 2 5 3" xfId="23555"/>
    <cellStyle name="Normal 4 4 2 7 2 5 4" xfId="40009"/>
    <cellStyle name="Normal 4 4 2 7 2 6" xfId="8750"/>
    <cellStyle name="Normal 4 4 2 7 2 6 2" xfId="25200"/>
    <cellStyle name="Normal 4 4 2 7 2 7" xfId="16974"/>
    <cellStyle name="Normal 4 4 2 7 2 8" xfId="33428"/>
    <cellStyle name="Normal 4 4 2 7 2 9" xfId="41655"/>
    <cellStyle name="Normal 4 4 2 7 3" xfId="710"/>
    <cellStyle name="Normal 4 4 2 7 3 2" xfId="2405"/>
    <cellStyle name="Normal 4 4 2 7 3 2 2" xfId="10630"/>
    <cellStyle name="Normal 4 4 2 7 3 2 2 2" xfId="27080"/>
    <cellStyle name="Normal 4 4 2 7 3 2 3" xfId="18855"/>
    <cellStyle name="Normal 4 4 2 7 3 2 4" xfId="35309"/>
    <cellStyle name="Normal 4 4 2 7 3 3" xfId="4050"/>
    <cellStyle name="Normal 4 4 2 7 3 3 2" xfId="12275"/>
    <cellStyle name="Normal 4 4 2 7 3 3 2 2" xfId="28725"/>
    <cellStyle name="Normal 4 4 2 7 3 3 3" xfId="20500"/>
    <cellStyle name="Normal 4 4 2 7 3 3 4" xfId="36954"/>
    <cellStyle name="Normal 4 4 2 7 3 4" xfId="5695"/>
    <cellStyle name="Normal 4 4 2 7 3 4 2" xfId="13920"/>
    <cellStyle name="Normal 4 4 2 7 3 4 2 2" xfId="30370"/>
    <cellStyle name="Normal 4 4 2 7 3 4 3" xfId="22145"/>
    <cellStyle name="Normal 4 4 2 7 3 4 4" xfId="38599"/>
    <cellStyle name="Normal 4 4 2 7 3 5" xfId="7340"/>
    <cellStyle name="Normal 4 4 2 7 3 5 2" xfId="15565"/>
    <cellStyle name="Normal 4 4 2 7 3 5 2 2" xfId="32015"/>
    <cellStyle name="Normal 4 4 2 7 3 5 3" xfId="23790"/>
    <cellStyle name="Normal 4 4 2 7 3 5 4" xfId="40244"/>
    <cellStyle name="Normal 4 4 2 7 3 6" xfId="8985"/>
    <cellStyle name="Normal 4 4 2 7 3 6 2" xfId="25435"/>
    <cellStyle name="Normal 4 4 2 7 3 7" xfId="17209"/>
    <cellStyle name="Normal 4 4 2 7 3 8" xfId="33663"/>
    <cellStyle name="Normal 4 4 2 7 3 9" xfId="41890"/>
    <cellStyle name="Normal 4 4 2 7 4" xfId="945"/>
    <cellStyle name="Normal 4 4 2 7 4 2" xfId="2640"/>
    <cellStyle name="Normal 4 4 2 7 4 2 2" xfId="10865"/>
    <cellStyle name="Normal 4 4 2 7 4 2 2 2" xfId="27315"/>
    <cellStyle name="Normal 4 4 2 7 4 2 3" xfId="19090"/>
    <cellStyle name="Normal 4 4 2 7 4 2 4" xfId="35544"/>
    <cellStyle name="Normal 4 4 2 7 4 3" xfId="4285"/>
    <cellStyle name="Normal 4 4 2 7 4 3 2" xfId="12510"/>
    <cellStyle name="Normal 4 4 2 7 4 3 2 2" xfId="28960"/>
    <cellStyle name="Normal 4 4 2 7 4 3 3" xfId="20735"/>
    <cellStyle name="Normal 4 4 2 7 4 3 4" xfId="37189"/>
    <cellStyle name="Normal 4 4 2 7 4 4" xfId="5930"/>
    <cellStyle name="Normal 4 4 2 7 4 4 2" xfId="14155"/>
    <cellStyle name="Normal 4 4 2 7 4 4 2 2" xfId="30605"/>
    <cellStyle name="Normal 4 4 2 7 4 4 3" xfId="22380"/>
    <cellStyle name="Normal 4 4 2 7 4 4 4" xfId="38834"/>
    <cellStyle name="Normal 4 4 2 7 4 5" xfId="7575"/>
    <cellStyle name="Normal 4 4 2 7 4 5 2" xfId="15800"/>
    <cellStyle name="Normal 4 4 2 7 4 5 2 2" xfId="32250"/>
    <cellStyle name="Normal 4 4 2 7 4 5 3" xfId="24025"/>
    <cellStyle name="Normal 4 4 2 7 4 5 4" xfId="40479"/>
    <cellStyle name="Normal 4 4 2 7 4 6" xfId="9220"/>
    <cellStyle name="Normal 4 4 2 7 4 6 2" xfId="25670"/>
    <cellStyle name="Normal 4 4 2 7 4 7" xfId="17444"/>
    <cellStyle name="Normal 4 4 2 7 4 8" xfId="33898"/>
    <cellStyle name="Normal 4 4 2 7 4 9" xfId="42125"/>
    <cellStyle name="Normal 4 4 2 7 5" xfId="1180"/>
    <cellStyle name="Normal 4 4 2 7 5 2" xfId="2875"/>
    <cellStyle name="Normal 4 4 2 7 5 2 2" xfId="11100"/>
    <cellStyle name="Normal 4 4 2 7 5 2 2 2" xfId="27550"/>
    <cellStyle name="Normal 4 4 2 7 5 2 3" xfId="19325"/>
    <cellStyle name="Normal 4 4 2 7 5 2 4" xfId="35779"/>
    <cellStyle name="Normal 4 4 2 7 5 3" xfId="4520"/>
    <cellStyle name="Normal 4 4 2 7 5 3 2" xfId="12745"/>
    <cellStyle name="Normal 4 4 2 7 5 3 2 2" xfId="29195"/>
    <cellStyle name="Normal 4 4 2 7 5 3 3" xfId="20970"/>
    <cellStyle name="Normal 4 4 2 7 5 3 4" xfId="37424"/>
    <cellStyle name="Normal 4 4 2 7 5 4" xfId="6165"/>
    <cellStyle name="Normal 4 4 2 7 5 4 2" xfId="14390"/>
    <cellStyle name="Normal 4 4 2 7 5 4 2 2" xfId="30840"/>
    <cellStyle name="Normal 4 4 2 7 5 4 3" xfId="22615"/>
    <cellStyle name="Normal 4 4 2 7 5 4 4" xfId="39069"/>
    <cellStyle name="Normal 4 4 2 7 5 5" xfId="7810"/>
    <cellStyle name="Normal 4 4 2 7 5 5 2" xfId="16035"/>
    <cellStyle name="Normal 4 4 2 7 5 5 2 2" xfId="32485"/>
    <cellStyle name="Normal 4 4 2 7 5 5 3" xfId="24260"/>
    <cellStyle name="Normal 4 4 2 7 5 5 4" xfId="40714"/>
    <cellStyle name="Normal 4 4 2 7 5 6" xfId="9455"/>
    <cellStyle name="Normal 4 4 2 7 5 6 2" xfId="25905"/>
    <cellStyle name="Normal 4 4 2 7 5 7" xfId="17679"/>
    <cellStyle name="Normal 4 4 2 7 5 8" xfId="34133"/>
    <cellStyle name="Normal 4 4 2 7 5 9" xfId="42360"/>
    <cellStyle name="Normal 4 4 2 7 6" xfId="1460"/>
    <cellStyle name="Normal 4 4 2 7 6 2" xfId="3110"/>
    <cellStyle name="Normal 4 4 2 7 6 2 2" xfId="11335"/>
    <cellStyle name="Normal 4 4 2 7 6 2 2 2" xfId="27785"/>
    <cellStyle name="Normal 4 4 2 7 6 2 3" xfId="19560"/>
    <cellStyle name="Normal 4 4 2 7 6 2 4" xfId="36014"/>
    <cellStyle name="Normal 4 4 2 7 6 3" xfId="4755"/>
    <cellStyle name="Normal 4 4 2 7 6 3 2" xfId="12980"/>
    <cellStyle name="Normal 4 4 2 7 6 3 2 2" xfId="29430"/>
    <cellStyle name="Normal 4 4 2 7 6 3 3" xfId="21205"/>
    <cellStyle name="Normal 4 4 2 7 6 3 4" xfId="37659"/>
    <cellStyle name="Normal 4 4 2 7 6 4" xfId="6400"/>
    <cellStyle name="Normal 4 4 2 7 6 4 2" xfId="14625"/>
    <cellStyle name="Normal 4 4 2 7 6 4 2 2" xfId="31075"/>
    <cellStyle name="Normal 4 4 2 7 6 4 3" xfId="22850"/>
    <cellStyle name="Normal 4 4 2 7 6 4 4" xfId="39304"/>
    <cellStyle name="Normal 4 4 2 7 6 5" xfId="8045"/>
    <cellStyle name="Normal 4 4 2 7 6 5 2" xfId="16270"/>
    <cellStyle name="Normal 4 4 2 7 6 5 2 2" xfId="32720"/>
    <cellStyle name="Normal 4 4 2 7 6 5 3" xfId="24495"/>
    <cellStyle name="Normal 4 4 2 7 6 5 4" xfId="40949"/>
    <cellStyle name="Normal 4 4 2 7 6 6" xfId="9690"/>
    <cellStyle name="Normal 4 4 2 7 6 6 2" xfId="26140"/>
    <cellStyle name="Normal 4 4 2 7 6 7" xfId="17914"/>
    <cellStyle name="Normal 4 4 2 7 6 8" xfId="34368"/>
    <cellStyle name="Normal 4 4 2 7 7" xfId="1695"/>
    <cellStyle name="Normal 4 4 2 7 7 2" xfId="3345"/>
    <cellStyle name="Normal 4 4 2 7 7 2 2" xfId="11570"/>
    <cellStyle name="Normal 4 4 2 7 7 2 2 2" xfId="28020"/>
    <cellStyle name="Normal 4 4 2 7 7 2 3" xfId="19795"/>
    <cellStyle name="Normal 4 4 2 7 7 2 4" xfId="36249"/>
    <cellStyle name="Normal 4 4 2 7 7 3" xfId="4990"/>
    <cellStyle name="Normal 4 4 2 7 7 3 2" xfId="13215"/>
    <cellStyle name="Normal 4 4 2 7 7 3 2 2" xfId="29665"/>
    <cellStyle name="Normal 4 4 2 7 7 3 3" xfId="21440"/>
    <cellStyle name="Normal 4 4 2 7 7 3 4" xfId="37894"/>
    <cellStyle name="Normal 4 4 2 7 7 4" xfId="6635"/>
    <cellStyle name="Normal 4 4 2 7 7 4 2" xfId="14860"/>
    <cellStyle name="Normal 4 4 2 7 7 4 2 2" xfId="31310"/>
    <cellStyle name="Normal 4 4 2 7 7 4 3" xfId="23085"/>
    <cellStyle name="Normal 4 4 2 7 7 4 4" xfId="39539"/>
    <cellStyle name="Normal 4 4 2 7 7 5" xfId="8280"/>
    <cellStyle name="Normal 4 4 2 7 7 5 2" xfId="16505"/>
    <cellStyle name="Normal 4 4 2 7 7 5 2 2" xfId="32955"/>
    <cellStyle name="Normal 4 4 2 7 7 5 3" xfId="24730"/>
    <cellStyle name="Normal 4 4 2 7 7 5 4" xfId="41184"/>
    <cellStyle name="Normal 4 4 2 7 7 6" xfId="9925"/>
    <cellStyle name="Normal 4 4 2 7 7 6 2" xfId="26375"/>
    <cellStyle name="Normal 4 4 2 7 7 7" xfId="18149"/>
    <cellStyle name="Normal 4 4 2 7 7 8" xfId="34603"/>
    <cellStyle name="Normal 4 4 2 7 8" xfId="1930"/>
    <cellStyle name="Normal 4 4 2 7 8 2" xfId="10160"/>
    <cellStyle name="Normal 4 4 2 7 8 2 2" xfId="26610"/>
    <cellStyle name="Normal 4 4 2 7 8 3" xfId="18384"/>
    <cellStyle name="Normal 4 4 2 7 8 4" xfId="34838"/>
    <cellStyle name="Normal 4 4 2 7 9" xfId="3580"/>
    <cellStyle name="Normal 4 4 2 7 9 2" xfId="11805"/>
    <cellStyle name="Normal 4 4 2 7 9 2 2" xfId="28255"/>
    <cellStyle name="Normal 4 4 2 7 9 3" xfId="20030"/>
    <cellStyle name="Normal 4 4 2 7 9 4" xfId="36484"/>
    <cellStyle name="Normal 4 4 2 8" xfId="257"/>
    <cellStyle name="Normal 4 4 2 8 10" xfId="5252"/>
    <cellStyle name="Normal 4 4 2 8 10 2" xfId="13477"/>
    <cellStyle name="Normal 4 4 2 8 10 2 2" xfId="29927"/>
    <cellStyle name="Normal 4 4 2 8 10 3" xfId="21702"/>
    <cellStyle name="Normal 4 4 2 8 10 4" xfId="38156"/>
    <cellStyle name="Normal 4 4 2 8 11" xfId="6897"/>
    <cellStyle name="Normal 4 4 2 8 11 2" xfId="15122"/>
    <cellStyle name="Normal 4 4 2 8 11 2 2" xfId="31572"/>
    <cellStyle name="Normal 4 4 2 8 11 3" xfId="23347"/>
    <cellStyle name="Normal 4 4 2 8 11 4" xfId="39801"/>
    <cellStyle name="Normal 4 4 2 8 12" xfId="8542"/>
    <cellStyle name="Normal 4 4 2 8 12 2" xfId="24992"/>
    <cellStyle name="Normal 4 4 2 8 13" xfId="16766"/>
    <cellStyle name="Normal 4 4 2 8 14" xfId="33219"/>
    <cellStyle name="Normal 4 4 2 8 15" xfId="41447"/>
    <cellStyle name="Normal 4 4 2 8 2" xfId="500"/>
    <cellStyle name="Normal 4 4 2 8 2 2" xfId="2195"/>
    <cellStyle name="Normal 4 4 2 8 2 2 2" xfId="10422"/>
    <cellStyle name="Normal 4 4 2 8 2 2 2 2" xfId="26872"/>
    <cellStyle name="Normal 4 4 2 8 2 2 3" xfId="18647"/>
    <cellStyle name="Normal 4 4 2 8 2 2 4" xfId="35101"/>
    <cellStyle name="Normal 4 4 2 8 2 3" xfId="3842"/>
    <cellStyle name="Normal 4 4 2 8 2 3 2" xfId="12067"/>
    <cellStyle name="Normal 4 4 2 8 2 3 2 2" xfId="28517"/>
    <cellStyle name="Normal 4 4 2 8 2 3 3" xfId="20292"/>
    <cellStyle name="Normal 4 4 2 8 2 3 4" xfId="36746"/>
    <cellStyle name="Normal 4 4 2 8 2 4" xfId="5487"/>
    <cellStyle name="Normal 4 4 2 8 2 4 2" xfId="13712"/>
    <cellStyle name="Normal 4 4 2 8 2 4 2 2" xfId="30162"/>
    <cellStyle name="Normal 4 4 2 8 2 4 3" xfId="21937"/>
    <cellStyle name="Normal 4 4 2 8 2 4 4" xfId="38391"/>
    <cellStyle name="Normal 4 4 2 8 2 5" xfId="7132"/>
    <cellStyle name="Normal 4 4 2 8 2 5 2" xfId="15357"/>
    <cellStyle name="Normal 4 4 2 8 2 5 2 2" xfId="31807"/>
    <cellStyle name="Normal 4 4 2 8 2 5 3" xfId="23582"/>
    <cellStyle name="Normal 4 4 2 8 2 5 4" xfId="40036"/>
    <cellStyle name="Normal 4 4 2 8 2 6" xfId="8777"/>
    <cellStyle name="Normal 4 4 2 8 2 6 2" xfId="25227"/>
    <cellStyle name="Normal 4 4 2 8 2 7" xfId="17001"/>
    <cellStyle name="Normal 4 4 2 8 2 8" xfId="33455"/>
    <cellStyle name="Normal 4 4 2 8 2 9" xfId="41682"/>
    <cellStyle name="Normal 4 4 2 8 3" xfId="737"/>
    <cellStyle name="Normal 4 4 2 8 3 2" xfId="2432"/>
    <cellStyle name="Normal 4 4 2 8 3 2 2" xfId="10657"/>
    <cellStyle name="Normal 4 4 2 8 3 2 2 2" xfId="27107"/>
    <cellStyle name="Normal 4 4 2 8 3 2 3" xfId="18882"/>
    <cellStyle name="Normal 4 4 2 8 3 2 4" xfId="35336"/>
    <cellStyle name="Normal 4 4 2 8 3 3" xfId="4077"/>
    <cellStyle name="Normal 4 4 2 8 3 3 2" xfId="12302"/>
    <cellStyle name="Normal 4 4 2 8 3 3 2 2" xfId="28752"/>
    <cellStyle name="Normal 4 4 2 8 3 3 3" xfId="20527"/>
    <cellStyle name="Normal 4 4 2 8 3 3 4" xfId="36981"/>
    <cellStyle name="Normal 4 4 2 8 3 4" xfId="5722"/>
    <cellStyle name="Normal 4 4 2 8 3 4 2" xfId="13947"/>
    <cellStyle name="Normal 4 4 2 8 3 4 2 2" xfId="30397"/>
    <cellStyle name="Normal 4 4 2 8 3 4 3" xfId="22172"/>
    <cellStyle name="Normal 4 4 2 8 3 4 4" xfId="38626"/>
    <cellStyle name="Normal 4 4 2 8 3 5" xfId="7367"/>
    <cellStyle name="Normal 4 4 2 8 3 5 2" xfId="15592"/>
    <cellStyle name="Normal 4 4 2 8 3 5 2 2" xfId="32042"/>
    <cellStyle name="Normal 4 4 2 8 3 5 3" xfId="23817"/>
    <cellStyle name="Normal 4 4 2 8 3 5 4" xfId="40271"/>
    <cellStyle name="Normal 4 4 2 8 3 6" xfId="9012"/>
    <cellStyle name="Normal 4 4 2 8 3 6 2" xfId="25462"/>
    <cellStyle name="Normal 4 4 2 8 3 7" xfId="17236"/>
    <cellStyle name="Normal 4 4 2 8 3 8" xfId="33690"/>
    <cellStyle name="Normal 4 4 2 8 3 9" xfId="41917"/>
    <cellStyle name="Normal 4 4 2 8 4" xfId="972"/>
    <cellStyle name="Normal 4 4 2 8 4 2" xfId="2667"/>
    <cellStyle name="Normal 4 4 2 8 4 2 2" xfId="10892"/>
    <cellStyle name="Normal 4 4 2 8 4 2 2 2" xfId="27342"/>
    <cellStyle name="Normal 4 4 2 8 4 2 3" xfId="19117"/>
    <cellStyle name="Normal 4 4 2 8 4 2 4" xfId="35571"/>
    <cellStyle name="Normal 4 4 2 8 4 3" xfId="4312"/>
    <cellStyle name="Normal 4 4 2 8 4 3 2" xfId="12537"/>
    <cellStyle name="Normal 4 4 2 8 4 3 2 2" xfId="28987"/>
    <cellStyle name="Normal 4 4 2 8 4 3 3" xfId="20762"/>
    <cellStyle name="Normal 4 4 2 8 4 3 4" xfId="37216"/>
    <cellStyle name="Normal 4 4 2 8 4 4" xfId="5957"/>
    <cellStyle name="Normal 4 4 2 8 4 4 2" xfId="14182"/>
    <cellStyle name="Normal 4 4 2 8 4 4 2 2" xfId="30632"/>
    <cellStyle name="Normal 4 4 2 8 4 4 3" xfId="22407"/>
    <cellStyle name="Normal 4 4 2 8 4 4 4" xfId="38861"/>
    <cellStyle name="Normal 4 4 2 8 4 5" xfId="7602"/>
    <cellStyle name="Normal 4 4 2 8 4 5 2" xfId="15827"/>
    <cellStyle name="Normal 4 4 2 8 4 5 2 2" xfId="32277"/>
    <cellStyle name="Normal 4 4 2 8 4 5 3" xfId="24052"/>
    <cellStyle name="Normal 4 4 2 8 4 5 4" xfId="40506"/>
    <cellStyle name="Normal 4 4 2 8 4 6" xfId="9247"/>
    <cellStyle name="Normal 4 4 2 8 4 6 2" xfId="25697"/>
    <cellStyle name="Normal 4 4 2 8 4 7" xfId="17471"/>
    <cellStyle name="Normal 4 4 2 8 4 8" xfId="33925"/>
    <cellStyle name="Normal 4 4 2 8 4 9" xfId="42152"/>
    <cellStyle name="Normal 4 4 2 8 5" xfId="1207"/>
    <cellStyle name="Normal 4 4 2 8 5 2" xfId="2902"/>
    <cellStyle name="Normal 4 4 2 8 5 2 2" xfId="11127"/>
    <cellStyle name="Normal 4 4 2 8 5 2 2 2" xfId="27577"/>
    <cellStyle name="Normal 4 4 2 8 5 2 3" xfId="19352"/>
    <cellStyle name="Normal 4 4 2 8 5 2 4" xfId="35806"/>
    <cellStyle name="Normal 4 4 2 8 5 3" xfId="4547"/>
    <cellStyle name="Normal 4 4 2 8 5 3 2" xfId="12772"/>
    <cellStyle name="Normal 4 4 2 8 5 3 2 2" xfId="29222"/>
    <cellStyle name="Normal 4 4 2 8 5 3 3" xfId="20997"/>
    <cellStyle name="Normal 4 4 2 8 5 3 4" xfId="37451"/>
    <cellStyle name="Normal 4 4 2 8 5 4" xfId="6192"/>
    <cellStyle name="Normal 4 4 2 8 5 4 2" xfId="14417"/>
    <cellStyle name="Normal 4 4 2 8 5 4 2 2" xfId="30867"/>
    <cellStyle name="Normal 4 4 2 8 5 4 3" xfId="22642"/>
    <cellStyle name="Normal 4 4 2 8 5 4 4" xfId="39096"/>
    <cellStyle name="Normal 4 4 2 8 5 5" xfId="7837"/>
    <cellStyle name="Normal 4 4 2 8 5 5 2" xfId="16062"/>
    <cellStyle name="Normal 4 4 2 8 5 5 2 2" xfId="32512"/>
    <cellStyle name="Normal 4 4 2 8 5 5 3" xfId="24287"/>
    <cellStyle name="Normal 4 4 2 8 5 5 4" xfId="40741"/>
    <cellStyle name="Normal 4 4 2 8 5 6" xfId="9482"/>
    <cellStyle name="Normal 4 4 2 8 5 6 2" xfId="25932"/>
    <cellStyle name="Normal 4 4 2 8 5 7" xfId="17706"/>
    <cellStyle name="Normal 4 4 2 8 5 8" xfId="34160"/>
    <cellStyle name="Normal 4 4 2 8 5 9" xfId="42387"/>
    <cellStyle name="Normal 4 4 2 8 6" xfId="1487"/>
    <cellStyle name="Normal 4 4 2 8 6 2" xfId="3137"/>
    <cellStyle name="Normal 4 4 2 8 6 2 2" xfId="11362"/>
    <cellStyle name="Normal 4 4 2 8 6 2 2 2" xfId="27812"/>
    <cellStyle name="Normal 4 4 2 8 6 2 3" xfId="19587"/>
    <cellStyle name="Normal 4 4 2 8 6 2 4" xfId="36041"/>
    <cellStyle name="Normal 4 4 2 8 6 3" xfId="4782"/>
    <cellStyle name="Normal 4 4 2 8 6 3 2" xfId="13007"/>
    <cellStyle name="Normal 4 4 2 8 6 3 2 2" xfId="29457"/>
    <cellStyle name="Normal 4 4 2 8 6 3 3" xfId="21232"/>
    <cellStyle name="Normal 4 4 2 8 6 3 4" xfId="37686"/>
    <cellStyle name="Normal 4 4 2 8 6 4" xfId="6427"/>
    <cellStyle name="Normal 4 4 2 8 6 4 2" xfId="14652"/>
    <cellStyle name="Normal 4 4 2 8 6 4 2 2" xfId="31102"/>
    <cellStyle name="Normal 4 4 2 8 6 4 3" xfId="22877"/>
    <cellStyle name="Normal 4 4 2 8 6 4 4" xfId="39331"/>
    <cellStyle name="Normal 4 4 2 8 6 5" xfId="8072"/>
    <cellStyle name="Normal 4 4 2 8 6 5 2" xfId="16297"/>
    <cellStyle name="Normal 4 4 2 8 6 5 2 2" xfId="32747"/>
    <cellStyle name="Normal 4 4 2 8 6 5 3" xfId="24522"/>
    <cellStyle name="Normal 4 4 2 8 6 5 4" xfId="40976"/>
    <cellStyle name="Normal 4 4 2 8 6 6" xfId="9717"/>
    <cellStyle name="Normal 4 4 2 8 6 6 2" xfId="26167"/>
    <cellStyle name="Normal 4 4 2 8 6 7" xfId="17941"/>
    <cellStyle name="Normal 4 4 2 8 6 8" xfId="34395"/>
    <cellStyle name="Normal 4 4 2 8 7" xfId="1722"/>
    <cellStyle name="Normal 4 4 2 8 7 2" xfId="3372"/>
    <cellStyle name="Normal 4 4 2 8 7 2 2" xfId="11597"/>
    <cellStyle name="Normal 4 4 2 8 7 2 2 2" xfId="28047"/>
    <cellStyle name="Normal 4 4 2 8 7 2 3" xfId="19822"/>
    <cellStyle name="Normal 4 4 2 8 7 2 4" xfId="36276"/>
    <cellStyle name="Normal 4 4 2 8 7 3" xfId="5017"/>
    <cellStyle name="Normal 4 4 2 8 7 3 2" xfId="13242"/>
    <cellStyle name="Normal 4 4 2 8 7 3 2 2" xfId="29692"/>
    <cellStyle name="Normal 4 4 2 8 7 3 3" xfId="21467"/>
    <cellStyle name="Normal 4 4 2 8 7 3 4" xfId="37921"/>
    <cellStyle name="Normal 4 4 2 8 7 4" xfId="6662"/>
    <cellStyle name="Normal 4 4 2 8 7 4 2" xfId="14887"/>
    <cellStyle name="Normal 4 4 2 8 7 4 2 2" xfId="31337"/>
    <cellStyle name="Normal 4 4 2 8 7 4 3" xfId="23112"/>
    <cellStyle name="Normal 4 4 2 8 7 4 4" xfId="39566"/>
    <cellStyle name="Normal 4 4 2 8 7 5" xfId="8307"/>
    <cellStyle name="Normal 4 4 2 8 7 5 2" xfId="16532"/>
    <cellStyle name="Normal 4 4 2 8 7 5 2 2" xfId="32982"/>
    <cellStyle name="Normal 4 4 2 8 7 5 3" xfId="24757"/>
    <cellStyle name="Normal 4 4 2 8 7 5 4" xfId="41211"/>
    <cellStyle name="Normal 4 4 2 8 7 6" xfId="9952"/>
    <cellStyle name="Normal 4 4 2 8 7 6 2" xfId="26402"/>
    <cellStyle name="Normal 4 4 2 8 7 7" xfId="18176"/>
    <cellStyle name="Normal 4 4 2 8 7 8" xfId="34630"/>
    <cellStyle name="Normal 4 4 2 8 8" xfId="1957"/>
    <cellStyle name="Normal 4 4 2 8 8 2" xfId="10187"/>
    <cellStyle name="Normal 4 4 2 8 8 2 2" xfId="26637"/>
    <cellStyle name="Normal 4 4 2 8 8 3" xfId="18411"/>
    <cellStyle name="Normal 4 4 2 8 8 4" xfId="34865"/>
    <cellStyle name="Normal 4 4 2 8 9" xfId="3607"/>
    <cellStyle name="Normal 4 4 2 8 9 2" xfId="11832"/>
    <cellStyle name="Normal 4 4 2 8 9 2 2" xfId="28282"/>
    <cellStyle name="Normal 4 4 2 8 9 3" xfId="20057"/>
    <cellStyle name="Normal 4 4 2 8 9 4" xfId="36511"/>
    <cellStyle name="Normal 4 4 2 9" xfId="286"/>
    <cellStyle name="Normal 4 4 2 9 2" xfId="1987"/>
    <cellStyle name="Normal 4 4 2 9 2 2" xfId="10214"/>
    <cellStyle name="Normal 4 4 2 9 2 2 2" xfId="26664"/>
    <cellStyle name="Normal 4 4 2 9 2 3" xfId="18439"/>
    <cellStyle name="Normal 4 4 2 9 2 4" xfId="34893"/>
    <cellStyle name="Normal 4 4 2 9 3" xfId="3634"/>
    <cellStyle name="Normal 4 4 2 9 3 2" xfId="11859"/>
    <cellStyle name="Normal 4 4 2 9 3 2 2" xfId="28309"/>
    <cellStyle name="Normal 4 4 2 9 3 3" xfId="20084"/>
    <cellStyle name="Normal 4 4 2 9 3 4" xfId="36538"/>
    <cellStyle name="Normal 4 4 2 9 4" xfId="5279"/>
    <cellStyle name="Normal 4 4 2 9 4 2" xfId="13504"/>
    <cellStyle name="Normal 4 4 2 9 4 2 2" xfId="29954"/>
    <cellStyle name="Normal 4 4 2 9 4 3" xfId="21729"/>
    <cellStyle name="Normal 4 4 2 9 4 4" xfId="38183"/>
    <cellStyle name="Normal 4 4 2 9 5" xfId="6924"/>
    <cellStyle name="Normal 4 4 2 9 5 2" xfId="15149"/>
    <cellStyle name="Normal 4 4 2 9 5 2 2" xfId="31599"/>
    <cellStyle name="Normal 4 4 2 9 5 3" xfId="23374"/>
    <cellStyle name="Normal 4 4 2 9 5 4" xfId="39828"/>
    <cellStyle name="Normal 4 4 2 9 6" xfId="8569"/>
    <cellStyle name="Normal 4 4 2 9 6 2" xfId="25019"/>
    <cellStyle name="Normal 4 4 2 9 7" xfId="16793"/>
    <cellStyle name="Normal 4 4 2 9 8" xfId="33247"/>
    <cellStyle name="Normal 4 4 2 9 9" xfId="41474"/>
    <cellStyle name="Normal 4 4 20" xfId="8327"/>
    <cellStyle name="Normal 4 4 20 2" xfId="24777"/>
    <cellStyle name="Normal 4 4 21" xfId="16551"/>
    <cellStyle name="Normal 4 4 22" xfId="33004"/>
    <cellStyle name="Normal 4 4 23" xfId="41232"/>
    <cellStyle name="Normal 4 4 3" xfId="63"/>
    <cellStyle name="Normal 4 4 3 10" xfId="3417"/>
    <cellStyle name="Normal 4 4 3 10 2" xfId="11642"/>
    <cellStyle name="Normal 4 4 3 10 2 2" xfId="28092"/>
    <cellStyle name="Normal 4 4 3 10 3" xfId="19867"/>
    <cellStyle name="Normal 4 4 3 10 4" xfId="36321"/>
    <cellStyle name="Normal 4 4 3 11" xfId="5062"/>
    <cellStyle name="Normal 4 4 3 11 2" xfId="13287"/>
    <cellStyle name="Normal 4 4 3 11 2 2" xfId="29737"/>
    <cellStyle name="Normal 4 4 3 11 3" xfId="21512"/>
    <cellStyle name="Normal 4 4 3 11 4" xfId="37966"/>
    <cellStyle name="Normal 4 4 3 12" xfId="6707"/>
    <cellStyle name="Normal 4 4 3 12 2" xfId="14932"/>
    <cellStyle name="Normal 4 4 3 12 2 2" xfId="31382"/>
    <cellStyle name="Normal 4 4 3 12 3" xfId="23157"/>
    <cellStyle name="Normal 4 4 3 12 4" xfId="39611"/>
    <cellStyle name="Normal 4 4 3 13" xfId="8352"/>
    <cellStyle name="Normal 4 4 3 13 2" xfId="24802"/>
    <cellStyle name="Normal 4 4 3 14" xfId="16576"/>
    <cellStyle name="Normal 4 4 3 15" xfId="33029"/>
    <cellStyle name="Normal 4 4 3 16" xfId="41257"/>
    <cellStyle name="Normal 4 4 3 2" xfId="113"/>
    <cellStyle name="Normal 4 4 3 2 10" xfId="5112"/>
    <cellStyle name="Normal 4 4 3 2 10 2" xfId="13337"/>
    <cellStyle name="Normal 4 4 3 2 10 2 2" xfId="29787"/>
    <cellStyle name="Normal 4 4 3 2 10 3" xfId="21562"/>
    <cellStyle name="Normal 4 4 3 2 10 4" xfId="38016"/>
    <cellStyle name="Normal 4 4 3 2 11" xfId="6757"/>
    <cellStyle name="Normal 4 4 3 2 11 2" xfId="14982"/>
    <cellStyle name="Normal 4 4 3 2 11 2 2" xfId="31432"/>
    <cellStyle name="Normal 4 4 3 2 11 3" xfId="23207"/>
    <cellStyle name="Normal 4 4 3 2 11 4" xfId="39661"/>
    <cellStyle name="Normal 4 4 3 2 12" xfId="8402"/>
    <cellStyle name="Normal 4 4 3 2 12 2" xfId="24852"/>
    <cellStyle name="Normal 4 4 3 2 13" xfId="16626"/>
    <cellStyle name="Normal 4 4 3 2 14" xfId="33079"/>
    <cellStyle name="Normal 4 4 3 2 15" xfId="41307"/>
    <cellStyle name="Normal 4 4 3 2 2" xfId="356"/>
    <cellStyle name="Normal 4 4 3 2 2 2" xfId="2055"/>
    <cellStyle name="Normal 4 4 3 2 2 2 2" xfId="10282"/>
    <cellStyle name="Normal 4 4 3 2 2 2 2 2" xfId="26732"/>
    <cellStyle name="Normal 4 4 3 2 2 2 3" xfId="18507"/>
    <cellStyle name="Normal 4 4 3 2 2 2 4" xfId="34961"/>
    <cellStyle name="Normal 4 4 3 2 2 3" xfId="3702"/>
    <cellStyle name="Normal 4 4 3 2 2 3 2" xfId="11927"/>
    <cellStyle name="Normal 4 4 3 2 2 3 2 2" xfId="28377"/>
    <cellStyle name="Normal 4 4 3 2 2 3 3" xfId="20152"/>
    <cellStyle name="Normal 4 4 3 2 2 3 4" xfId="36606"/>
    <cellStyle name="Normal 4 4 3 2 2 4" xfId="5347"/>
    <cellStyle name="Normal 4 4 3 2 2 4 2" xfId="13572"/>
    <cellStyle name="Normal 4 4 3 2 2 4 2 2" xfId="30022"/>
    <cellStyle name="Normal 4 4 3 2 2 4 3" xfId="21797"/>
    <cellStyle name="Normal 4 4 3 2 2 4 4" xfId="38251"/>
    <cellStyle name="Normal 4 4 3 2 2 5" xfId="6992"/>
    <cellStyle name="Normal 4 4 3 2 2 5 2" xfId="15217"/>
    <cellStyle name="Normal 4 4 3 2 2 5 2 2" xfId="31667"/>
    <cellStyle name="Normal 4 4 3 2 2 5 3" xfId="23442"/>
    <cellStyle name="Normal 4 4 3 2 2 5 4" xfId="39896"/>
    <cellStyle name="Normal 4 4 3 2 2 6" xfId="8637"/>
    <cellStyle name="Normal 4 4 3 2 2 6 2" xfId="25087"/>
    <cellStyle name="Normal 4 4 3 2 2 7" xfId="16861"/>
    <cellStyle name="Normal 4 4 3 2 2 8" xfId="33315"/>
    <cellStyle name="Normal 4 4 3 2 2 9" xfId="41542"/>
    <cellStyle name="Normal 4 4 3 2 3" xfId="597"/>
    <cellStyle name="Normal 4 4 3 2 3 2" xfId="2292"/>
    <cellStyle name="Normal 4 4 3 2 3 2 2" xfId="10517"/>
    <cellStyle name="Normal 4 4 3 2 3 2 2 2" xfId="26967"/>
    <cellStyle name="Normal 4 4 3 2 3 2 3" xfId="18742"/>
    <cellStyle name="Normal 4 4 3 2 3 2 4" xfId="35196"/>
    <cellStyle name="Normal 4 4 3 2 3 3" xfId="3937"/>
    <cellStyle name="Normal 4 4 3 2 3 3 2" xfId="12162"/>
    <cellStyle name="Normal 4 4 3 2 3 3 2 2" xfId="28612"/>
    <cellStyle name="Normal 4 4 3 2 3 3 3" xfId="20387"/>
    <cellStyle name="Normal 4 4 3 2 3 3 4" xfId="36841"/>
    <cellStyle name="Normal 4 4 3 2 3 4" xfId="5582"/>
    <cellStyle name="Normal 4 4 3 2 3 4 2" xfId="13807"/>
    <cellStyle name="Normal 4 4 3 2 3 4 2 2" xfId="30257"/>
    <cellStyle name="Normal 4 4 3 2 3 4 3" xfId="22032"/>
    <cellStyle name="Normal 4 4 3 2 3 4 4" xfId="38486"/>
    <cellStyle name="Normal 4 4 3 2 3 5" xfId="7227"/>
    <cellStyle name="Normal 4 4 3 2 3 5 2" xfId="15452"/>
    <cellStyle name="Normal 4 4 3 2 3 5 2 2" xfId="31902"/>
    <cellStyle name="Normal 4 4 3 2 3 5 3" xfId="23677"/>
    <cellStyle name="Normal 4 4 3 2 3 5 4" xfId="40131"/>
    <cellStyle name="Normal 4 4 3 2 3 6" xfId="8872"/>
    <cellStyle name="Normal 4 4 3 2 3 6 2" xfId="25322"/>
    <cellStyle name="Normal 4 4 3 2 3 7" xfId="17096"/>
    <cellStyle name="Normal 4 4 3 2 3 8" xfId="33550"/>
    <cellStyle name="Normal 4 4 3 2 3 9" xfId="41777"/>
    <cellStyle name="Normal 4 4 3 2 4" xfId="832"/>
    <cellStyle name="Normal 4 4 3 2 4 2" xfId="2527"/>
    <cellStyle name="Normal 4 4 3 2 4 2 2" xfId="10752"/>
    <cellStyle name="Normal 4 4 3 2 4 2 2 2" xfId="27202"/>
    <cellStyle name="Normal 4 4 3 2 4 2 3" xfId="18977"/>
    <cellStyle name="Normal 4 4 3 2 4 2 4" xfId="35431"/>
    <cellStyle name="Normal 4 4 3 2 4 3" xfId="4172"/>
    <cellStyle name="Normal 4 4 3 2 4 3 2" xfId="12397"/>
    <cellStyle name="Normal 4 4 3 2 4 3 2 2" xfId="28847"/>
    <cellStyle name="Normal 4 4 3 2 4 3 3" xfId="20622"/>
    <cellStyle name="Normal 4 4 3 2 4 3 4" xfId="37076"/>
    <cellStyle name="Normal 4 4 3 2 4 4" xfId="5817"/>
    <cellStyle name="Normal 4 4 3 2 4 4 2" xfId="14042"/>
    <cellStyle name="Normal 4 4 3 2 4 4 2 2" xfId="30492"/>
    <cellStyle name="Normal 4 4 3 2 4 4 3" xfId="22267"/>
    <cellStyle name="Normal 4 4 3 2 4 4 4" xfId="38721"/>
    <cellStyle name="Normal 4 4 3 2 4 5" xfId="7462"/>
    <cellStyle name="Normal 4 4 3 2 4 5 2" xfId="15687"/>
    <cellStyle name="Normal 4 4 3 2 4 5 2 2" xfId="32137"/>
    <cellStyle name="Normal 4 4 3 2 4 5 3" xfId="23912"/>
    <cellStyle name="Normal 4 4 3 2 4 5 4" xfId="40366"/>
    <cellStyle name="Normal 4 4 3 2 4 6" xfId="9107"/>
    <cellStyle name="Normal 4 4 3 2 4 6 2" xfId="25557"/>
    <cellStyle name="Normal 4 4 3 2 4 7" xfId="17331"/>
    <cellStyle name="Normal 4 4 3 2 4 8" xfId="33785"/>
    <cellStyle name="Normal 4 4 3 2 4 9" xfId="42012"/>
    <cellStyle name="Normal 4 4 3 2 5" xfId="1067"/>
    <cellStyle name="Normal 4 4 3 2 5 2" xfId="2762"/>
    <cellStyle name="Normal 4 4 3 2 5 2 2" xfId="10987"/>
    <cellStyle name="Normal 4 4 3 2 5 2 2 2" xfId="27437"/>
    <cellStyle name="Normal 4 4 3 2 5 2 3" xfId="19212"/>
    <cellStyle name="Normal 4 4 3 2 5 2 4" xfId="35666"/>
    <cellStyle name="Normal 4 4 3 2 5 3" xfId="4407"/>
    <cellStyle name="Normal 4 4 3 2 5 3 2" xfId="12632"/>
    <cellStyle name="Normal 4 4 3 2 5 3 2 2" xfId="29082"/>
    <cellStyle name="Normal 4 4 3 2 5 3 3" xfId="20857"/>
    <cellStyle name="Normal 4 4 3 2 5 3 4" xfId="37311"/>
    <cellStyle name="Normal 4 4 3 2 5 4" xfId="6052"/>
    <cellStyle name="Normal 4 4 3 2 5 4 2" xfId="14277"/>
    <cellStyle name="Normal 4 4 3 2 5 4 2 2" xfId="30727"/>
    <cellStyle name="Normal 4 4 3 2 5 4 3" xfId="22502"/>
    <cellStyle name="Normal 4 4 3 2 5 4 4" xfId="38956"/>
    <cellStyle name="Normal 4 4 3 2 5 5" xfId="7697"/>
    <cellStyle name="Normal 4 4 3 2 5 5 2" xfId="15922"/>
    <cellStyle name="Normal 4 4 3 2 5 5 2 2" xfId="32372"/>
    <cellStyle name="Normal 4 4 3 2 5 5 3" xfId="24147"/>
    <cellStyle name="Normal 4 4 3 2 5 5 4" xfId="40601"/>
    <cellStyle name="Normal 4 4 3 2 5 6" xfId="9342"/>
    <cellStyle name="Normal 4 4 3 2 5 6 2" xfId="25792"/>
    <cellStyle name="Normal 4 4 3 2 5 7" xfId="17566"/>
    <cellStyle name="Normal 4 4 3 2 5 8" xfId="34020"/>
    <cellStyle name="Normal 4 4 3 2 5 9" xfId="42247"/>
    <cellStyle name="Normal 4 4 3 2 6" xfId="1347"/>
    <cellStyle name="Normal 4 4 3 2 6 2" xfId="2997"/>
    <cellStyle name="Normal 4 4 3 2 6 2 2" xfId="11222"/>
    <cellStyle name="Normal 4 4 3 2 6 2 2 2" xfId="27672"/>
    <cellStyle name="Normal 4 4 3 2 6 2 3" xfId="19447"/>
    <cellStyle name="Normal 4 4 3 2 6 2 4" xfId="35901"/>
    <cellStyle name="Normal 4 4 3 2 6 3" xfId="4642"/>
    <cellStyle name="Normal 4 4 3 2 6 3 2" xfId="12867"/>
    <cellStyle name="Normal 4 4 3 2 6 3 2 2" xfId="29317"/>
    <cellStyle name="Normal 4 4 3 2 6 3 3" xfId="21092"/>
    <cellStyle name="Normal 4 4 3 2 6 3 4" xfId="37546"/>
    <cellStyle name="Normal 4 4 3 2 6 4" xfId="6287"/>
    <cellStyle name="Normal 4 4 3 2 6 4 2" xfId="14512"/>
    <cellStyle name="Normal 4 4 3 2 6 4 2 2" xfId="30962"/>
    <cellStyle name="Normal 4 4 3 2 6 4 3" xfId="22737"/>
    <cellStyle name="Normal 4 4 3 2 6 4 4" xfId="39191"/>
    <cellStyle name="Normal 4 4 3 2 6 5" xfId="7932"/>
    <cellStyle name="Normal 4 4 3 2 6 5 2" xfId="16157"/>
    <cellStyle name="Normal 4 4 3 2 6 5 2 2" xfId="32607"/>
    <cellStyle name="Normal 4 4 3 2 6 5 3" xfId="24382"/>
    <cellStyle name="Normal 4 4 3 2 6 5 4" xfId="40836"/>
    <cellStyle name="Normal 4 4 3 2 6 6" xfId="9577"/>
    <cellStyle name="Normal 4 4 3 2 6 6 2" xfId="26027"/>
    <cellStyle name="Normal 4 4 3 2 6 7" xfId="17801"/>
    <cellStyle name="Normal 4 4 3 2 6 8" xfId="34255"/>
    <cellStyle name="Normal 4 4 3 2 7" xfId="1582"/>
    <cellStyle name="Normal 4 4 3 2 7 2" xfId="3232"/>
    <cellStyle name="Normal 4 4 3 2 7 2 2" xfId="11457"/>
    <cellStyle name="Normal 4 4 3 2 7 2 2 2" xfId="27907"/>
    <cellStyle name="Normal 4 4 3 2 7 2 3" xfId="19682"/>
    <cellStyle name="Normal 4 4 3 2 7 2 4" xfId="36136"/>
    <cellStyle name="Normal 4 4 3 2 7 3" xfId="4877"/>
    <cellStyle name="Normal 4 4 3 2 7 3 2" xfId="13102"/>
    <cellStyle name="Normal 4 4 3 2 7 3 2 2" xfId="29552"/>
    <cellStyle name="Normal 4 4 3 2 7 3 3" xfId="21327"/>
    <cellStyle name="Normal 4 4 3 2 7 3 4" xfId="37781"/>
    <cellStyle name="Normal 4 4 3 2 7 4" xfId="6522"/>
    <cellStyle name="Normal 4 4 3 2 7 4 2" xfId="14747"/>
    <cellStyle name="Normal 4 4 3 2 7 4 2 2" xfId="31197"/>
    <cellStyle name="Normal 4 4 3 2 7 4 3" xfId="22972"/>
    <cellStyle name="Normal 4 4 3 2 7 4 4" xfId="39426"/>
    <cellStyle name="Normal 4 4 3 2 7 5" xfId="8167"/>
    <cellStyle name="Normal 4 4 3 2 7 5 2" xfId="16392"/>
    <cellStyle name="Normal 4 4 3 2 7 5 2 2" xfId="32842"/>
    <cellStyle name="Normal 4 4 3 2 7 5 3" xfId="24617"/>
    <cellStyle name="Normal 4 4 3 2 7 5 4" xfId="41071"/>
    <cellStyle name="Normal 4 4 3 2 7 6" xfId="9812"/>
    <cellStyle name="Normal 4 4 3 2 7 6 2" xfId="26262"/>
    <cellStyle name="Normal 4 4 3 2 7 7" xfId="18036"/>
    <cellStyle name="Normal 4 4 3 2 7 8" xfId="34490"/>
    <cellStyle name="Normal 4 4 3 2 8" xfId="1817"/>
    <cellStyle name="Normal 4 4 3 2 8 2" xfId="10047"/>
    <cellStyle name="Normal 4 4 3 2 8 2 2" xfId="26497"/>
    <cellStyle name="Normal 4 4 3 2 8 3" xfId="18271"/>
    <cellStyle name="Normal 4 4 3 2 8 4" xfId="34725"/>
    <cellStyle name="Normal 4 4 3 2 9" xfId="3467"/>
    <cellStyle name="Normal 4 4 3 2 9 2" xfId="11692"/>
    <cellStyle name="Normal 4 4 3 2 9 2 2" xfId="28142"/>
    <cellStyle name="Normal 4 4 3 2 9 3" xfId="19917"/>
    <cellStyle name="Normal 4 4 3 2 9 4" xfId="36371"/>
    <cellStyle name="Normal 4 4 3 3" xfId="306"/>
    <cellStyle name="Normal 4 4 3 3 2" xfId="2005"/>
    <cellStyle name="Normal 4 4 3 3 2 2" xfId="10232"/>
    <cellStyle name="Normal 4 4 3 3 2 2 2" xfId="26682"/>
    <cellStyle name="Normal 4 4 3 3 2 3" xfId="18457"/>
    <cellStyle name="Normal 4 4 3 3 2 4" xfId="34911"/>
    <cellStyle name="Normal 4 4 3 3 3" xfId="3652"/>
    <cellStyle name="Normal 4 4 3 3 3 2" xfId="11877"/>
    <cellStyle name="Normal 4 4 3 3 3 2 2" xfId="28327"/>
    <cellStyle name="Normal 4 4 3 3 3 3" xfId="20102"/>
    <cellStyle name="Normal 4 4 3 3 3 4" xfId="36556"/>
    <cellStyle name="Normal 4 4 3 3 4" xfId="5297"/>
    <cellStyle name="Normal 4 4 3 3 4 2" xfId="13522"/>
    <cellStyle name="Normal 4 4 3 3 4 2 2" xfId="29972"/>
    <cellStyle name="Normal 4 4 3 3 4 3" xfId="21747"/>
    <cellStyle name="Normal 4 4 3 3 4 4" xfId="38201"/>
    <cellStyle name="Normal 4 4 3 3 5" xfId="6942"/>
    <cellStyle name="Normal 4 4 3 3 5 2" xfId="15167"/>
    <cellStyle name="Normal 4 4 3 3 5 2 2" xfId="31617"/>
    <cellStyle name="Normal 4 4 3 3 5 3" xfId="23392"/>
    <cellStyle name="Normal 4 4 3 3 5 4" xfId="39846"/>
    <cellStyle name="Normal 4 4 3 3 6" xfId="8587"/>
    <cellStyle name="Normal 4 4 3 3 6 2" xfId="25037"/>
    <cellStyle name="Normal 4 4 3 3 7" xfId="16811"/>
    <cellStyle name="Normal 4 4 3 3 8" xfId="33265"/>
    <cellStyle name="Normal 4 4 3 3 9" xfId="41492"/>
    <cellStyle name="Normal 4 4 3 4" xfId="547"/>
    <cellStyle name="Normal 4 4 3 4 2" xfId="2242"/>
    <cellStyle name="Normal 4 4 3 4 2 2" xfId="10467"/>
    <cellStyle name="Normal 4 4 3 4 2 2 2" xfId="26917"/>
    <cellStyle name="Normal 4 4 3 4 2 3" xfId="18692"/>
    <cellStyle name="Normal 4 4 3 4 2 4" xfId="35146"/>
    <cellStyle name="Normal 4 4 3 4 3" xfId="3887"/>
    <cellStyle name="Normal 4 4 3 4 3 2" xfId="12112"/>
    <cellStyle name="Normal 4 4 3 4 3 2 2" xfId="28562"/>
    <cellStyle name="Normal 4 4 3 4 3 3" xfId="20337"/>
    <cellStyle name="Normal 4 4 3 4 3 4" xfId="36791"/>
    <cellStyle name="Normal 4 4 3 4 4" xfId="5532"/>
    <cellStyle name="Normal 4 4 3 4 4 2" xfId="13757"/>
    <cellStyle name="Normal 4 4 3 4 4 2 2" xfId="30207"/>
    <cellStyle name="Normal 4 4 3 4 4 3" xfId="21982"/>
    <cellStyle name="Normal 4 4 3 4 4 4" xfId="38436"/>
    <cellStyle name="Normal 4 4 3 4 5" xfId="7177"/>
    <cellStyle name="Normal 4 4 3 4 5 2" xfId="15402"/>
    <cellStyle name="Normal 4 4 3 4 5 2 2" xfId="31852"/>
    <cellStyle name="Normal 4 4 3 4 5 3" xfId="23627"/>
    <cellStyle name="Normal 4 4 3 4 5 4" xfId="40081"/>
    <cellStyle name="Normal 4 4 3 4 6" xfId="8822"/>
    <cellStyle name="Normal 4 4 3 4 6 2" xfId="25272"/>
    <cellStyle name="Normal 4 4 3 4 7" xfId="17046"/>
    <cellStyle name="Normal 4 4 3 4 8" xfId="33500"/>
    <cellStyle name="Normal 4 4 3 4 9" xfId="41727"/>
    <cellStyle name="Normal 4 4 3 5" xfId="782"/>
    <cellStyle name="Normal 4 4 3 5 2" xfId="2477"/>
    <cellStyle name="Normal 4 4 3 5 2 2" xfId="10702"/>
    <cellStyle name="Normal 4 4 3 5 2 2 2" xfId="27152"/>
    <cellStyle name="Normal 4 4 3 5 2 3" xfId="18927"/>
    <cellStyle name="Normal 4 4 3 5 2 4" xfId="35381"/>
    <cellStyle name="Normal 4 4 3 5 3" xfId="4122"/>
    <cellStyle name="Normal 4 4 3 5 3 2" xfId="12347"/>
    <cellStyle name="Normal 4 4 3 5 3 2 2" xfId="28797"/>
    <cellStyle name="Normal 4 4 3 5 3 3" xfId="20572"/>
    <cellStyle name="Normal 4 4 3 5 3 4" xfId="37026"/>
    <cellStyle name="Normal 4 4 3 5 4" xfId="5767"/>
    <cellStyle name="Normal 4 4 3 5 4 2" xfId="13992"/>
    <cellStyle name="Normal 4 4 3 5 4 2 2" xfId="30442"/>
    <cellStyle name="Normal 4 4 3 5 4 3" xfId="22217"/>
    <cellStyle name="Normal 4 4 3 5 4 4" xfId="38671"/>
    <cellStyle name="Normal 4 4 3 5 5" xfId="7412"/>
    <cellStyle name="Normal 4 4 3 5 5 2" xfId="15637"/>
    <cellStyle name="Normal 4 4 3 5 5 2 2" xfId="32087"/>
    <cellStyle name="Normal 4 4 3 5 5 3" xfId="23862"/>
    <cellStyle name="Normal 4 4 3 5 5 4" xfId="40316"/>
    <cellStyle name="Normal 4 4 3 5 6" xfId="9057"/>
    <cellStyle name="Normal 4 4 3 5 6 2" xfId="25507"/>
    <cellStyle name="Normal 4 4 3 5 7" xfId="17281"/>
    <cellStyle name="Normal 4 4 3 5 8" xfId="33735"/>
    <cellStyle name="Normal 4 4 3 5 9" xfId="41962"/>
    <cellStyle name="Normal 4 4 3 6" xfId="1017"/>
    <cellStyle name="Normal 4 4 3 6 2" xfId="2712"/>
    <cellStyle name="Normal 4 4 3 6 2 2" xfId="10937"/>
    <cellStyle name="Normal 4 4 3 6 2 2 2" xfId="27387"/>
    <cellStyle name="Normal 4 4 3 6 2 3" xfId="19162"/>
    <cellStyle name="Normal 4 4 3 6 2 4" xfId="35616"/>
    <cellStyle name="Normal 4 4 3 6 3" xfId="4357"/>
    <cellStyle name="Normal 4 4 3 6 3 2" xfId="12582"/>
    <cellStyle name="Normal 4 4 3 6 3 2 2" xfId="29032"/>
    <cellStyle name="Normal 4 4 3 6 3 3" xfId="20807"/>
    <cellStyle name="Normal 4 4 3 6 3 4" xfId="37261"/>
    <cellStyle name="Normal 4 4 3 6 4" xfId="6002"/>
    <cellStyle name="Normal 4 4 3 6 4 2" xfId="14227"/>
    <cellStyle name="Normal 4 4 3 6 4 2 2" xfId="30677"/>
    <cellStyle name="Normal 4 4 3 6 4 3" xfId="22452"/>
    <cellStyle name="Normal 4 4 3 6 4 4" xfId="38906"/>
    <cellStyle name="Normal 4 4 3 6 5" xfId="7647"/>
    <cellStyle name="Normal 4 4 3 6 5 2" xfId="15872"/>
    <cellStyle name="Normal 4 4 3 6 5 2 2" xfId="32322"/>
    <cellStyle name="Normal 4 4 3 6 5 3" xfId="24097"/>
    <cellStyle name="Normal 4 4 3 6 5 4" xfId="40551"/>
    <cellStyle name="Normal 4 4 3 6 6" xfId="9292"/>
    <cellStyle name="Normal 4 4 3 6 6 2" xfId="25742"/>
    <cellStyle name="Normal 4 4 3 6 7" xfId="17516"/>
    <cellStyle name="Normal 4 4 3 6 8" xfId="33970"/>
    <cellStyle name="Normal 4 4 3 6 9" xfId="42197"/>
    <cellStyle name="Normal 4 4 3 7" xfId="1297"/>
    <cellStyle name="Normal 4 4 3 7 2" xfId="2947"/>
    <cellStyle name="Normal 4 4 3 7 2 2" xfId="11172"/>
    <cellStyle name="Normal 4 4 3 7 2 2 2" xfId="27622"/>
    <cellStyle name="Normal 4 4 3 7 2 3" xfId="19397"/>
    <cellStyle name="Normal 4 4 3 7 2 4" xfId="35851"/>
    <cellStyle name="Normal 4 4 3 7 3" xfId="4592"/>
    <cellStyle name="Normal 4 4 3 7 3 2" xfId="12817"/>
    <cellStyle name="Normal 4 4 3 7 3 2 2" xfId="29267"/>
    <cellStyle name="Normal 4 4 3 7 3 3" xfId="21042"/>
    <cellStyle name="Normal 4 4 3 7 3 4" xfId="37496"/>
    <cellStyle name="Normal 4 4 3 7 4" xfId="6237"/>
    <cellStyle name="Normal 4 4 3 7 4 2" xfId="14462"/>
    <cellStyle name="Normal 4 4 3 7 4 2 2" xfId="30912"/>
    <cellStyle name="Normal 4 4 3 7 4 3" xfId="22687"/>
    <cellStyle name="Normal 4 4 3 7 4 4" xfId="39141"/>
    <cellStyle name="Normal 4 4 3 7 5" xfId="7882"/>
    <cellStyle name="Normal 4 4 3 7 5 2" xfId="16107"/>
    <cellStyle name="Normal 4 4 3 7 5 2 2" xfId="32557"/>
    <cellStyle name="Normal 4 4 3 7 5 3" xfId="24332"/>
    <cellStyle name="Normal 4 4 3 7 5 4" xfId="40786"/>
    <cellStyle name="Normal 4 4 3 7 6" xfId="9527"/>
    <cellStyle name="Normal 4 4 3 7 6 2" xfId="25977"/>
    <cellStyle name="Normal 4 4 3 7 7" xfId="17751"/>
    <cellStyle name="Normal 4 4 3 7 8" xfId="34205"/>
    <cellStyle name="Normal 4 4 3 8" xfId="1532"/>
    <cellStyle name="Normal 4 4 3 8 2" xfId="3182"/>
    <cellStyle name="Normal 4 4 3 8 2 2" xfId="11407"/>
    <cellStyle name="Normal 4 4 3 8 2 2 2" xfId="27857"/>
    <cellStyle name="Normal 4 4 3 8 2 3" xfId="19632"/>
    <cellStyle name="Normal 4 4 3 8 2 4" xfId="36086"/>
    <cellStyle name="Normal 4 4 3 8 3" xfId="4827"/>
    <cellStyle name="Normal 4 4 3 8 3 2" xfId="13052"/>
    <cellStyle name="Normal 4 4 3 8 3 2 2" xfId="29502"/>
    <cellStyle name="Normal 4 4 3 8 3 3" xfId="21277"/>
    <cellStyle name="Normal 4 4 3 8 3 4" xfId="37731"/>
    <cellStyle name="Normal 4 4 3 8 4" xfId="6472"/>
    <cellStyle name="Normal 4 4 3 8 4 2" xfId="14697"/>
    <cellStyle name="Normal 4 4 3 8 4 2 2" xfId="31147"/>
    <cellStyle name="Normal 4 4 3 8 4 3" xfId="22922"/>
    <cellStyle name="Normal 4 4 3 8 4 4" xfId="39376"/>
    <cellStyle name="Normal 4 4 3 8 5" xfId="8117"/>
    <cellStyle name="Normal 4 4 3 8 5 2" xfId="16342"/>
    <cellStyle name="Normal 4 4 3 8 5 2 2" xfId="32792"/>
    <cellStyle name="Normal 4 4 3 8 5 3" xfId="24567"/>
    <cellStyle name="Normal 4 4 3 8 5 4" xfId="41021"/>
    <cellStyle name="Normal 4 4 3 8 6" xfId="9762"/>
    <cellStyle name="Normal 4 4 3 8 6 2" xfId="26212"/>
    <cellStyle name="Normal 4 4 3 8 7" xfId="17986"/>
    <cellStyle name="Normal 4 4 3 8 8" xfId="34440"/>
    <cellStyle name="Normal 4 4 3 9" xfId="1767"/>
    <cellStyle name="Normal 4 4 3 9 2" xfId="9997"/>
    <cellStyle name="Normal 4 4 3 9 2 2" xfId="26447"/>
    <cellStyle name="Normal 4 4 3 9 3" xfId="18221"/>
    <cellStyle name="Normal 4 4 3 9 4" xfId="34675"/>
    <cellStyle name="Normal 4 4 4" xfId="88"/>
    <cellStyle name="Normal 4 4 4 10" xfId="5087"/>
    <cellStyle name="Normal 4 4 4 10 2" xfId="13312"/>
    <cellStyle name="Normal 4 4 4 10 2 2" xfId="29762"/>
    <cellStyle name="Normal 4 4 4 10 3" xfId="21537"/>
    <cellStyle name="Normal 4 4 4 10 4" xfId="37991"/>
    <cellStyle name="Normal 4 4 4 11" xfId="6732"/>
    <cellStyle name="Normal 4 4 4 11 2" xfId="14957"/>
    <cellStyle name="Normal 4 4 4 11 2 2" xfId="31407"/>
    <cellStyle name="Normal 4 4 4 11 3" xfId="23182"/>
    <cellStyle name="Normal 4 4 4 11 4" xfId="39636"/>
    <cellStyle name="Normal 4 4 4 12" xfId="8377"/>
    <cellStyle name="Normal 4 4 4 12 2" xfId="24827"/>
    <cellStyle name="Normal 4 4 4 13" xfId="16601"/>
    <cellStyle name="Normal 4 4 4 14" xfId="33054"/>
    <cellStyle name="Normal 4 4 4 15" xfId="41282"/>
    <cellStyle name="Normal 4 4 4 2" xfId="331"/>
    <cellStyle name="Normal 4 4 4 2 2" xfId="2030"/>
    <cellStyle name="Normal 4 4 4 2 2 2" xfId="10257"/>
    <cellStyle name="Normal 4 4 4 2 2 2 2" xfId="26707"/>
    <cellStyle name="Normal 4 4 4 2 2 3" xfId="18482"/>
    <cellStyle name="Normal 4 4 4 2 2 4" xfId="34936"/>
    <cellStyle name="Normal 4 4 4 2 3" xfId="3677"/>
    <cellStyle name="Normal 4 4 4 2 3 2" xfId="11902"/>
    <cellStyle name="Normal 4 4 4 2 3 2 2" xfId="28352"/>
    <cellStyle name="Normal 4 4 4 2 3 3" xfId="20127"/>
    <cellStyle name="Normal 4 4 4 2 3 4" xfId="36581"/>
    <cellStyle name="Normal 4 4 4 2 4" xfId="5322"/>
    <cellStyle name="Normal 4 4 4 2 4 2" xfId="13547"/>
    <cellStyle name="Normal 4 4 4 2 4 2 2" xfId="29997"/>
    <cellStyle name="Normal 4 4 4 2 4 3" xfId="21772"/>
    <cellStyle name="Normal 4 4 4 2 4 4" xfId="38226"/>
    <cellStyle name="Normal 4 4 4 2 5" xfId="6967"/>
    <cellStyle name="Normal 4 4 4 2 5 2" xfId="15192"/>
    <cellStyle name="Normal 4 4 4 2 5 2 2" xfId="31642"/>
    <cellStyle name="Normal 4 4 4 2 5 3" xfId="23417"/>
    <cellStyle name="Normal 4 4 4 2 5 4" xfId="39871"/>
    <cellStyle name="Normal 4 4 4 2 6" xfId="8612"/>
    <cellStyle name="Normal 4 4 4 2 6 2" xfId="25062"/>
    <cellStyle name="Normal 4 4 4 2 7" xfId="16836"/>
    <cellStyle name="Normal 4 4 4 2 8" xfId="33290"/>
    <cellStyle name="Normal 4 4 4 2 9" xfId="41517"/>
    <cellStyle name="Normal 4 4 4 3" xfId="572"/>
    <cellStyle name="Normal 4 4 4 3 2" xfId="2267"/>
    <cellStyle name="Normal 4 4 4 3 2 2" xfId="10492"/>
    <cellStyle name="Normal 4 4 4 3 2 2 2" xfId="26942"/>
    <cellStyle name="Normal 4 4 4 3 2 3" xfId="18717"/>
    <cellStyle name="Normal 4 4 4 3 2 4" xfId="35171"/>
    <cellStyle name="Normal 4 4 4 3 3" xfId="3912"/>
    <cellStyle name="Normal 4 4 4 3 3 2" xfId="12137"/>
    <cellStyle name="Normal 4 4 4 3 3 2 2" xfId="28587"/>
    <cellStyle name="Normal 4 4 4 3 3 3" xfId="20362"/>
    <cellStyle name="Normal 4 4 4 3 3 4" xfId="36816"/>
    <cellStyle name="Normal 4 4 4 3 4" xfId="5557"/>
    <cellStyle name="Normal 4 4 4 3 4 2" xfId="13782"/>
    <cellStyle name="Normal 4 4 4 3 4 2 2" xfId="30232"/>
    <cellStyle name="Normal 4 4 4 3 4 3" xfId="22007"/>
    <cellStyle name="Normal 4 4 4 3 4 4" xfId="38461"/>
    <cellStyle name="Normal 4 4 4 3 5" xfId="7202"/>
    <cellStyle name="Normal 4 4 4 3 5 2" xfId="15427"/>
    <cellStyle name="Normal 4 4 4 3 5 2 2" xfId="31877"/>
    <cellStyle name="Normal 4 4 4 3 5 3" xfId="23652"/>
    <cellStyle name="Normal 4 4 4 3 5 4" xfId="40106"/>
    <cellStyle name="Normal 4 4 4 3 6" xfId="8847"/>
    <cellStyle name="Normal 4 4 4 3 6 2" xfId="25297"/>
    <cellStyle name="Normal 4 4 4 3 7" xfId="17071"/>
    <cellStyle name="Normal 4 4 4 3 8" xfId="33525"/>
    <cellStyle name="Normal 4 4 4 3 9" xfId="41752"/>
    <cellStyle name="Normal 4 4 4 4" xfId="807"/>
    <cellStyle name="Normal 4 4 4 4 2" xfId="2502"/>
    <cellStyle name="Normal 4 4 4 4 2 2" xfId="10727"/>
    <cellStyle name="Normal 4 4 4 4 2 2 2" xfId="27177"/>
    <cellStyle name="Normal 4 4 4 4 2 3" xfId="18952"/>
    <cellStyle name="Normal 4 4 4 4 2 4" xfId="35406"/>
    <cellStyle name="Normal 4 4 4 4 3" xfId="4147"/>
    <cellStyle name="Normal 4 4 4 4 3 2" xfId="12372"/>
    <cellStyle name="Normal 4 4 4 4 3 2 2" xfId="28822"/>
    <cellStyle name="Normal 4 4 4 4 3 3" xfId="20597"/>
    <cellStyle name="Normal 4 4 4 4 3 4" xfId="37051"/>
    <cellStyle name="Normal 4 4 4 4 4" xfId="5792"/>
    <cellStyle name="Normal 4 4 4 4 4 2" xfId="14017"/>
    <cellStyle name="Normal 4 4 4 4 4 2 2" xfId="30467"/>
    <cellStyle name="Normal 4 4 4 4 4 3" xfId="22242"/>
    <cellStyle name="Normal 4 4 4 4 4 4" xfId="38696"/>
    <cellStyle name="Normal 4 4 4 4 5" xfId="7437"/>
    <cellStyle name="Normal 4 4 4 4 5 2" xfId="15662"/>
    <cellStyle name="Normal 4 4 4 4 5 2 2" xfId="32112"/>
    <cellStyle name="Normal 4 4 4 4 5 3" xfId="23887"/>
    <cellStyle name="Normal 4 4 4 4 5 4" xfId="40341"/>
    <cellStyle name="Normal 4 4 4 4 6" xfId="9082"/>
    <cellStyle name="Normal 4 4 4 4 6 2" xfId="25532"/>
    <cellStyle name="Normal 4 4 4 4 7" xfId="17306"/>
    <cellStyle name="Normal 4 4 4 4 8" xfId="33760"/>
    <cellStyle name="Normal 4 4 4 4 9" xfId="41987"/>
    <cellStyle name="Normal 4 4 4 5" xfId="1042"/>
    <cellStyle name="Normal 4 4 4 5 2" xfId="2737"/>
    <cellStyle name="Normal 4 4 4 5 2 2" xfId="10962"/>
    <cellStyle name="Normal 4 4 4 5 2 2 2" xfId="27412"/>
    <cellStyle name="Normal 4 4 4 5 2 3" xfId="19187"/>
    <cellStyle name="Normal 4 4 4 5 2 4" xfId="35641"/>
    <cellStyle name="Normal 4 4 4 5 3" xfId="4382"/>
    <cellStyle name="Normal 4 4 4 5 3 2" xfId="12607"/>
    <cellStyle name="Normal 4 4 4 5 3 2 2" xfId="29057"/>
    <cellStyle name="Normal 4 4 4 5 3 3" xfId="20832"/>
    <cellStyle name="Normal 4 4 4 5 3 4" xfId="37286"/>
    <cellStyle name="Normal 4 4 4 5 4" xfId="6027"/>
    <cellStyle name="Normal 4 4 4 5 4 2" xfId="14252"/>
    <cellStyle name="Normal 4 4 4 5 4 2 2" xfId="30702"/>
    <cellStyle name="Normal 4 4 4 5 4 3" xfId="22477"/>
    <cellStyle name="Normal 4 4 4 5 4 4" xfId="38931"/>
    <cellStyle name="Normal 4 4 4 5 5" xfId="7672"/>
    <cellStyle name="Normal 4 4 4 5 5 2" xfId="15897"/>
    <cellStyle name="Normal 4 4 4 5 5 2 2" xfId="32347"/>
    <cellStyle name="Normal 4 4 4 5 5 3" xfId="24122"/>
    <cellStyle name="Normal 4 4 4 5 5 4" xfId="40576"/>
    <cellStyle name="Normal 4 4 4 5 6" xfId="9317"/>
    <cellStyle name="Normal 4 4 4 5 6 2" xfId="25767"/>
    <cellStyle name="Normal 4 4 4 5 7" xfId="17541"/>
    <cellStyle name="Normal 4 4 4 5 8" xfId="33995"/>
    <cellStyle name="Normal 4 4 4 5 9" xfId="42222"/>
    <cellStyle name="Normal 4 4 4 6" xfId="1322"/>
    <cellStyle name="Normal 4 4 4 6 2" xfId="2972"/>
    <cellStyle name="Normal 4 4 4 6 2 2" xfId="11197"/>
    <cellStyle name="Normal 4 4 4 6 2 2 2" xfId="27647"/>
    <cellStyle name="Normal 4 4 4 6 2 3" xfId="19422"/>
    <cellStyle name="Normal 4 4 4 6 2 4" xfId="35876"/>
    <cellStyle name="Normal 4 4 4 6 3" xfId="4617"/>
    <cellStyle name="Normal 4 4 4 6 3 2" xfId="12842"/>
    <cellStyle name="Normal 4 4 4 6 3 2 2" xfId="29292"/>
    <cellStyle name="Normal 4 4 4 6 3 3" xfId="21067"/>
    <cellStyle name="Normal 4 4 4 6 3 4" xfId="37521"/>
    <cellStyle name="Normal 4 4 4 6 4" xfId="6262"/>
    <cellStyle name="Normal 4 4 4 6 4 2" xfId="14487"/>
    <cellStyle name="Normal 4 4 4 6 4 2 2" xfId="30937"/>
    <cellStyle name="Normal 4 4 4 6 4 3" xfId="22712"/>
    <cellStyle name="Normal 4 4 4 6 4 4" xfId="39166"/>
    <cellStyle name="Normal 4 4 4 6 5" xfId="7907"/>
    <cellStyle name="Normal 4 4 4 6 5 2" xfId="16132"/>
    <cellStyle name="Normal 4 4 4 6 5 2 2" xfId="32582"/>
    <cellStyle name="Normal 4 4 4 6 5 3" xfId="24357"/>
    <cellStyle name="Normal 4 4 4 6 5 4" xfId="40811"/>
    <cellStyle name="Normal 4 4 4 6 6" xfId="9552"/>
    <cellStyle name="Normal 4 4 4 6 6 2" xfId="26002"/>
    <cellStyle name="Normal 4 4 4 6 7" xfId="17776"/>
    <cellStyle name="Normal 4 4 4 6 8" xfId="34230"/>
    <cellStyle name="Normal 4 4 4 7" xfId="1557"/>
    <cellStyle name="Normal 4 4 4 7 2" xfId="3207"/>
    <cellStyle name="Normal 4 4 4 7 2 2" xfId="11432"/>
    <cellStyle name="Normal 4 4 4 7 2 2 2" xfId="27882"/>
    <cellStyle name="Normal 4 4 4 7 2 3" xfId="19657"/>
    <cellStyle name="Normal 4 4 4 7 2 4" xfId="36111"/>
    <cellStyle name="Normal 4 4 4 7 3" xfId="4852"/>
    <cellStyle name="Normal 4 4 4 7 3 2" xfId="13077"/>
    <cellStyle name="Normal 4 4 4 7 3 2 2" xfId="29527"/>
    <cellStyle name="Normal 4 4 4 7 3 3" xfId="21302"/>
    <cellStyle name="Normal 4 4 4 7 3 4" xfId="37756"/>
    <cellStyle name="Normal 4 4 4 7 4" xfId="6497"/>
    <cellStyle name="Normal 4 4 4 7 4 2" xfId="14722"/>
    <cellStyle name="Normal 4 4 4 7 4 2 2" xfId="31172"/>
    <cellStyle name="Normal 4 4 4 7 4 3" xfId="22947"/>
    <cellStyle name="Normal 4 4 4 7 4 4" xfId="39401"/>
    <cellStyle name="Normal 4 4 4 7 5" xfId="8142"/>
    <cellStyle name="Normal 4 4 4 7 5 2" xfId="16367"/>
    <cellStyle name="Normal 4 4 4 7 5 2 2" xfId="32817"/>
    <cellStyle name="Normal 4 4 4 7 5 3" xfId="24592"/>
    <cellStyle name="Normal 4 4 4 7 5 4" xfId="41046"/>
    <cellStyle name="Normal 4 4 4 7 6" xfId="9787"/>
    <cellStyle name="Normal 4 4 4 7 6 2" xfId="26237"/>
    <cellStyle name="Normal 4 4 4 7 7" xfId="18011"/>
    <cellStyle name="Normal 4 4 4 7 8" xfId="34465"/>
    <cellStyle name="Normal 4 4 4 8" xfId="1792"/>
    <cellStyle name="Normal 4 4 4 8 2" xfId="10022"/>
    <cellStyle name="Normal 4 4 4 8 2 2" xfId="26472"/>
    <cellStyle name="Normal 4 4 4 8 3" xfId="18246"/>
    <cellStyle name="Normal 4 4 4 8 4" xfId="34700"/>
    <cellStyle name="Normal 4 4 4 9" xfId="3442"/>
    <cellStyle name="Normal 4 4 4 9 2" xfId="11667"/>
    <cellStyle name="Normal 4 4 4 9 2 2" xfId="28117"/>
    <cellStyle name="Normal 4 4 4 9 3" xfId="19892"/>
    <cellStyle name="Normal 4 4 4 9 4" xfId="36346"/>
    <cellStyle name="Normal 4 4 5" xfId="138"/>
    <cellStyle name="Normal 4 4 5 10" xfId="5137"/>
    <cellStyle name="Normal 4 4 5 10 2" xfId="13362"/>
    <cellStyle name="Normal 4 4 5 10 2 2" xfId="29812"/>
    <cellStyle name="Normal 4 4 5 10 3" xfId="21587"/>
    <cellStyle name="Normal 4 4 5 10 4" xfId="38041"/>
    <cellStyle name="Normal 4 4 5 11" xfId="6782"/>
    <cellStyle name="Normal 4 4 5 11 2" xfId="15007"/>
    <cellStyle name="Normal 4 4 5 11 2 2" xfId="31457"/>
    <cellStyle name="Normal 4 4 5 11 3" xfId="23232"/>
    <cellStyle name="Normal 4 4 5 11 4" xfId="39686"/>
    <cellStyle name="Normal 4 4 5 12" xfId="8427"/>
    <cellStyle name="Normal 4 4 5 12 2" xfId="24877"/>
    <cellStyle name="Normal 4 4 5 13" xfId="16651"/>
    <cellStyle name="Normal 4 4 5 14" xfId="33104"/>
    <cellStyle name="Normal 4 4 5 15" xfId="41332"/>
    <cellStyle name="Normal 4 4 5 2" xfId="381"/>
    <cellStyle name="Normal 4 4 5 2 2" xfId="2080"/>
    <cellStyle name="Normal 4 4 5 2 2 2" xfId="10307"/>
    <cellStyle name="Normal 4 4 5 2 2 2 2" xfId="26757"/>
    <cellStyle name="Normal 4 4 5 2 2 3" xfId="18532"/>
    <cellStyle name="Normal 4 4 5 2 2 4" xfId="34986"/>
    <cellStyle name="Normal 4 4 5 2 3" xfId="3727"/>
    <cellStyle name="Normal 4 4 5 2 3 2" xfId="11952"/>
    <cellStyle name="Normal 4 4 5 2 3 2 2" xfId="28402"/>
    <cellStyle name="Normal 4 4 5 2 3 3" xfId="20177"/>
    <cellStyle name="Normal 4 4 5 2 3 4" xfId="36631"/>
    <cellStyle name="Normal 4 4 5 2 4" xfId="5372"/>
    <cellStyle name="Normal 4 4 5 2 4 2" xfId="13597"/>
    <cellStyle name="Normal 4 4 5 2 4 2 2" xfId="30047"/>
    <cellStyle name="Normal 4 4 5 2 4 3" xfId="21822"/>
    <cellStyle name="Normal 4 4 5 2 4 4" xfId="38276"/>
    <cellStyle name="Normal 4 4 5 2 5" xfId="7017"/>
    <cellStyle name="Normal 4 4 5 2 5 2" xfId="15242"/>
    <cellStyle name="Normal 4 4 5 2 5 2 2" xfId="31692"/>
    <cellStyle name="Normal 4 4 5 2 5 3" xfId="23467"/>
    <cellStyle name="Normal 4 4 5 2 5 4" xfId="39921"/>
    <cellStyle name="Normal 4 4 5 2 6" xfId="8662"/>
    <cellStyle name="Normal 4 4 5 2 6 2" xfId="25112"/>
    <cellStyle name="Normal 4 4 5 2 7" xfId="16886"/>
    <cellStyle name="Normal 4 4 5 2 8" xfId="33340"/>
    <cellStyle name="Normal 4 4 5 2 9" xfId="41567"/>
    <cellStyle name="Normal 4 4 5 3" xfId="622"/>
    <cellStyle name="Normal 4 4 5 3 2" xfId="2317"/>
    <cellStyle name="Normal 4 4 5 3 2 2" xfId="10542"/>
    <cellStyle name="Normal 4 4 5 3 2 2 2" xfId="26992"/>
    <cellStyle name="Normal 4 4 5 3 2 3" xfId="18767"/>
    <cellStyle name="Normal 4 4 5 3 2 4" xfId="35221"/>
    <cellStyle name="Normal 4 4 5 3 3" xfId="3962"/>
    <cellStyle name="Normal 4 4 5 3 3 2" xfId="12187"/>
    <cellStyle name="Normal 4 4 5 3 3 2 2" xfId="28637"/>
    <cellStyle name="Normal 4 4 5 3 3 3" xfId="20412"/>
    <cellStyle name="Normal 4 4 5 3 3 4" xfId="36866"/>
    <cellStyle name="Normal 4 4 5 3 4" xfId="5607"/>
    <cellStyle name="Normal 4 4 5 3 4 2" xfId="13832"/>
    <cellStyle name="Normal 4 4 5 3 4 2 2" xfId="30282"/>
    <cellStyle name="Normal 4 4 5 3 4 3" xfId="22057"/>
    <cellStyle name="Normal 4 4 5 3 4 4" xfId="38511"/>
    <cellStyle name="Normal 4 4 5 3 5" xfId="7252"/>
    <cellStyle name="Normal 4 4 5 3 5 2" xfId="15477"/>
    <cellStyle name="Normal 4 4 5 3 5 2 2" xfId="31927"/>
    <cellStyle name="Normal 4 4 5 3 5 3" xfId="23702"/>
    <cellStyle name="Normal 4 4 5 3 5 4" xfId="40156"/>
    <cellStyle name="Normal 4 4 5 3 6" xfId="8897"/>
    <cellStyle name="Normal 4 4 5 3 6 2" xfId="25347"/>
    <cellStyle name="Normal 4 4 5 3 7" xfId="17121"/>
    <cellStyle name="Normal 4 4 5 3 8" xfId="33575"/>
    <cellStyle name="Normal 4 4 5 3 9" xfId="41802"/>
    <cellStyle name="Normal 4 4 5 4" xfId="857"/>
    <cellStyle name="Normal 4 4 5 4 2" xfId="2552"/>
    <cellStyle name="Normal 4 4 5 4 2 2" xfId="10777"/>
    <cellStyle name="Normal 4 4 5 4 2 2 2" xfId="27227"/>
    <cellStyle name="Normal 4 4 5 4 2 3" xfId="19002"/>
    <cellStyle name="Normal 4 4 5 4 2 4" xfId="35456"/>
    <cellStyle name="Normal 4 4 5 4 3" xfId="4197"/>
    <cellStyle name="Normal 4 4 5 4 3 2" xfId="12422"/>
    <cellStyle name="Normal 4 4 5 4 3 2 2" xfId="28872"/>
    <cellStyle name="Normal 4 4 5 4 3 3" xfId="20647"/>
    <cellStyle name="Normal 4 4 5 4 3 4" xfId="37101"/>
    <cellStyle name="Normal 4 4 5 4 4" xfId="5842"/>
    <cellStyle name="Normal 4 4 5 4 4 2" xfId="14067"/>
    <cellStyle name="Normal 4 4 5 4 4 2 2" xfId="30517"/>
    <cellStyle name="Normal 4 4 5 4 4 3" xfId="22292"/>
    <cellStyle name="Normal 4 4 5 4 4 4" xfId="38746"/>
    <cellStyle name="Normal 4 4 5 4 5" xfId="7487"/>
    <cellStyle name="Normal 4 4 5 4 5 2" xfId="15712"/>
    <cellStyle name="Normal 4 4 5 4 5 2 2" xfId="32162"/>
    <cellStyle name="Normal 4 4 5 4 5 3" xfId="23937"/>
    <cellStyle name="Normal 4 4 5 4 5 4" xfId="40391"/>
    <cellStyle name="Normal 4 4 5 4 6" xfId="9132"/>
    <cellStyle name="Normal 4 4 5 4 6 2" xfId="25582"/>
    <cellStyle name="Normal 4 4 5 4 7" xfId="17356"/>
    <cellStyle name="Normal 4 4 5 4 8" xfId="33810"/>
    <cellStyle name="Normal 4 4 5 4 9" xfId="42037"/>
    <cellStyle name="Normal 4 4 5 5" xfId="1092"/>
    <cellStyle name="Normal 4 4 5 5 2" xfId="2787"/>
    <cellStyle name="Normal 4 4 5 5 2 2" xfId="11012"/>
    <cellStyle name="Normal 4 4 5 5 2 2 2" xfId="27462"/>
    <cellStyle name="Normal 4 4 5 5 2 3" xfId="19237"/>
    <cellStyle name="Normal 4 4 5 5 2 4" xfId="35691"/>
    <cellStyle name="Normal 4 4 5 5 3" xfId="4432"/>
    <cellStyle name="Normal 4 4 5 5 3 2" xfId="12657"/>
    <cellStyle name="Normal 4 4 5 5 3 2 2" xfId="29107"/>
    <cellStyle name="Normal 4 4 5 5 3 3" xfId="20882"/>
    <cellStyle name="Normal 4 4 5 5 3 4" xfId="37336"/>
    <cellStyle name="Normal 4 4 5 5 4" xfId="6077"/>
    <cellStyle name="Normal 4 4 5 5 4 2" xfId="14302"/>
    <cellStyle name="Normal 4 4 5 5 4 2 2" xfId="30752"/>
    <cellStyle name="Normal 4 4 5 5 4 3" xfId="22527"/>
    <cellStyle name="Normal 4 4 5 5 4 4" xfId="38981"/>
    <cellStyle name="Normal 4 4 5 5 5" xfId="7722"/>
    <cellStyle name="Normal 4 4 5 5 5 2" xfId="15947"/>
    <cellStyle name="Normal 4 4 5 5 5 2 2" xfId="32397"/>
    <cellStyle name="Normal 4 4 5 5 5 3" xfId="24172"/>
    <cellStyle name="Normal 4 4 5 5 5 4" xfId="40626"/>
    <cellStyle name="Normal 4 4 5 5 6" xfId="9367"/>
    <cellStyle name="Normal 4 4 5 5 6 2" xfId="25817"/>
    <cellStyle name="Normal 4 4 5 5 7" xfId="17591"/>
    <cellStyle name="Normal 4 4 5 5 8" xfId="34045"/>
    <cellStyle name="Normal 4 4 5 5 9" xfId="42272"/>
    <cellStyle name="Normal 4 4 5 6" xfId="1372"/>
    <cellStyle name="Normal 4 4 5 6 2" xfId="3022"/>
    <cellStyle name="Normal 4 4 5 6 2 2" xfId="11247"/>
    <cellStyle name="Normal 4 4 5 6 2 2 2" xfId="27697"/>
    <cellStyle name="Normal 4 4 5 6 2 3" xfId="19472"/>
    <cellStyle name="Normal 4 4 5 6 2 4" xfId="35926"/>
    <cellStyle name="Normal 4 4 5 6 3" xfId="4667"/>
    <cellStyle name="Normal 4 4 5 6 3 2" xfId="12892"/>
    <cellStyle name="Normal 4 4 5 6 3 2 2" xfId="29342"/>
    <cellStyle name="Normal 4 4 5 6 3 3" xfId="21117"/>
    <cellStyle name="Normal 4 4 5 6 3 4" xfId="37571"/>
    <cellStyle name="Normal 4 4 5 6 4" xfId="6312"/>
    <cellStyle name="Normal 4 4 5 6 4 2" xfId="14537"/>
    <cellStyle name="Normal 4 4 5 6 4 2 2" xfId="30987"/>
    <cellStyle name="Normal 4 4 5 6 4 3" xfId="22762"/>
    <cellStyle name="Normal 4 4 5 6 4 4" xfId="39216"/>
    <cellStyle name="Normal 4 4 5 6 5" xfId="7957"/>
    <cellStyle name="Normal 4 4 5 6 5 2" xfId="16182"/>
    <cellStyle name="Normal 4 4 5 6 5 2 2" xfId="32632"/>
    <cellStyle name="Normal 4 4 5 6 5 3" xfId="24407"/>
    <cellStyle name="Normal 4 4 5 6 5 4" xfId="40861"/>
    <cellStyle name="Normal 4 4 5 6 6" xfId="9602"/>
    <cellStyle name="Normal 4 4 5 6 6 2" xfId="26052"/>
    <cellStyle name="Normal 4 4 5 6 7" xfId="17826"/>
    <cellStyle name="Normal 4 4 5 6 8" xfId="34280"/>
    <cellStyle name="Normal 4 4 5 7" xfId="1607"/>
    <cellStyle name="Normal 4 4 5 7 2" xfId="3257"/>
    <cellStyle name="Normal 4 4 5 7 2 2" xfId="11482"/>
    <cellStyle name="Normal 4 4 5 7 2 2 2" xfId="27932"/>
    <cellStyle name="Normal 4 4 5 7 2 3" xfId="19707"/>
    <cellStyle name="Normal 4 4 5 7 2 4" xfId="36161"/>
    <cellStyle name="Normal 4 4 5 7 3" xfId="4902"/>
    <cellStyle name="Normal 4 4 5 7 3 2" xfId="13127"/>
    <cellStyle name="Normal 4 4 5 7 3 2 2" xfId="29577"/>
    <cellStyle name="Normal 4 4 5 7 3 3" xfId="21352"/>
    <cellStyle name="Normal 4 4 5 7 3 4" xfId="37806"/>
    <cellStyle name="Normal 4 4 5 7 4" xfId="6547"/>
    <cellStyle name="Normal 4 4 5 7 4 2" xfId="14772"/>
    <cellStyle name="Normal 4 4 5 7 4 2 2" xfId="31222"/>
    <cellStyle name="Normal 4 4 5 7 4 3" xfId="22997"/>
    <cellStyle name="Normal 4 4 5 7 4 4" xfId="39451"/>
    <cellStyle name="Normal 4 4 5 7 5" xfId="8192"/>
    <cellStyle name="Normal 4 4 5 7 5 2" xfId="16417"/>
    <cellStyle name="Normal 4 4 5 7 5 2 2" xfId="32867"/>
    <cellStyle name="Normal 4 4 5 7 5 3" xfId="24642"/>
    <cellStyle name="Normal 4 4 5 7 5 4" xfId="41096"/>
    <cellStyle name="Normal 4 4 5 7 6" xfId="9837"/>
    <cellStyle name="Normal 4 4 5 7 6 2" xfId="26287"/>
    <cellStyle name="Normal 4 4 5 7 7" xfId="18061"/>
    <cellStyle name="Normal 4 4 5 7 8" xfId="34515"/>
    <cellStyle name="Normal 4 4 5 8" xfId="1842"/>
    <cellStyle name="Normal 4 4 5 8 2" xfId="10072"/>
    <cellStyle name="Normal 4 4 5 8 2 2" xfId="26522"/>
    <cellStyle name="Normal 4 4 5 8 3" xfId="18296"/>
    <cellStyle name="Normal 4 4 5 8 4" xfId="34750"/>
    <cellStyle name="Normal 4 4 5 9" xfId="3492"/>
    <cellStyle name="Normal 4 4 5 9 2" xfId="11717"/>
    <cellStyle name="Normal 4 4 5 9 2 2" xfId="28167"/>
    <cellStyle name="Normal 4 4 5 9 3" xfId="19942"/>
    <cellStyle name="Normal 4 4 5 9 4" xfId="36396"/>
    <cellStyle name="Normal 4 4 6" xfId="165"/>
    <cellStyle name="Normal 4 4 6 10" xfId="5164"/>
    <cellStyle name="Normal 4 4 6 10 2" xfId="13389"/>
    <cellStyle name="Normal 4 4 6 10 2 2" xfId="29839"/>
    <cellStyle name="Normal 4 4 6 10 3" xfId="21614"/>
    <cellStyle name="Normal 4 4 6 10 4" xfId="38068"/>
    <cellStyle name="Normal 4 4 6 11" xfId="6809"/>
    <cellStyle name="Normal 4 4 6 11 2" xfId="15034"/>
    <cellStyle name="Normal 4 4 6 11 2 2" xfId="31484"/>
    <cellStyle name="Normal 4 4 6 11 3" xfId="23259"/>
    <cellStyle name="Normal 4 4 6 11 4" xfId="39713"/>
    <cellStyle name="Normal 4 4 6 12" xfId="8454"/>
    <cellStyle name="Normal 4 4 6 12 2" xfId="24904"/>
    <cellStyle name="Normal 4 4 6 13" xfId="16678"/>
    <cellStyle name="Normal 4 4 6 14" xfId="33131"/>
    <cellStyle name="Normal 4 4 6 15" xfId="41359"/>
    <cellStyle name="Normal 4 4 6 2" xfId="408"/>
    <cellStyle name="Normal 4 4 6 2 2" xfId="2107"/>
    <cellStyle name="Normal 4 4 6 2 2 2" xfId="10334"/>
    <cellStyle name="Normal 4 4 6 2 2 2 2" xfId="26784"/>
    <cellStyle name="Normal 4 4 6 2 2 3" xfId="18559"/>
    <cellStyle name="Normal 4 4 6 2 2 4" xfId="35013"/>
    <cellStyle name="Normal 4 4 6 2 3" xfId="3754"/>
    <cellStyle name="Normal 4 4 6 2 3 2" xfId="11979"/>
    <cellStyle name="Normal 4 4 6 2 3 2 2" xfId="28429"/>
    <cellStyle name="Normal 4 4 6 2 3 3" xfId="20204"/>
    <cellStyle name="Normal 4 4 6 2 3 4" xfId="36658"/>
    <cellStyle name="Normal 4 4 6 2 4" xfId="5399"/>
    <cellStyle name="Normal 4 4 6 2 4 2" xfId="13624"/>
    <cellStyle name="Normal 4 4 6 2 4 2 2" xfId="30074"/>
    <cellStyle name="Normal 4 4 6 2 4 3" xfId="21849"/>
    <cellStyle name="Normal 4 4 6 2 4 4" xfId="38303"/>
    <cellStyle name="Normal 4 4 6 2 5" xfId="7044"/>
    <cellStyle name="Normal 4 4 6 2 5 2" xfId="15269"/>
    <cellStyle name="Normal 4 4 6 2 5 2 2" xfId="31719"/>
    <cellStyle name="Normal 4 4 6 2 5 3" xfId="23494"/>
    <cellStyle name="Normal 4 4 6 2 5 4" xfId="39948"/>
    <cellStyle name="Normal 4 4 6 2 6" xfId="8689"/>
    <cellStyle name="Normal 4 4 6 2 6 2" xfId="25139"/>
    <cellStyle name="Normal 4 4 6 2 7" xfId="16913"/>
    <cellStyle name="Normal 4 4 6 2 8" xfId="33367"/>
    <cellStyle name="Normal 4 4 6 2 9" xfId="41594"/>
    <cellStyle name="Normal 4 4 6 3" xfId="649"/>
    <cellStyle name="Normal 4 4 6 3 2" xfId="2344"/>
    <cellStyle name="Normal 4 4 6 3 2 2" xfId="10569"/>
    <cellStyle name="Normal 4 4 6 3 2 2 2" xfId="27019"/>
    <cellStyle name="Normal 4 4 6 3 2 3" xfId="18794"/>
    <cellStyle name="Normal 4 4 6 3 2 4" xfId="35248"/>
    <cellStyle name="Normal 4 4 6 3 3" xfId="3989"/>
    <cellStyle name="Normal 4 4 6 3 3 2" xfId="12214"/>
    <cellStyle name="Normal 4 4 6 3 3 2 2" xfId="28664"/>
    <cellStyle name="Normal 4 4 6 3 3 3" xfId="20439"/>
    <cellStyle name="Normal 4 4 6 3 3 4" xfId="36893"/>
    <cellStyle name="Normal 4 4 6 3 4" xfId="5634"/>
    <cellStyle name="Normal 4 4 6 3 4 2" xfId="13859"/>
    <cellStyle name="Normal 4 4 6 3 4 2 2" xfId="30309"/>
    <cellStyle name="Normal 4 4 6 3 4 3" xfId="22084"/>
    <cellStyle name="Normal 4 4 6 3 4 4" xfId="38538"/>
    <cellStyle name="Normal 4 4 6 3 5" xfId="7279"/>
    <cellStyle name="Normal 4 4 6 3 5 2" xfId="15504"/>
    <cellStyle name="Normal 4 4 6 3 5 2 2" xfId="31954"/>
    <cellStyle name="Normal 4 4 6 3 5 3" xfId="23729"/>
    <cellStyle name="Normal 4 4 6 3 5 4" xfId="40183"/>
    <cellStyle name="Normal 4 4 6 3 6" xfId="8924"/>
    <cellStyle name="Normal 4 4 6 3 6 2" xfId="25374"/>
    <cellStyle name="Normal 4 4 6 3 7" xfId="17148"/>
    <cellStyle name="Normal 4 4 6 3 8" xfId="33602"/>
    <cellStyle name="Normal 4 4 6 3 9" xfId="41829"/>
    <cellStyle name="Normal 4 4 6 4" xfId="884"/>
    <cellStyle name="Normal 4 4 6 4 2" xfId="2579"/>
    <cellStyle name="Normal 4 4 6 4 2 2" xfId="10804"/>
    <cellStyle name="Normal 4 4 6 4 2 2 2" xfId="27254"/>
    <cellStyle name="Normal 4 4 6 4 2 3" xfId="19029"/>
    <cellStyle name="Normal 4 4 6 4 2 4" xfId="35483"/>
    <cellStyle name="Normal 4 4 6 4 3" xfId="4224"/>
    <cellStyle name="Normal 4 4 6 4 3 2" xfId="12449"/>
    <cellStyle name="Normal 4 4 6 4 3 2 2" xfId="28899"/>
    <cellStyle name="Normal 4 4 6 4 3 3" xfId="20674"/>
    <cellStyle name="Normal 4 4 6 4 3 4" xfId="37128"/>
    <cellStyle name="Normal 4 4 6 4 4" xfId="5869"/>
    <cellStyle name="Normal 4 4 6 4 4 2" xfId="14094"/>
    <cellStyle name="Normal 4 4 6 4 4 2 2" xfId="30544"/>
    <cellStyle name="Normal 4 4 6 4 4 3" xfId="22319"/>
    <cellStyle name="Normal 4 4 6 4 4 4" xfId="38773"/>
    <cellStyle name="Normal 4 4 6 4 5" xfId="7514"/>
    <cellStyle name="Normal 4 4 6 4 5 2" xfId="15739"/>
    <cellStyle name="Normal 4 4 6 4 5 2 2" xfId="32189"/>
    <cellStyle name="Normal 4 4 6 4 5 3" xfId="23964"/>
    <cellStyle name="Normal 4 4 6 4 5 4" xfId="40418"/>
    <cellStyle name="Normal 4 4 6 4 6" xfId="9159"/>
    <cellStyle name="Normal 4 4 6 4 6 2" xfId="25609"/>
    <cellStyle name="Normal 4 4 6 4 7" xfId="17383"/>
    <cellStyle name="Normal 4 4 6 4 8" xfId="33837"/>
    <cellStyle name="Normal 4 4 6 4 9" xfId="42064"/>
    <cellStyle name="Normal 4 4 6 5" xfId="1119"/>
    <cellStyle name="Normal 4 4 6 5 2" xfId="2814"/>
    <cellStyle name="Normal 4 4 6 5 2 2" xfId="11039"/>
    <cellStyle name="Normal 4 4 6 5 2 2 2" xfId="27489"/>
    <cellStyle name="Normal 4 4 6 5 2 3" xfId="19264"/>
    <cellStyle name="Normal 4 4 6 5 2 4" xfId="35718"/>
    <cellStyle name="Normal 4 4 6 5 3" xfId="4459"/>
    <cellStyle name="Normal 4 4 6 5 3 2" xfId="12684"/>
    <cellStyle name="Normal 4 4 6 5 3 2 2" xfId="29134"/>
    <cellStyle name="Normal 4 4 6 5 3 3" xfId="20909"/>
    <cellStyle name="Normal 4 4 6 5 3 4" xfId="37363"/>
    <cellStyle name="Normal 4 4 6 5 4" xfId="6104"/>
    <cellStyle name="Normal 4 4 6 5 4 2" xfId="14329"/>
    <cellStyle name="Normal 4 4 6 5 4 2 2" xfId="30779"/>
    <cellStyle name="Normal 4 4 6 5 4 3" xfId="22554"/>
    <cellStyle name="Normal 4 4 6 5 4 4" xfId="39008"/>
    <cellStyle name="Normal 4 4 6 5 5" xfId="7749"/>
    <cellStyle name="Normal 4 4 6 5 5 2" xfId="15974"/>
    <cellStyle name="Normal 4 4 6 5 5 2 2" xfId="32424"/>
    <cellStyle name="Normal 4 4 6 5 5 3" xfId="24199"/>
    <cellStyle name="Normal 4 4 6 5 5 4" xfId="40653"/>
    <cellStyle name="Normal 4 4 6 5 6" xfId="9394"/>
    <cellStyle name="Normal 4 4 6 5 6 2" xfId="25844"/>
    <cellStyle name="Normal 4 4 6 5 7" xfId="17618"/>
    <cellStyle name="Normal 4 4 6 5 8" xfId="34072"/>
    <cellStyle name="Normal 4 4 6 5 9" xfId="42299"/>
    <cellStyle name="Normal 4 4 6 6" xfId="1399"/>
    <cellStyle name="Normal 4 4 6 6 2" xfId="3049"/>
    <cellStyle name="Normal 4 4 6 6 2 2" xfId="11274"/>
    <cellStyle name="Normal 4 4 6 6 2 2 2" xfId="27724"/>
    <cellStyle name="Normal 4 4 6 6 2 3" xfId="19499"/>
    <cellStyle name="Normal 4 4 6 6 2 4" xfId="35953"/>
    <cellStyle name="Normal 4 4 6 6 3" xfId="4694"/>
    <cellStyle name="Normal 4 4 6 6 3 2" xfId="12919"/>
    <cellStyle name="Normal 4 4 6 6 3 2 2" xfId="29369"/>
    <cellStyle name="Normal 4 4 6 6 3 3" xfId="21144"/>
    <cellStyle name="Normal 4 4 6 6 3 4" xfId="37598"/>
    <cellStyle name="Normal 4 4 6 6 4" xfId="6339"/>
    <cellStyle name="Normal 4 4 6 6 4 2" xfId="14564"/>
    <cellStyle name="Normal 4 4 6 6 4 2 2" xfId="31014"/>
    <cellStyle name="Normal 4 4 6 6 4 3" xfId="22789"/>
    <cellStyle name="Normal 4 4 6 6 4 4" xfId="39243"/>
    <cellStyle name="Normal 4 4 6 6 5" xfId="7984"/>
    <cellStyle name="Normal 4 4 6 6 5 2" xfId="16209"/>
    <cellStyle name="Normal 4 4 6 6 5 2 2" xfId="32659"/>
    <cellStyle name="Normal 4 4 6 6 5 3" xfId="24434"/>
    <cellStyle name="Normal 4 4 6 6 5 4" xfId="40888"/>
    <cellStyle name="Normal 4 4 6 6 6" xfId="9629"/>
    <cellStyle name="Normal 4 4 6 6 6 2" xfId="26079"/>
    <cellStyle name="Normal 4 4 6 6 7" xfId="17853"/>
    <cellStyle name="Normal 4 4 6 6 8" xfId="34307"/>
    <cellStyle name="Normal 4 4 6 7" xfId="1634"/>
    <cellStyle name="Normal 4 4 6 7 2" xfId="3284"/>
    <cellStyle name="Normal 4 4 6 7 2 2" xfId="11509"/>
    <cellStyle name="Normal 4 4 6 7 2 2 2" xfId="27959"/>
    <cellStyle name="Normal 4 4 6 7 2 3" xfId="19734"/>
    <cellStyle name="Normal 4 4 6 7 2 4" xfId="36188"/>
    <cellStyle name="Normal 4 4 6 7 3" xfId="4929"/>
    <cellStyle name="Normal 4 4 6 7 3 2" xfId="13154"/>
    <cellStyle name="Normal 4 4 6 7 3 2 2" xfId="29604"/>
    <cellStyle name="Normal 4 4 6 7 3 3" xfId="21379"/>
    <cellStyle name="Normal 4 4 6 7 3 4" xfId="37833"/>
    <cellStyle name="Normal 4 4 6 7 4" xfId="6574"/>
    <cellStyle name="Normal 4 4 6 7 4 2" xfId="14799"/>
    <cellStyle name="Normal 4 4 6 7 4 2 2" xfId="31249"/>
    <cellStyle name="Normal 4 4 6 7 4 3" xfId="23024"/>
    <cellStyle name="Normal 4 4 6 7 4 4" xfId="39478"/>
    <cellStyle name="Normal 4 4 6 7 5" xfId="8219"/>
    <cellStyle name="Normal 4 4 6 7 5 2" xfId="16444"/>
    <cellStyle name="Normal 4 4 6 7 5 2 2" xfId="32894"/>
    <cellStyle name="Normal 4 4 6 7 5 3" xfId="24669"/>
    <cellStyle name="Normal 4 4 6 7 5 4" xfId="41123"/>
    <cellStyle name="Normal 4 4 6 7 6" xfId="9864"/>
    <cellStyle name="Normal 4 4 6 7 6 2" xfId="26314"/>
    <cellStyle name="Normal 4 4 6 7 7" xfId="18088"/>
    <cellStyle name="Normal 4 4 6 7 8" xfId="34542"/>
    <cellStyle name="Normal 4 4 6 8" xfId="1869"/>
    <cellStyle name="Normal 4 4 6 8 2" xfId="10099"/>
    <cellStyle name="Normal 4 4 6 8 2 2" xfId="26549"/>
    <cellStyle name="Normal 4 4 6 8 3" xfId="18323"/>
    <cellStyle name="Normal 4 4 6 8 4" xfId="34777"/>
    <cellStyle name="Normal 4 4 6 9" xfId="3519"/>
    <cellStyle name="Normal 4 4 6 9 2" xfId="11744"/>
    <cellStyle name="Normal 4 4 6 9 2 2" xfId="28194"/>
    <cellStyle name="Normal 4 4 6 9 3" xfId="19969"/>
    <cellStyle name="Normal 4 4 6 9 4" xfId="36423"/>
    <cellStyle name="Normal 4 4 7" xfId="194"/>
    <cellStyle name="Normal 4 4 7 10" xfId="5191"/>
    <cellStyle name="Normal 4 4 7 10 2" xfId="13416"/>
    <cellStyle name="Normal 4 4 7 10 2 2" xfId="29866"/>
    <cellStyle name="Normal 4 4 7 10 3" xfId="21641"/>
    <cellStyle name="Normal 4 4 7 10 4" xfId="38095"/>
    <cellStyle name="Normal 4 4 7 11" xfId="6836"/>
    <cellStyle name="Normal 4 4 7 11 2" xfId="15061"/>
    <cellStyle name="Normal 4 4 7 11 2 2" xfId="31511"/>
    <cellStyle name="Normal 4 4 7 11 3" xfId="23286"/>
    <cellStyle name="Normal 4 4 7 11 4" xfId="39740"/>
    <cellStyle name="Normal 4 4 7 12" xfId="8481"/>
    <cellStyle name="Normal 4 4 7 12 2" xfId="24931"/>
    <cellStyle name="Normal 4 4 7 13" xfId="16705"/>
    <cellStyle name="Normal 4 4 7 14" xfId="33158"/>
    <cellStyle name="Normal 4 4 7 15" xfId="41386"/>
    <cellStyle name="Normal 4 4 7 2" xfId="437"/>
    <cellStyle name="Normal 4 4 7 2 2" xfId="2134"/>
    <cellStyle name="Normal 4 4 7 2 2 2" xfId="10361"/>
    <cellStyle name="Normal 4 4 7 2 2 2 2" xfId="26811"/>
    <cellStyle name="Normal 4 4 7 2 2 3" xfId="18586"/>
    <cellStyle name="Normal 4 4 7 2 2 4" xfId="35040"/>
    <cellStyle name="Normal 4 4 7 2 3" xfId="3781"/>
    <cellStyle name="Normal 4 4 7 2 3 2" xfId="12006"/>
    <cellStyle name="Normal 4 4 7 2 3 2 2" xfId="28456"/>
    <cellStyle name="Normal 4 4 7 2 3 3" xfId="20231"/>
    <cellStyle name="Normal 4 4 7 2 3 4" xfId="36685"/>
    <cellStyle name="Normal 4 4 7 2 4" xfId="5426"/>
    <cellStyle name="Normal 4 4 7 2 4 2" xfId="13651"/>
    <cellStyle name="Normal 4 4 7 2 4 2 2" xfId="30101"/>
    <cellStyle name="Normal 4 4 7 2 4 3" xfId="21876"/>
    <cellStyle name="Normal 4 4 7 2 4 4" xfId="38330"/>
    <cellStyle name="Normal 4 4 7 2 5" xfId="7071"/>
    <cellStyle name="Normal 4 4 7 2 5 2" xfId="15296"/>
    <cellStyle name="Normal 4 4 7 2 5 2 2" xfId="31746"/>
    <cellStyle name="Normal 4 4 7 2 5 3" xfId="23521"/>
    <cellStyle name="Normal 4 4 7 2 5 4" xfId="39975"/>
    <cellStyle name="Normal 4 4 7 2 6" xfId="8716"/>
    <cellStyle name="Normal 4 4 7 2 6 2" xfId="25166"/>
    <cellStyle name="Normal 4 4 7 2 7" xfId="16940"/>
    <cellStyle name="Normal 4 4 7 2 8" xfId="33394"/>
    <cellStyle name="Normal 4 4 7 2 9" xfId="41621"/>
    <cellStyle name="Normal 4 4 7 3" xfId="676"/>
    <cellStyle name="Normal 4 4 7 3 2" xfId="2371"/>
    <cellStyle name="Normal 4 4 7 3 2 2" xfId="10596"/>
    <cellStyle name="Normal 4 4 7 3 2 2 2" xfId="27046"/>
    <cellStyle name="Normal 4 4 7 3 2 3" xfId="18821"/>
    <cellStyle name="Normal 4 4 7 3 2 4" xfId="35275"/>
    <cellStyle name="Normal 4 4 7 3 3" xfId="4016"/>
    <cellStyle name="Normal 4 4 7 3 3 2" xfId="12241"/>
    <cellStyle name="Normal 4 4 7 3 3 2 2" xfId="28691"/>
    <cellStyle name="Normal 4 4 7 3 3 3" xfId="20466"/>
    <cellStyle name="Normal 4 4 7 3 3 4" xfId="36920"/>
    <cellStyle name="Normal 4 4 7 3 4" xfId="5661"/>
    <cellStyle name="Normal 4 4 7 3 4 2" xfId="13886"/>
    <cellStyle name="Normal 4 4 7 3 4 2 2" xfId="30336"/>
    <cellStyle name="Normal 4 4 7 3 4 3" xfId="22111"/>
    <cellStyle name="Normal 4 4 7 3 4 4" xfId="38565"/>
    <cellStyle name="Normal 4 4 7 3 5" xfId="7306"/>
    <cellStyle name="Normal 4 4 7 3 5 2" xfId="15531"/>
    <cellStyle name="Normal 4 4 7 3 5 2 2" xfId="31981"/>
    <cellStyle name="Normal 4 4 7 3 5 3" xfId="23756"/>
    <cellStyle name="Normal 4 4 7 3 5 4" xfId="40210"/>
    <cellStyle name="Normal 4 4 7 3 6" xfId="8951"/>
    <cellStyle name="Normal 4 4 7 3 6 2" xfId="25401"/>
    <cellStyle name="Normal 4 4 7 3 7" xfId="17175"/>
    <cellStyle name="Normal 4 4 7 3 8" xfId="33629"/>
    <cellStyle name="Normal 4 4 7 3 9" xfId="41856"/>
    <cellStyle name="Normal 4 4 7 4" xfId="911"/>
    <cellStyle name="Normal 4 4 7 4 2" xfId="2606"/>
    <cellStyle name="Normal 4 4 7 4 2 2" xfId="10831"/>
    <cellStyle name="Normal 4 4 7 4 2 2 2" xfId="27281"/>
    <cellStyle name="Normal 4 4 7 4 2 3" xfId="19056"/>
    <cellStyle name="Normal 4 4 7 4 2 4" xfId="35510"/>
    <cellStyle name="Normal 4 4 7 4 3" xfId="4251"/>
    <cellStyle name="Normal 4 4 7 4 3 2" xfId="12476"/>
    <cellStyle name="Normal 4 4 7 4 3 2 2" xfId="28926"/>
    <cellStyle name="Normal 4 4 7 4 3 3" xfId="20701"/>
    <cellStyle name="Normal 4 4 7 4 3 4" xfId="37155"/>
    <cellStyle name="Normal 4 4 7 4 4" xfId="5896"/>
    <cellStyle name="Normal 4 4 7 4 4 2" xfId="14121"/>
    <cellStyle name="Normal 4 4 7 4 4 2 2" xfId="30571"/>
    <cellStyle name="Normal 4 4 7 4 4 3" xfId="22346"/>
    <cellStyle name="Normal 4 4 7 4 4 4" xfId="38800"/>
    <cellStyle name="Normal 4 4 7 4 5" xfId="7541"/>
    <cellStyle name="Normal 4 4 7 4 5 2" xfId="15766"/>
    <cellStyle name="Normal 4 4 7 4 5 2 2" xfId="32216"/>
    <cellStyle name="Normal 4 4 7 4 5 3" xfId="23991"/>
    <cellStyle name="Normal 4 4 7 4 5 4" xfId="40445"/>
    <cellStyle name="Normal 4 4 7 4 6" xfId="9186"/>
    <cellStyle name="Normal 4 4 7 4 6 2" xfId="25636"/>
    <cellStyle name="Normal 4 4 7 4 7" xfId="17410"/>
    <cellStyle name="Normal 4 4 7 4 8" xfId="33864"/>
    <cellStyle name="Normal 4 4 7 4 9" xfId="42091"/>
    <cellStyle name="Normal 4 4 7 5" xfId="1146"/>
    <cellStyle name="Normal 4 4 7 5 2" xfId="2841"/>
    <cellStyle name="Normal 4 4 7 5 2 2" xfId="11066"/>
    <cellStyle name="Normal 4 4 7 5 2 2 2" xfId="27516"/>
    <cellStyle name="Normal 4 4 7 5 2 3" xfId="19291"/>
    <cellStyle name="Normal 4 4 7 5 2 4" xfId="35745"/>
    <cellStyle name="Normal 4 4 7 5 3" xfId="4486"/>
    <cellStyle name="Normal 4 4 7 5 3 2" xfId="12711"/>
    <cellStyle name="Normal 4 4 7 5 3 2 2" xfId="29161"/>
    <cellStyle name="Normal 4 4 7 5 3 3" xfId="20936"/>
    <cellStyle name="Normal 4 4 7 5 3 4" xfId="37390"/>
    <cellStyle name="Normal 4 4 7 5 4" xfId="6131"/>
    <cellStyle name="Normal 4 4 7 5 4 2" xfId="14356"/>
    <cellStyle name="Normal 4 4 7 5 4 2 2" xfId="30806"/>
    <cellStyle name="Normal 4 4 7 5 4 3" xfId="22581"/>
    <cellStyle name="Normal 4 4 7 5 4 4" xfId="39035"/>
    <cellStyle name="Normal 4 4 7 5 5" xfId="7776"/>
    <cellStyle name="Normal 4 4 7 5 5 2" xfId="16001"/>
    <cellStyle name="Normal 4 4 7 5 5 2 2" xfId="32451"/>
    <cellStyle name="Normal 4 4 7 5 5 3" xfId="24226"/>
    <cellStyle name="Normal 4 4 7 5 5 4" xfId="40680"/>
    <cellStyle name="Normal 4 4 7 5 6" xfId="9421"/>
    <cellStyle name="Normal 4 4 7 5 6 2" xfId="25871"/>
    <cellStyle name="Normal 4 4 7 5 7" xfId="17645"/>
    <cellStyle name="Normal 4 4 7 5 8" xfId="34099"/>
    <cellStyle name="Normal 4 4 7 5 9" xfId="42326"/>
    <cellStyle name="Normal 4 4 7 6" xfId="1426"/>
    <cellStyle name="Normal 4 4 7 6 2" xfId="3076"/>
    <cellStyle name="Normal 4 4 7 6 2 2" xfId="11301"/>
    <cellStyle name="Normal 4 4 7 6 2 2 2" xfId="27751"/>
    <cellStyle name="Normal 4 4 7 6 2 3" xfId="19526"/>
    <cellStyle name="Normal 4 4 7 6 2 4" xfId="35980"/>
    <cellStyle name="Normal 4 4 7 6 3" xfId="4721"/>
    <cellStyle name="Normal 4 4 7 6 3 2" xfId="12946"/>
    <cellStyle name="Normal 4 4 7 6 3 2 2" xfId="29396"/>
    <cellStyle name="Normal 4 4 7 6 3 3" xfId="21171"/>
    <cellStyle name="Normal 4 4 7 6 3 4" xfId="37625"/>
    <cellStyle name="Normal 4 4 7 6 4" xfId="6366"/>
    <cellStyle name="Normal 4 4 7 6 4 2" xfId="14591"/>
    <cellStyle name="Normal 4 4 7 6 4 2 2" xfId="31041"/>
    <cellStyle name="Normal 4 4 7 6 4 3" xfId="22816"/>
    <cellStyle name="Normal 4 4 7 6 4 4" xfId="39270"/>
    <cellStyle name="Normal 4 4 7 6 5" xfId="8011"/>
    <cellStyle name="Normal 4 4 7 6 5 2" xfId="16236"/>
    <cellStyle name="Normal 4 4 7 6 5 2 2" xfId="32686"/>
    <cellStyle name="Normal 4 4 7 6 5 3" xfId="24461"/>
    <cellStyle name="Normal 4 4 7 6 5 4" xfId="40915"/>
    <cellStyle name="Normal 4 4 7 6 6" xfId="9656"/>
    <cellStyle name="Normal 4 4 7 6 6 2" xfId="26106"/>
    <cellStyle name="Normal 4 4 7 6 7" xfId="17880"/>
    <cellStyle name="Normal 4 4 7 6 8" xfId="34334"/>
    <cellStyle name="Normal 4 4 7 7" xfId="1661"/>
    <cellStyle name="Normal 4 4 7 7 2" xfId="3311"/>
    <cellStyle name="Normal 4 4 7 7 2 2" xfId="11536"/>
    <cellStyle name="Normal 4 4 7 7 2 2 2" xfId="27986"/>
    <cellStyle name="Normal 4 4 7 7 2 3" xfId="19761"/>
    <cellStyle name="Normal 4 4 7 7 2 4" xfId="36215"/>
    <cellStyle name="Normal 4 4 7 7 3" xfId="4956"/>
    <cellStyle name="Normal 4 4 7 7 3 2" xfId="13181"/>
    <cellStyle name="Normal 4 4 7 7 3 2 2" xfId="29631"/>
    <cellStyle name="Normal 4 4 7 7 3 3" xfId="21406"/>
    <cellStyle name="Normal 4 4 7 7 3 4" xfId="37860"/>
    <cellStyle name="Normal 4 4 7 7 4" xfId="6601"/>
    <cellStyle name="Normal 4 4 7 7 4 2" xfId="14826"/>
    <cellStyle name="Normal 4 4 7 7 4 2 2" xfId="31276"/>
    <cellStyle name="Normal 4 4 7 7 4 3" xfId="23051"/>
    <cellStyle name="Normal 4 4 7 7 4 4" xfId="39505"/>
    <cellStyle name="Normal 4 4 7 7 5" xfId="8246"/>
    <cellStyle name="Normal 4 4 7 7 5 2" xfId="16471"/>
    <cellStyle name="Normal 4 4 7 7 5 2 2" xfId="32921"/>
    <cellStyle name="Normal 4 4 7 7 5 3" xfId="24696"/>
    <cellStyle name="Normal 4 4 7 7 5 4" xfId="41150"/>
    <cellStyle name="Normal 4 4 7 7 6" xfId="9891"/>
    <cellStyle name="Normal 4 4 7 7 6 2" xfId="26341"/>
    <cellStyle name="Normal 4 4 7 7 7" xfId="18115"/>
    <cellStyle name="Normal 4 4 7 7 8" xfId="34569"/>
    <cellStyle name="Normal 4 4 7 8" xfId="1896"/>
    <cellStyle name="Normal 4 4 7 8 2" xfId="10126"/>
    <cellStyle name="Normal 4 4 7 8 2 2" xfId="26576"/>
    <cellStyle name="Normal 4 4 7 8 3" xfId="18350"/>
    <cellStyle name="Normal 4 4 7 8 4" xfId="34804"/>
    <cellStyle name="Normal 4 4 7 9" xfId="3546"/>
    <cellStyle name="Normal 4 4 7 9 2" xfId="11771"/>
    <cellStyle name="Normal 4 4 7 9 2 2" xfId="28221"/>
    <cellStyle name="Normal 4 4 7 9 3" xfId="19996"/>
    <cellStyle name="Normal 4 4 7 9 4" xfId="36450"/>
    <cellStyle name="Normal 4 4 8" xfId="221"/>
    <cellStyle name="Normal 4 4 8 10" xfId="5218"/>
    <cellStyle name="Normal 4 4 8 10 2" xfId="13443"/>
    <cellStyle name="Normal 4 4 8 10 2 2" xfId="29893"/>
    <cellStyle name="Normal 4 4 8 10 3" xfId="21668"/>
    <cellStyle name="Normal 4 4 8 10 4" xfId="38122"/>
    <cellStyle name="Normal 4 4 8 11" xfId="6863"/>
    <cellStyle name="Normal 4 4 8 11 2" xfId="15088"/>
    <cellStyle name="Normal 4 4 8 11 2 2" xfId="31538"/>
    <cellStyle name="Normal 4 4 8 11 3" xfId="23313"/>
    <cellStyle name="Normal 4 4 8 11 4" xfId="39767"/>
    <cellStyle name="Normal 4 4 8 12" xfId="8508"/>
    <cellStyle name="Normal 4 4 8 12 2" xfId="24958"/>
    <cellStyle name="Normal 4 4 8 13" xfId="16732"/>
    <cellStyle name="Normal 4 4 8 14" xfId="33185"/>
    <cellStyle name="Normal 4 4 8 15" xfId="41413"/>
    <cellStyle name="Normal 4 4 8 2" xfId="464"/>
    <cellStyle name="Normal 4 4 8 2 2" xfId="2161"/>
    <cellStyle name="Normal 4 4 8 2 2 2" xfId="10388"/>
    <cellStyle name="Normal 4 4 8 2 2 2 2" xfId="26838"/>
    <cellStyle name="Normal 4 4 8 2 2 3" xfId="18613"/>
    <cellStyle name="Normal 4 4 8 2 2 4" xfId="35067"/>
    <cellStyle name="Normal 4 4 8 2 3" xfId="3808"/>
    <cellStyle name="Normal 4 4 8 2 3 2" xfId="12033"/>
    <cellStyle name="Normal 4 4 8 2 3 2 2" xfId="28483"/>
    <cellStyle name="Normal 4 4 8 2 3 3" xfId="20258"/>
    <cellStyle name="Normal 4 4 8 2 3 4" xfId="36712"/>
    <cellStyle name="Normal 4 4 8 2 4" xfId="5453"/>
    <cellStyle name="Normal 4 4 8 2 4 2" xfId="13678"/>
    <cellStyle name="Normal 4 4 8 2 4 2 2" xfId="30128"/>
    <cellStyle name="Normal 4 4 8 2 4 3" xfId="21903"/>
    <cellStyle name="Normal 4 4 8 2 4 4" xfId="38357"/>
    <cellStyle name="Normal 4 4 8 2 5" xfId="7098"/>
    <cellStyle name="Normal 4 4 8 2 5 2" xfId="15323"/>
    <cellStyle name="Normal 4 4 8 2 5 2 2" xfId="31773"/>
    <cellStyle name="Normal 4 4 8 2 5 3" xfId="23548"/>
    <cellStyle name="Normal 4 4 8 2 5 4" xfId="40002"/>
    <cellStyle name="Normal 4 4 8 2 6" xfId="8743"/>
    <cellStyle name="Normal 4 4 8 2 6 2" xfId="25193"/>
    <cellStyle name="Normal 4 4 8 2 7" xfId="16967"/>
    <cellStyle name="Normal 4 4 8 2 8" xfId="33421"/>
    <cellStyle name="Normal 4 4 8 2 9" xfId="41648"/>
    <cellStyle name="Normal 4 4 8 3" xfId="703"/>
    <cellStyle name="Normal 4 4 8 3 2" xfId="2398"/>
    <cellStyle name="Normal 4 4 8 3 2 2" xfId="10623"/>
    <cellStyle name="Normal 4 4 8 3 2 2 2" xfId="27073"/>
    <cellStyle name="Normal 4 4 8 3 2 3" xfId="18848"/>
    <cellStyle name="Normal 4 4 8 3 2 4" xfId="35302"/>
    <cellStyle name="Normal 4 4 8 3 3" xfId="4043"/>
    <cellStyle name="Normal 4 4 8 3 3 2" xfId="12268"/>
    <cellStyle name="Normal 4 4 8 3 3 2 2" xfId="28718"/>
    <cellStyle name="Normal 4 4 8 3 3 3" xfId="20493"/>
    <cellStyle name="Normal 4 4 8 3 3 4" xfId="36947"/>
    <cellStyle name="Normal 4 4 8 3 4" xfId="5688"/>
    <cellStyle name="Normal 4 4 8 3 4 2" xfId="13913"/>
    <cellStyle name="Normal 4 4 8 3 4 2 2" xfId="30363"/>
    <cellStyle name="Normal 4 4 8 3 4 3" xfId="22138"/>
    <cellStyle name="Normal 4 4 8 3 4 4" xfId="38592"/>
    <cellStyle name="Normal 4 4 8 3 5" xfId="7333"/>
    <cellStyle name="Normal 4 4 8 3 5 2" xfId="15558"/>
    <cellStyle name="Normal 4 4 8 3 5 2 2" xfId="32008"/>
    <cellStyle name="Normal 4 4 8 3 5 3" xfId="23783"/>
    <cellStyle name="Normal 4 4 8 3 5 4" xfId="40237"/>
    <cellStyle name="Normal 4 4 8 3 6" xfId="8978"/>
    <cellStyle name="Normal 4 4 8 3 6 2" xfId="25428"/>
    <cellStyle name="Normal 4 4 8 3 7" xfId="17202"/>
    <cellStyle name="Normal 4 4 8 3 8" xfId="33656"/>
    <cellStyle name="Normal 4 4 8 3 9" xfId="41883"/>
    <cellStyle name="Normal 4 4 8 4" xfId="938"/>
    <cellStyle name="Normal 4 4 8 4 2" xfId="2633"/>
    <cellStyle name="Normal 4 4 8 4 2 2" xfId="10858"/>
    <cellStyle name="Normal 4 4 8 4 2 2 2" xfId="27308"/>
    <cellStyle name="Normal 4 4 8 4 2 3" xfId="19083"/>
    <cellStyle name="Normal 4 4 8 4 2 4" xfId="35537"/>
    <cellStyle name="Normal 4 4 8 4 3" xfId="4278"/>
    <cellStyle name="Normal 4 4 8 4 3 2" xfId="12503"/>
    <cellStyle name="Normal 4 4 8 4 3 2 2" xfId="28953"/>
    <cellStyle name="Normal 4 4 8 4 3 3" xfId="20728"/>
    <cellStyle name="Normal 4 4 8 4 3 4" xfId="37182"/>
    <cellStyle name="Normal 4 4 8 4 4" xfId="5923"/>
    <cellStyle name="Normal 4 4 8 4 4 2" xfId="14148"/>
    <cellStyle name="Normal 4 4 8 4 4 2 2" xfId="30598"/>
    <cellStyle name="Normal 4 4 8 4 4 3" xfId="22373"/>
    <cellStyle name="Normal 4 4 8 4 4 4" xfId="38827"/>
    <cellStyle name="Normal 4 4 8 4 5" xfId="7568"/>
    <cellStyle name="Normal 4 4 8 4 5 2" xfId="15793"/>
    <cellStyle name="Normal 4 4 8 4 5 2 2" xfId="32243"/>
    <cellStyle name="Normal 4 4 8 4 5 3" xfId="24018"/>
    <cellStyle name="Normal 4 4 8 4 5 4" xfId="40472"/>
    <cellStyle name="Normal 4 4 8 4 6" xfId="9213"/>
    <cellStyle name="Normal 4 4 8 4 6 2" xfId="25663"/>
    <cellStyle name="Normal 4 4 8 4 7" xfId="17437"/>
    <cellStyle name="Normal 4 4 8 4 8" xfId="33891"/>
    <cellStyle name="Normal 4 4 8 4 9" xfId="42118"/>
    <cellStyle name="Normal 4 4 8 5" xfId="1173"/>
    <cellStyle name="Normal 4 4 8 5 2" xfId="2868"/>
    <cellStyle name="Normal 4 4 8 5 2 2" xfId="11093"/>
    <cellStyle name="Normal 4 4 8 5 2 2 2" xfId="27543"/>
    <cellStyle name="Normal 4 4 8 5 2 3" xfId="19318"/>
    <cellStyle name="Normal 4 4 8 5 2 4" xfId="35772"/>
    <cellStyle name="Normal 4 4 8 5 3" xfId="4513"/>
    <cellStyle name="Normal 4 4 8 5 3 2" xfId="12738"/>
    <cellStyle name="Normal 4 4 8 5 3 2 2" xfId="29188"/>
    <cellStyle name="Normal 4 4 8 5 3 3" xfId="20963"/>
    <cellStyle name="Normal 4 4 8 5 3 4" xfId="37417"/>
    <cellStyle name="Normal 4 4 8 5 4" xfId="6158"/>
    <cellStyle name="Normal 4 4 8 5 4 2" xfId="14383"/>
    <cellStyle name="Normal 4 4 8 5 4 2 2" xfId="30833"/>
    <cellStyle name="Normal 4 4 8 5 4 3" xfId="22608"/>
    <cellStyle name="Normal 4 4 8 5 4 4" xfId="39062"/>
    <cellStyle name="Normal 4 4 8 5 5" xfId="7803"/>
    <cellStyle name="Normal 4 4 8 5 5 2" xfId="16028"/>
    <cellStyle name="Normal 4 4 8 5 5 2 2" xfId="32478"/>
    <cellStyle name="Normal 4 4 8 5 5 3" xfId="24253"/>
    <cellStyle name="Normal 4 4 8 5 5 4" xfId="40707"/>
    <cellStyle name="Normal 4 4 8 5 6" xfId="9448"/>
    <cellStyle name="Normal 4 4 8 5 6 2" xfId="25898"/>
    <cellStyle name="Normal 4 4 8 5 7" xfId="17672"/>
    <cellStyle name="Normal 4 4 8 5 8" xfId="34126"/>
    <cellStyle name="Normal 4 4 8 5 9" xfId="42353"/>
    <cellStyle name="Normal 4 4 8 6" xfId="1453"/>
    <cellStyle name="Normal 4 4 8 6 2" xfId="3103"/>
    <cellStyle name="Normal 4 4 8 6 2 2" xfId="11328"/>
    <cellStyle name="Normal 4 4 8 6 2 2 2" xfId="27778"/>
    <cellStyle name="Normal 4 4 8 6 2 3" xfId="19553"/>
    <cellStyle name="Normal 4 4 8 6 2 4" xfId="36007"/>
    <cellStyle name="Normal 4 4 8 6 3" xfId="4748"/>
    <cellStyle name="Normal 4 4 8 6 3 2" xfId="12973"/>
    <cellStyle name="Normal 4 4 8 6 3 2 2" xfId="29423"/>
    <cellStyle name="Normal 4 4 8 6 3 3" xfId="21198"/>
    <cellStyle name="Normal 4 4 8 6 3 4" xfId="37652"/>
    <cellStyle name="Normal 4 4 8 6 4" xfId="6393"/>
    <cellStyle name="Normal 4 4 8 6 4 2" xfId="14618"/>
    <cellStyle name="Normal 4 4 8 6 4 2 2" xfId="31068"/>
    <cellStyle name="Normal 4 4 8 6 4 3" xfId="22843"/>
    <cellStyle name="Normal 4 4 8 6 4 4" xfId="39297"/>
    <cellStyle name="Normal 4 4 8 6 5" xfId="8038"/>
    <cellStyle name="Normal 4 4 8 6 5 2" xfId="16263"/>
    <cellStyle name="Normal 4 4 8 6 5 2 2" xfId="32713"/>
    <cellStyle name="Normal 4 4 8 6 5 3" xfId="24488"/>
    <cellStyle name="Normal 4 4 8 6 5 4" xfId="40942"/>
    <cellStyle name="Normal 4 4 8 6 6" xfId="9683"/>
    <cellStyle name="Normal 4 4 8 6 6 2" xfId="26133"/>
    <cellStyle name="Normal 4 4 8 6 7" xfId="17907"/>
    <cellStyle name="Normal 4 4 8 6 8" xfId="34361"/>
    <cellStyle name="Normal 4 4 8 7" xfId="1688"/>
    <cellStyle name="Normal 4 4 8 7 2" xfId="3338"/>
    <cellStyle name="Normal 4 4 8 7 2 2" xfId="11563"/>
    <cellStyle name="Normal 4 4 8 7 2 2 2" xfId="28013"/>
    <cellStyle name="Normal 4 4 8 7 2 3" xfId="19788"/>
    <cellStyle name="Normal 4 4 8 7 2 4" xfId="36242"/>
    <cellStyle name="Normal 4 4 8 7 3" xfId="4983"/>
    <cellStyle name="Normal 4 4 8 7 3 2" xfId="13208"/>
    <cellStyle name="Normal 4 4 8 7 3 2 2" xfId="29658"/>
    <cellStyle name="Normal 4 4 8 7 3 3" xfId="21433"/>
    <cellStyle name="Normal 4 4 8 7 3 4" xfId="37887"/>
    <cellStyle name="Normal 4 4 8 7 4" xfId="6628"/>
    <cellStyle name="Normal 4 4 8 7 4 2" xfId="14853"/>
    <cellStyle name="Normal 4 4 8 7 4 2 2" xfId="31303"/>
    <cellStyle name="Normal 4 4 8 7 4 3" xfId="23078"/>
    <cellStyle name="Normal 4 4 8 7 4 4" xfId="39532"/>
    <cellStyle name="Normal 4 4 8 7 5" xfId="8273"/>
    <cellStyle name="Normal 4 4 8 7 5 2" xfId="16498"/>
    <cellStyle name="Normal 4 4 8 7 5 2 2" xfId="32948"/>
    <cellStyle name="Normal 4 4 8 7 5 3" xfId="24723"/>
    <cellStyle name="Normal 4 4 8 7 5 4" xfId="41177"/>
    <cellStyle name="Normal 4 4 8 7 6" xfId="9918"/>
    <cellStyle name="Normal 4 4 8 7 6 2" xfId="26368"/>
    <cellStyle name="Normal 4 4 8 7 7" xfId="18142"/>
    <cellStyle name="Normal 4 4 8 7 8" xfId="34596"/>
    <cellStyle name="Normal 4 4 8 8" xfId="1923"/>
    <cellStyle name="Normal 4 4 8 8 2" xfId="10153"/>
    <cellStyle name="Normal 4 4 8 8 2 2" xfId="26603"/>
    <cellStyle name="Normal 4 4 8 8 3" xfId="18377"/>
    <cellStyle name="Normal 4 4 8 8 4" xfId="34831"/>
    <cellStyle name="Normal 4 4 8 9" xfId="3573"/>
    <cellStyle name="Normal 4 4 8 9 2" xfId="11798"/>
    <cellStyle name="Normal 4 4 8 9 2 2" xfId="28248"/>
    <cellStyle name="Normal 4 4 8 9 3" xfId="20023"/>
    <cellStyle name="Normal 4 4 8 9 4" xfId="36477"/>
    <cellStyle name="Normal 4 4 9" xfId="250"/>
    <cellStyle name="Normal 4 4 9 10" xfId="5245"/>
    <cellStyle name="Normal 4 4 9 10 2" xfId="13470"/>
    <cellStyle name="Normal 4 4 9 10 2 2" xfId="29920"/>
    <cellStyle name="Normal 4 4 9 10 3" xfId="21695"/>
    <cellStyle name="Normal 4 4 9 10 4" xfId="38149"/>
    <cellStyle name="Normal 4 4 9 11" xfId="6890"/>
    <cellStyle name="Normal 4 4 9 11 2" xfId="15115"/>
    <cellStyle name="Normal 4 4 9 11 2 2" xfId="31565"/>
    <cellStyle name="Normal 4 4 9 11 3" xfId="23340"/>
    <cellStyle name="Normal 4 4 9 11 4" xfId="39794"/>
    <cellStyle name="Normal 4 4 9 12" xfId="8535"/>
    <cellStyle name="Normal 4 4 9 12 2" xfId="24985"/>
    <cellStyle name="Normal 4 4 9 13" xfId="16759"/>
    <cellStyle name="Normal 4 4 9 14" xfId="33212"/>
    <cellStyle name="Normal 4 4 9 15" xfId="41440"/>
    <cellStyle name="Normal 4 4 9 2" xfId="493"/>
    <cellStyle name="Normal 4 4 9 2 2" xfId="2188"/>
    <cellStyle name="Normal 4 4 9 2 2 2" xfId="10415"/>
    <cellStyle name="Normal 4 4 9 2 2 2 2" xfId="26865"/>
    <cellStyle name="Normal 4 4 9 2 2 3" xfId="18640"/>
    <cellStyle name="Normal 4 4 9 2 2 4" xfId="35094"/>
    <cellStyle name="Normal 4 4 9 2 3" xfId="3835"/>
    <cellStyle name="Normal 4 4 9 2 3 2" xfId="12060"/>
    <cellStyle name="Normal 4 4 9 2 3 2 2" xfId="28510"/>
    <cellStyle name="Normal 4 4 9 2 3 3" xfId="20285"/>
    <cellStyle name="Normal 4 4 9 2 3 4" xfId="36739"/>
    <cellStyle name="Normal 4 4 9 2 4" xfId="5480"/>
    <cellStyle name="Normal 4 4 9 2 4 2" xfId="13705"/>
    <cellStyle name="Normal 4 4 9 2 4 2 2" xfId="30155"/>
    <cellStyle name="Normal 4 4 9 2 4 3" xfId="21930"/>
    <cellStyle name="Normal 4 4 9 2 4 4" xfId="38384"/>
    <cellStyle name="Normal 4 4 9 2 5" xfId="7125"/>
    <cellStyle name="Normal 4 4 9 2 5 2" xfId="15350"/>
    <cellStyle name="Normal 4 4 9 2 5 2 2" xfId="31800"/>
    <cellStyle name="Normal 4 4 9 2 5 3" xfId="23575"/>
    <cellStyle name="Normal 4 4 9 2 5 4" xfId="40029"/>
    <cellStyle name="Normal 4 4 9 2 6" xfId="8770"/>
    <cellStyle name="Normal 4 4 9 2 6 2" xfId="25220"/>
    <cellStyle name="Normal 4 4 9 2 7" xfId="16994"/>
    <cellStyle name="Normal 4 4 9 2 8" xfId="33448"/>
    <cellStyle name="Normal 4 4 9 2 9" xfId="41675"/>
    <cellStyle name="Normal 4 4 9 3" xfId="730"/>
    <cellStyle name="Normal 4 4 9 3 2" xfId="2425"/>
    <cellStyle name="Normal 4 4 9 3 2 2" xfId="10650"/>
    <cellStyle name="Normal 4 4 9 3 2 2 2" xfId="27100"/>
    <cellStyle name="Normal 4 4 9 3 2 3" xfId="18875"/>
    <cellStyle name="Normal 4 4 9 3 2 4" xfId="35329"/>
    <cellStyle name="Normal 4 4 9 3 3" xfId="4070"/>
    <cellStyle name="Normal 4 4 9 3 3 2" xfId="12295"/>
    <cellStyle name="Normal 4 4 9 3 3 2 2" xfId="28745"/>
    <cellStyle name="Normal 4 4 9 3 3 3" xfId="20520"/>
    <cellStyle name="Normal 4 4 9 3 3 4" xfId="36974"/>
    <cellStyle name="Normal 4 4 9 3 4" xfId="5715"/>
    <cellStyle name="Normal 4 4 9 3 4 2" xfId="13940"/>
    <cellStyle name="Normal 4 4 9 3 4 2 2" xfId="30390"/>
    <cellStyle name="Normal 4 4 9 3 4 3" xfId="22165"/>
    <cellStyle name="Normal 4 4 9 3 4 4" xfId="38619"/>
    <cellStyle name="Normal 4 4 9 3 5" xfId="7360"/>
    <cellStyle name="Normal 4 4 9 3 5 2" xfId="15585"/>
    <cellStyle name="Normal 4 4 9 3 5 2 2" xfId="32035"/>
    <cellStyle name="Normal 4 4 9 3 5 3" xfId="23810"/>
    <cellStyle name="Normal 4 4 9 3 5 4" xfId="40264"/>
    <cellStyle name="Normal 4 4 9 3 6" xfId="9005"/>
    <cellStyle name="Normal 4 4 9 3 6 2" xfId="25455"/>
    <cellStyle name="Normal 4 4 9 3 7" xfId="17229"/>
    <cellStyle name="Normal 4 4 9 3 8" xfId="33683"/>
    <cellStyle name="Normal 4 4 9 3 9" xfId="41910"/>
    <cellStyle name="Normal 4 4 9 4" xfId="965"/>
    <cellStyle name="Normal 4 4 9 4 2" xfId="2660"/>
    <cellStyle name="Normal 4 4 9 4 2 2" xfId="10885"/>
    <cellStyle name="Normal 4 4 9 4 2 2 2" xfId="27335"/>
    <cellStyle name="Normal 4 4 9 4 2 3" xfId="19110"/>
    <cellStyle name="Normal 4 4 9 4 2 4" xfId="35564"/>
    <cellStyle name="Normal 4 4 9 4 3" xfId="4305"/>
    <cellStyle name="Normal 4 4 9 4 3 2" xfId="12530"/>
    <cellStyle name="Normal 4 4 9 4 3 2 2" xfId="28980"/>
    <cellStyle name="Normal 4 4 9 4 3 3" xfId="20755"/>
    <cellStyle name="Normal 4 4 9 4 3 4" xfId="37209"/>
    <cellStyle name="Normal 4 4 9 4 4" xfId="5950"/>
    <cellStyle name="Normal 4 4 9 4 4 2" xfId="14175"/>
    <cellStyle name="Normal 4 4 9 4 4 2 2" xfId="30625"/>
    <cellStyle name="Normal 4 4 9 4 4 3" xfId="22400"/>
    <cellStyle name="Normal 4 4 9 4 4 4" xfId="38854"/>
    <cellStyle name="Normal 4 4 9 4 5" xfId="7595"/>
    <cellStyle name="Normal 4 4 9 4 5 2" xfId="15820"/>
    <cellStyle name="Normal 4 4 9 4 5 2 2" xfId="32270"/>
    <cellStyle name="Normal 4 4 9 4 5 3" xfId="24045"/>
    <cellStyle name="Normal 4 4 9 4 5 4" xfId="40499"/>
    <cellStyle name="Normal 4 4 9 4 6" xfId="9240"/>
    <cellStyle name="Normal 4 4 9 4 6 2" xfId="25690"/>
    <cellStyle name="Normal 4 4 9 4 7" xfId="17464"/>
    <cellStyle name="Normal 4 4 9 4 8" xfId="33918"/>
    <cellStyle name="Normal 4 4 9 4 9" xfId="42145"/>
    <cellStyle name="Normal 4 4 9 5" xfId="1200"/>
    <cellStyle name="Normal 4 4 9 5 2" xfId="2895"/>
    <cellStyle name="Normal 4 4 9 5 2 2" xfId="11120"/>
    <cellStyle name="Normal 4 4 9 5 2 2 2" xfId="27570"/>
    <cellStyle name="Normal 4 4 9 5 2 3" xfId="19345"/>
    <cellStyle name="Normal 4 4 9 5 2 4" xfId="35799"/>
    <cellStyle name="Normal 4 4 9 5 3" xfId="4540"/>
    <cellStyle name="Normal 4 4 9 5 3 2" xfId="12765"/>
    <cellStyle name="Normal 4 4 9 5 3 2 2" xfId="29215"/>
    <cellStyle name="Normal 4 4 9 5 3 3" xfId="20990"/>
    <cellStyle name="Normal 4 4 9 5 3 4" xfId="37444"/>
    <cellStyle name="Normal 4 4 9 5 4" xfId="6185"/>
    <cellStyle name="Normal 4 4 9 5 4 2" xfId="14410"/>
    <cellStyle name="Normal 4 4 9 5 4 2 2" xfId="30860"/>
    <cellStyle name="Normal 4 4 9 5 4 3" xfId="22635"/>
    <cellStyle name="Normal 4 4 9 5 4 4" xfId="39089"/>
    <cellStyle name="Normal 4 4 9 5 5" xfId="7830"/>
    <cellStyle name="Normal 4 4 9 5 5 2" xfId="16055"/>
    <cellStyle name="Normal 4 4 9 5 5 2 2" xfId="32505"/>
    <cellStyle name="Normal 4 4 9 5 5 3" xfId="24280"/>
    <cellStyle name="Normal 4 4 9 5 5 4" xfId="40734"/>
    <cellStyle name="Normal 4 4 9 5 6" xfId="9475"/>
    <cellStyle name="Normal 4 4 9 5 6 2" xfId="25925"/>
    <cellStyle name="Normal 4 4 9 5 7" xfId="17699"/>
    <cellStyle name="Normal 4 4 9 5 8" xfId="34153"/>
    <cellStyle name="Normal 4 4 9 5 9" xfId="42380"/>
    <cellStyle name="Normal 4 4 9 6" xfId="1480"/>
    <cellStyle name="Normal 4 4 9 6 2" xfId="3130"/>
    <cellStyle name="Normal 4 4 9 6 2 2" xfId="11355"/>
    <cellStyle name="Normal 4 4 9 6 2 2 2" xfId="27805"/>
    <cellStyle name="Normal 4 4 9 6 2 3" xfId="19580"/>
    <cellStyle name="Normal 4 4 9 6 2 4" xfId="36034"/>
    <cellStyle name="Normal 4 4 9 6 3" xfId="4775"/>
    <cellStyle name="Normal 4 4 9 6 3 2" xfId="13000"/>
    <cellStyle name="Normal 4 4 9 6 3 2 2" xfId="29450"/>
    <cellStyle name="Normal 4 4 9 6 3 3" xfId="21225"/>
    <cellStyle name="Normal 4 4 9 6 3 4" xfId="37679"/>
    <cellStyle name="Normal 4 4 9 6 4" xfId="6420"/>
    <cellStyle name="Normal 4 4 9 6 4 2" xfId="14645"/>
    <cellStyle name="Normal 4 4 9 6 4 2 2" xfId="31095"/>
    <cellStyle name="Normal 4 4 9 6 4 3" xfId="22870"/>
    <cellStyle name="Normal 4 4 9 6 4 4" xfId="39324"/>
    <cellStyle name="Normal 4 4 9 6 5" xfId="8065"/>
    <cellStyle name="Normal 4 4 9 6 5 2" xfId="16290"/>
    <cellStyle name="Normal 4 4 9 6 5 2 2" xfId="32740"/>
    <cellStyle name="Normal 4 4 9 6 5 3" xfId="24515"/>
    <cellStyle name="Normal 4 4 9 6 5 4" xfId="40969"/>
    <cellStyle name="Normal 4 4 9 6 6" xfId="9710"/>
    <cellStyle name="Normal 4 4 9 6 6 2" xfId="26160"/>
    <cellStyle name="Normal 4 4 9 6 7" xfId="17934"/>
    <cellStyle name="Normal 4 4 9 6 8" xfId="34388"/>
    <cellStyle name="Normal 4 4 9 7" xfId="1715"/>
    <cellStyle name="Normal 4 4 9 7 2" xfId="3365"/>
    <cellStyle name="Normal 4 4 9 7 2 2" xfId="11590"/>
    <cellStyle name="Normal 4 4 9 7 2 2 2" xfId="28040"/>
    <cellStyle name="Normal 4 4 9 7 2 3" xfId="19815"/>
    <cellStyle name="Normal 4 4 9 7 2 4" xfId="36269"/>
    <cellStyle name="Normal 4 4 9 7 3" xfId="5010"/>
    <cellStyle name="Normal 4 4 9 7 3 2" xfId="13235"/>
    <cellStyle name="Normal 4 4 9 7 3 2 2" xfId="29685"/>
    <cellStyle name="Normal 4 4 9 7 3 3" xfId="21460"/>
    <cellStyle name="Normal 4 4 9 7 3 4" xfId="37914"/>
    <cellStyle name="Normal 4 4 9 7 4" xfId="6655"/>
    <cellStyle name="Normal 4 4 9 7 4 2" xfId="14880"/>
    <cellStyle name="Normal 4 4 9 7 4 2 2" xfId="31330"/>
    <cellStyle name="Normal 4 4 9 7 4 3" xfId="23105"/>
    <cellStyle name="Normal 4 4 9 7 4 4" xfId="39559"/>
    <cellStyle name="Normal 4 4 9 7 5" xfId="8300"/>
    <cellStyle name="Normal 4 4 9 7 5 2" xfId="16525"/>
    <cellStyle name="Normal 4 4 9 7 5 2 2" xfId="32975"/>
    <cellStyle name="Normal 4 4 9 7 5 3" xfId="24750"/>
    <cellStyle name="Normal 4 4 9 7 5 4" xfId="41204"/>
    <cellStyle name="Normal 4 4 9 7 6" xfId="9945"/>
    <cellStyle name="Normal 4 4 9 7 6 2" xfId="26395"/>
    <cellStyle name="Normal 4 4 9 7 7" xfId="18169"/>
    <cellStyle name="Normal 4 4 9 7 8" xfId="34623"/>
    <cellStyle name="Normal 4 4 9 8" xfId="1950"/>
    <cellStyle name="Normal 4 4 9 8 2" xfId="10180"/>
    <cellStyle name="Normal 4 4 9 8 2 2" xfId="26630"/>
    <cellStyle name="Normal 4 4 9 8 3" xfId="18404"/>
    <cellStyle name="Normal 4 4 9 8 4" xfId="34858"/>
    <cellStyle name="Normal 4 4 9 9" xfId="3600"/>
    <cellStyle name="Normal 4 4 9 9 2" xfId="11825"/>
    <cellStyle name="Normal 4 4 9 9 2 2" xfId="28275"/>
    <cellStyle name="Normal 4 4 9 9 3" xfId="20050"/>
    <cellStyle name="Normal 4 4 9 9 4" xfId="36504"/>
    <cellStyle name="Normal 4 5" xfId="45"/>
    <cellStyle name="Normal 4 5 10" xfId="531"/>
    <cellStyle name="Normal 4 5 10 2" xfId="2226"/>
    <cellStyle name="Normal 4 5 10 2 2" xfId="10451"/>
    <cellStyle name="Normal 4 5 10 2 2 2" xfId="26901"/>
    <cellStyle name="Normal 4 5 10 2 3" xfId="18676"/>
    <cellStyle name="Normal 4 5 10 2 4" xfId="35130"/>
    <cellStyle name="Normal 4 5 10 3" xfId="3871"/>
    <cellStyle name="Normal 4 5 10 3 2" xfId="12096"/>
    <cellStyle name="Normal 4 5 10 3 2 2" xfId="28546"/>
    <cellStyle name="Normal 4 5 10 3 3" xfId="20321"/>
    <cellStyle name="Normal 4 5 10 3 4" xfId="36775"/>
    <cellStyle name="Normal 4 5 10 4" xfId="5516"/>
    <cellStyle name="Normal 4 5 10 4 2" xfId="13741"/>
    <cellStyle name="Normal 4 5 10 4 2 2" xfId="30191"/>
    <cellStyle name="Normal 4 5 10 4 3" xfId="21966"/>
    <cellStyle name="Normal 4 5 10 4 4" xfId="38420"/>
    <cellStyle name="Normal 4 5 10 5" xfId="7161"/>
    <cellStyle name="Normal 4 5 10 5 2" xfId="15386"/>
    <cellStyle name="Normal 4 5 10 5 2 2" xfId="31836"/>
    <cellStyle name="Normal 4 5 10 5 3" xfId="23611"/>
    <cellStyle name="Normal 4 5 10 5 4" xfId="40065"/>
    <cellStyle name="Normal 4 5 10 6" xfId="8806"/>
    <cellStyle name="Normal 4 5 10 6 2" xfId="25256"/>
    <cellStyle name="Normal 4 5 10 7" xfId="17030"/>
    <cellStyle name="Normal 4 5 10 8" xfId="33484"/>
    <cellStyle name="Normal 4 5 10 9" xfId="41711"/>
    <cellStyle name="Normal 4 5 11" xfId="766"/>
    <cellStyle name="Normal 4 5 11 2" xfId="2461"/>
    <cellStyle name="Normal 4 5 11 2 2" xfId="10686"/>
    <cellStyle name="Normal 4 5 11 2 2 2" xfId="27136"/>
    <cellStyle name="Normal 4 5 11 2 3" xfId="18911"/>
    <cellStyle name="Normal 4 5 11 2 4" xfId="35365"/>
    <cellStyle name="Normal 4 5 11 3" xfId="4106"/>
    <cellStyle name="Normal 4 5 11 3 2" xfId="12331"/>
    <cellStyle name="Normal 4 5 11 3 2 2" xfId="28781"/>
    <cellStyle name="Normal 4 5 11 3 3" xfId="20556"/>
    <cellStyle name="Normal 4 5 11 3 4" xfId="37010"/>
    <cellStyle name="Normal 4 5 11 4" xfId="5751"/>
    <cellStyle name="Normal 4 5 11 4 2" xfId="13976"/>
    <cellStyle name="Normal 4 5 11 4 2 2" xfId="30426"/>
    <cellStyle name="Normal 4 5 11 4 3" xfId="22201"/>
    <cellStyle name="Normal 4 5 11 4 4" xfId="38655"/>
    <cellStyle name="Normal 4 5 11 5" xfId="7396"/>
    <cellStyle name="Normal 4 5 11 5 2" xfId="15621"/>
    <cellStyle name="Normal 4 5 11 5 2 2" xfId="32071"/>
    <cellStyle name="Normal 4 5 11 5 3" xfId="23846"/>
    <cellStyle name="Normal 4 5 11 5 4" xfId="40300"/>
    <cellStyle name="Normal 4 5 11 6" xfId="9041"/>
    <cellStyle name="Normal 4 5 11 6 2" xfId="25491"/>
    <cellStyle name="Normal 4 5 11 7" xfId="17265"/>
    <cellStyle name="Normal 4 5 11 8" xfId="33719"/>
    <cellStyle name="Normal 4 5 11 9" xfId="41946"/>
    <cellStyle name="Normal 4 5 12" xfId="1001"/>
    <cellStyle name="Normal 4 5 12 2" xfId="2696"/>
    <cellStyle name="Normal 4 5 12 2 2" xfId="10921"/>
    <cellStyle name="Normal 4 5 12 2 2 2" xfId="27371"/>
    <cellStyle name="Normal 4 5 12 2 3" xfId="19146"/>
    <cellStyle name="Normal 4 5 12 2 4" xfId="35600"/>
    <cellStyle name="Normal 4 5 12 3" xfId="4341"/>
    <cellStyle name="Normal 4 5 12 3 2" xfId="12566"/>
    <cellStyle name="Normal 4 5 12 3 2 2" xfId="29016"/>
    <cellStyle name="Normal 4 5 12 3 3" xfId="20791"/>
    <cellStyle name="Normal 4 5 12 3 4" xfId="37245"/>
    <cellStyle name="Normal 4 5 12 4" xfId="5986"/>
    <cellStyle name="Normal 4 5 12 4 2" xfId="14211"/>
    <cellStyle name="Normal 4 5 12 4 2 2" xfId="30661"/>
    <cellStyle name="Normal 4 5 12 4 3" xfId="22436"/>
    <cellStyle name="Normal 4 5 12 4 4" xfId="38890"/>
    <cellStyle name="Normal 4 5 12 5" xfId="7631"/>
    <cellStyle name="Normal 4 5 12 5 2" xfId="15856"/>
    <cellStyle name="Normal 4 5 12 5 2 2" xfId="32306"/>
    <cellStyle name="Normal 4 5 12 5 3" xfId="24081"/>
    <cellStyle name="Normal 4 5 12 5 4" xfId="40535"/>
    <cellStyle name="Normal 4 5 12 6" xfId="9276"/>
    <cellStyle name="Normal 4 5 12 6 2" xfId="25726"/>
    <cellStyle name="Normal 4 5 12 7" xfId="17500"/>
    <cellStyle name="Normal 4 5 12 8" xfId="33954"/>
    <cellStyle name="Normal 4 5 12 9" xfId="42181"/>
    <cellStyle name="Normal 4 5 13" xfId="1281"/>
    <cellStyle name="Normal 4 5 13 2" xfId="2931"/>
    <cellStyle name="Normal 4 5 13 2 2" xfId="11156"/>
    <cellStyle name="Normal 4 5 13 2 2 2" xfId="27606"/>
    <cellStyle name="Normal 4 5 13 2 3" xfId="19381"/>
    <cellStyle name="Normal 4 5 13 2 4" xfId="35835"/>
    <cellStyle name="Normal 4 5 13 3" xfId="4576"/>
    <cellStyle name="Normal 4 5 13 3 2" xfId="12801"/>
    <cellStyle name="Normal 4 5 13 3 2 2" xfId="29251"/>
    <cellStyle name="Normal 4 5 13 3 3" xfId="21026"/>
    <cellStyle name="Normal 4 5 13 3 4" xfId="37480"/>
    <cellStyle name="Normal 4 5 13 4" xfId="6221"/>
    <cellStyle name="Normal 4 5 13 4 2" xfId="14446"/>
    <cellStyle name="Normal 4 5 13 4 2 2" xfId="30896"/>
    <cellStyle name="Normal 4 5 13 4 3" xfId="22671"/>
    <cellStyle name="Normal 4 5 13 4 4" xfId="39125"/>
    <cellStyle name="Normal 4 5 13 5" xfId="7866"/>
    <cellStyle name="Normal 4 5 13 5 2" xfId="16091"/>
    <cellStyle name="Normal 4 5 13 5 2 2" xfId="32541"/>
    <cellStyle name="Normal 4 5 13 5 3" xfId="24316"/>
    <cellStyle name="Normal 4 5 13 5 4" xfId="40770"/>
    <cellStyle name="Normal 4 5 13 6" xfId="9511"/>
    <cellStyle name="Normal 4 5 13 6 2" xfId="25961"/>
    <cellStyle name="Normal 4 5 13 7" xfId="17735"/>
    <cellStyle name="Normal 4 5 13 8" xfId="34189"/>
    <cellStyle name="Normal 4 5 14" xfId="1516"/>
    <cellStyle name="Normal 4 5 14 2" xfId="3166"/>
    <cellStyle name="Normal 4 5 14 2 2" xfId="11391"/>
    <cellStyle name="Normal 4 5 14 2 2 2" xfId="27841"/>
    <cellStyle name="Normal 4 5 14 2 3" xfId="19616"/>
    <cellStyle name="Normal 4 5 14 2 4" xfId="36070"/>
    <cellStyle name="Normal 4 5 14 3" xfId="4811"/>
    <cellStyle name="Normal 4 5 14 3 2" xfId="13036"/>
    <cellStyle name="Normal 4 5 14 3 2 2" xfId="29486"/>
    <cellStyle name="Normal 4 5 14 3 3" xfId="21261"/>
    <cellStyle name="Normal 4 5 14 3 4" xfId="37715"/>
    <cellStyle name="Normal 4 5 14 4" xfId="6456"/>
    <cellStyle name="Normal 4 5 14 4 2" xfId="14681"/>
    <cellStyle name="Normal 4 5 14 4 2 2" xfId="31131"/>
    <cellStyle name="Normal 4 5 14 4 3" xfId="22906"/>
    <cellStyle name="Normal 4 5 14 4 4" xfId="39360"/>
    <cellStyle name="Normal 4 5 14 5" xfId="8101"/>
    <cellStyle name="Normal 4 5 14 5 2" xfId="16326"/>
    <cellStyle name="Normal 4 5 14 5 2 2" xfId="32776"/>
    <cellStyle name="Normal 4 5 14 5 3" xfId="24551"/>
    <cellStyle name="Normal 4 5 14 5 4" xfId="41005"/>
    <cellStyle name="Normal 4 5 14 6" xfId="9746"/>
    <cellStyle name="Normal 4 5 14 6 2" xfId="26196"/>
    <cellStyle name="Normal 4 5 14 7" xfId="17970"/>
    <cellStyle name="Normal 4 5 14 8" xfId="34424"/>
    <cellStyle name="Normal 4 5 15" xfId="1751"/>
    <cellStyle name="Normal 4 5 15 2" xfId="9981"/>
    <cellStyle name="Normal 4 5 15 2 2" xfId="26431"/>
    <cellStyle name="Normal 4 5 15 3" xfId="18205"/>
    <cellStyle name="Normal 4 5 15 4" xfId="34659"/>
    <cellStyle name="Normal 4 5 16" xfId="3401"/>
    <cellStyle name="Normal 4 5 16 2" xfId="11626"/>
    <cellStyle name="Normal 4 5 16 2 2" xfId="28076"/>
    <cellStyle name="Normal 4 5 16 3" xfId="19851"/>
    <cellStyle name="Normal 4 5 16 4" xfId="36305"/>
    <cellStyle name="Normal 4 5 17" xfId="5046"/>
    <cellStyle name="Normal 4 5 17 2" xfId="13271"/>
    <cellStyle name="Normal 4 5 17 2 2" xfId="29721"/>
    <cellStyle name="Normal 4 5 17 3" xfId="21496"/>
    <cellStyle name="Normal 4 5 17 4" xfId="37950"/>
    <cellStyle name="Normal 4 5 18" xfId="6691"/>
    <cellStyle name="Normal 4 5 18 2" xfId="14916"/>
    <cellStyle name="Normal 4 5 18 2 2" xfId="31366"/>
    <cellStyle name="Normal 4 5 18 3" xfId="23141"/>
    <cellStyle name="Normal 4 5 18 4" xfId="39595"/>
    <cellStyle name="Normal 4 5 19" xfId="8336"/>
    <cellStyle name="Normal 4 5 19 2" xfId="24786"/>
    <cellStyle name="Normal 4 5 2" xfId="72"/>
    <cellStyle name="Normal 4 5 2 10" xfId="3426"/>
    <cellStyle name="Normal 4 5 2 10 2" xfId="11651"/>
    <cellStyle name="Normal 4 5 2 10 2 2" xfId="28101"/>
    <cellStyle name="Normal 4 5 2 10 3" xfId="19876"/>
    <cellStyle name="Normal 4 5 2 10 4" xfId="36330"/>
    <cellStyle name="Normal 4 5 2 11" xfId="5071"/>
    <cellStyle name="Normal 4 5 2 11 2" xfId="13296"/>
    <cellStyle name="Normal 4 5 2 11 2 2" xfId="29746"/>
    <cellStyle name="Normal 4 5 2 11 3" xfId="21521"/>
    <cellStyle name="Normal 4 5 2 11 4" xfId="37975"/>
    <cellStyle name="Normal 4 5 2 12" xfId="6716"/>
    <cellStyle name="Normal 4 5 2 12 2" xfId="14941"/>
    <cellStyle name="Normal 4 5 2 12 2 2" xfId="31391"/>
    <cellStyle name="Normal 4 5 2 12 3" xfId="23166"/>
    <cellStyle name="Normal 4 5 2 12 4" xfId="39620"/>
    <cellStyle name="Normal 4 5 2 13" xfId="8361"/>
    <cellStyle name="Normal 4 5 2 13 2" xfId="24811"/>
    <cellStyle name="Normal 4 5 2 14" xfId="16585"/>
    <cellStyle name="Normal 4 5 2 15" xfId="33038"/>
    <cellStyle name="Normal 4 5 2 16" xfId="41266"/>
    <cellStyle name="Normal 4 5 2 2" xfId="122"/>
    <cellStyle name="Normal 4 5 2 2 10" xfId="5121"/>
    <cellStyle name="Normal 4 5 2 2 10 2" xfId="13346"/>
    <cellStyle name="Normal 4 5 2 2 10 2 2" xfId="29796"/>
    <cellStyle name="Normal 4 5 2 2 10 3" xfId="21571"/>
    <cellStyle name="Normal 4 5 2 2 10 4" xfId="38025"/>
    <cellStyle name="Normal 4 5 2 2 11" xfId="6766"/>
    <cellStyle name="Normal 4 5 2 2 11 2" xfId="14991"/>
    <cellStyle name="Normal 4 5 2 2 11 2 2" xfId="31441"/>
    <cellStyle name="Normal 4 5 2 2 11 3" xfId="23216"/>
    <cellStyle name="Normal 4 5 2 2 11 4" xfId="39670"/>
    <cellStyle name="Normal 4 5 2 2 12" xfId="8411"/>
    <cellStyle name="Normal 4 5 2 2 12 2" xfId="24861"/>
    <cellStyle name="Normal 4 5 2 2 13" xfId="16635"/>
    <cellStyle name="Normal 4 5 2 2 14" xfId="33088"/>
    <cellStyle name="Normal 4 5 2 2 15" xfId="41316"/>
    <cellStyle name="Normal 4 5 2 2 2" xfId="365"/>
    <cellStyle name="Normal 4 5 2 2 2 2" xfId="2064"/>
    <cellStyle name="Normal 4 5 2 2 2 2 2" xfId="10291"/>
    <cellStyle name="Normal 4 5 2 2 2 2 2 2" xfId="26741"/>
    <cellStyle name="Normal 4 5 2 2 2 2 3" xfId="18516"/>
    <cellStyle name="Normal 4 5 2 2 2 2 4" xfId="34970"/>
    <cellStyle name="Normal 4 5 2 2 2 3" xfId="3711"/>
    <cellStyle name="Normal 4 5 2 2 2 3 2" xfId="11936"/>
    <cellStyle name="Normal 4 5 2 2 2 3 2 2" xfId="28386"/>
    <cellStyle name="Normal 4 5 2 2 2 3 3" xfId="20161"/>
    <cellStyle name="Normal 4 5 2 2 2 3 4" xfId="36615"/>
    <cellStyle name="Normal 4 5 2 2 2 4" xfId="5356"/>
    <cellStyle name="Normal 4 5 2 2 2 4 2" xfId="13581"/>
    <cellStyle name="Normal 4 5 2 2 2 4 2 2" xfId="30031"/>
    <cellStyle name="Normal 4 5 2 2 2 4 3" xfId="21806"/>
    <cellStyle name="Normal 4 5 2 2 2 4 4" xfId="38260"/>
    <cellStyle name="Normal 4 5 2 2 2 5" xfId="7001"/>
    <cellStyle name="Normal 4 5 2 2 2 5 2" xfId="15226"/>
    <cellStyle name="Normal 4 5 2 2 2 5 2 2" xfId="31676"/>
    <cellStyle name="Normal 4 5 2 2 2 5 3" xfId="23451"/>
    <cellStyle name="Normal 4 5 2 2 2 5 4" xfId="39905"/>
    <cellStyle name="Normal 4 5 2 2 2 6" xfId="8646"/>
    <cellStyle name="Normal 4 5 2 2 2 6 2" xfId="25096"/>
    <cellStyle name="Normal 4 5 2 2 2 7" xfId="16870"/>
    <cellStyle name="Normal 4 5 2 2 2 8" xfId="33324"/>
    <cellStyle name="Normal 4 5 2 2 2 9" xfId="41551"/>
    <cellStyle name="Normal 4 5 2 2 3" xfId="606"/>
    <cellStyle name="Normal 4 5 2 2 3 2" xfId="2301"/>
    <cellStyle name="Normal 4 5 2 2 3 2 2" xfId="10526"/>
    <cellStyle name="Normal 4 5 2 2 3 2 2 2" xfId="26976"/>
    <cellStyle name="Normal 4 5 2 2 3 2 3" xfId="18751"/>
    <cellStyle name="Normal 4 5 2 2 3 2 4" xfId="35205"/>
    <cellStyle name="Normal 4 5 2 2 3 3" xfId="3946"/>
    <cellStyle name="Normal 4 5 2 2 3 3 2" xfId="12171"/>
    <cellStyle name="Normal 4 5 2 2 3 3 2 2" xfId="28621"/>
    <cellStyle name="Normal 4 5 2 2 3 3 3" xfId="20396"/>
    <cellStyle name="Normal 4 5 2 2 3 3 4" xfId="36850"/>
    <cellStyle name="Normal 4 5 2 2 3 4" xfId="5591"/>
    <cellStyle name="Normal 4 5 2 2 3 4 2" xfId="13816"/>
    <cellStyle name="Normal 4 5 2 2 3 4 2 2" xfId="30266"/>
    <cellStyle name="Normal 4 5 2 2 3 4 3" xfId="22041"/>
    <cellStyle name="Normal 4 5 2 2 3 4 4" xfId="38495"/>
    <cellStyle name="Normal 4 5 2 2 3 5" xfId="7236"/>
    <cellStyle name="Normal 4 5 2 2 3 5 2" xfId="15461"/>
    <cellStyle name="Normal 4 5 2 2 3 5 2 2" xfId="31911"/>
    <cellStyle name="Normal 4 5 2 2 3 5 3" xfId="23686"/>
    <cellStyle name="Normal 4 5 2 2 3 5 4" xfId="40140"/>
    <cellStyle name="Normal 4 5 2 2 3 6" xfId="8881"/>
    <cellStyle name="Normal 4 5 2 2 3 6 2" xfId="25331"/>
    <cellStyle name="Normal 4 5 2 2 3 7" xfId="17105"/>
    <cellStyle name="Normal 4 5 2 2 3 8" xfId="33559"/>
    <cellStyle name="Normal 4 5 2 2 3 9" xfId="41786"/>
    <cellStyle name="Normal 4 5 2 2 4" xfId="841"/>
    <cellStyle name="Normal 4 5 2 2 4 2" xfId="2536"/>
    <cellStyle name="Normal 4 5 2 2 4 2 2" xfId="10761"/>
    <cellStyle name="Normal 4 5 2 2 4 2 2 2" xfId="27211"/>
    <cellStyle name="Normal 4 5 2 2 4 2 3" xfId="18986"/>
    <cellStyle name="Normal 4 5 2 2 4 2 4" xfId="35440"/>
    <cellStyle name="Normal 4 5 2 2 4 3" xfId="4181"/>
    <cellStyle name="Normal 4 5 2 2 4 3 2" xfId="12406"/>
    <cellStyle name="Normal 4 5 2 2 4 3 2 2" xfId="28856"/>
    <cellStyle name="Normal 4 5 2 2 4 3 3" xfId="20631"/>
    <cellStyle name="Normal 4 5 2 2 4 3 4" xfId="37085"/>
    <cellStyle name="Normal 4 5 2 2 4 4" xfId="5826"/>
    <cellStyle name="Normal 4 5 2 2 4 4 2" xfId="14051"/>
    <cellStyle name="Normal 4 5 2 2 4 4 2 2" xfId="30501"/>
    <cellStyle name="Normal 4 5 2 2 4 4 3" xfId="22276"/>
    <cellStyle name="Normal 4 5 2 2 4 4 4" xfId="38730"/>
    <cellStyle name="Normal 4 5 2 2 4 5" xfId="7471"/>
    <cellStyle name="Normal 4 5 2 2 4 5 2" xfId="15696"/>
    <cellStyle name="Normal 4 5 2 2 4 5 2 2" xfId="32146"/>
    <cellStyle name="Normal 4 5 2 2 4 5 3" xfId="23921"/>
    <cellStyle name="Normal 4 5 2 2 4 5 4" xfId="40375"/>
    <cellStyle name="Normal 4 5 2 2 4 6" xfId="9116"/>
    <cellStyle name="Normal 4 5 2 2 4 6 2" xfId="25566"/>
    <cellStyle name="Normal 4 5 2 2 4 7" xfId="17340"/>
    <cellStyle name="Normal 4 5 2 2 4 8" xfId="33794"/>
    <cellStyle name="Normal 4 5 2 2 4 9" xfId="42021"/>
    <cellStyle name="Normal 4 5 2 2 5" xfId="1076"/>
    <cellStyle name="Normal 4 5 2 2 5 2" xfId="2771"/>
    <cellStyle name="Normal 4 5 2 2 5 2 2" xfId="10996"/>
    <cellStyle name="Normal 4 5 2 2 5 2 2 2" xfId="27446"/>
    <cellStyle name="Normal 4 5 2 2 5 2 3" xfId="19221"/>
    <cellStyle name="Normal 4 5 2 2 5 2 4" xfId="35675"/>
    <cellStyle name="Normal 4 5 2 2 5 3" xfId="4416"/>
    <cellStyle name="Normal 4 5 2 2 5 3 2" xfId="12641"/>
    <cellStyle name="Normal 4 5 2 2 5 3 2 2" xfId="29091"/>
    <cellStyle name="Normal 4 5 2 2 5 3 3" xfId="20866"/>
    <cellStyle name="Normal 4 5 2 2 5 3 4" xfId="37320"/>
    <cellStyle name="Normal 4 5 2 2 5 4" xfId="6061"/>
    <cellStyle name="Normal 4 5 2 2 5 4 2" xfId="14286"/>
    <cellStyle name="Normal 4 5 2 2 5 4 2 2" xfId="30736"/>
    <cellStyle name="Normal 4 5 2 2 5 4 3" xfId="22511"/>
    <cellStyle name="Normal 4 5 2 2 5 4 4" xfId="38965"/>
    <cellStyle name="Normal 4 5 2 2 5 5" xfId="7706"/>
    <cellStyle name="Normal 4 5 2 2 5 5 2" xfId="15931"/>
    <cellStyle name="Normal 4 5 2 2 5 5 2 2" xfId="32381"/>
    <cellStyle name="Normal 4 5 2 2 5 5 3" xfId="24156"/>
    <cellStyle name="Normal 4 5 2 2 5 5 4" xfId="40610"/>
    <cellStyle name="Normal 4 5 2 2 5 6" xfId="9351"/>
    <cellStyle name="Normal 4 5 2 2 5 6 2" xfId="25801"/>
    <cellStyle name="Normal 4 5 2 2 5 7" xfId="17575"/>
    <cellStyle name="Normal 4 5 2 2 5 8" xfId="34029"/>
    <cellStyle name="Normal 4 5 2 2 5 9" xfId="42256"/>
    <cellStyle name="Normal 4 5 2 2 6" xfId="1356"/>
    <cellStyle name="Normal 4 5 2 2 6 2" xfId="3006"/>
    <cellStyle name="Normal 4 5 2 2 6 2 2" xfId="11231"/>
    <cellStyle name="Normal 4 5 2 2 6 2 2 2" xfId="27681"/>
    <cellStyle name="Normal 4 5 2 2 6 2 3" xfId="19456"/>
    <cellStyle name="Normal 4 5 2 2 6 2 4" xfId="35910"/>
    <cellStyle name="Normal 4 5 2 2 6 3" xfId="4651"/>
    <cellStyle name="Normal 4 5 2 2 6 3 2" xfId="12876"/>
    <cellStyle name="Normal 4 5 2 2 6 3 2 2" xfId="29326"/>
    <cellStyle name="Normal 4 5 2 2 6 3 3" xfId="21101"/>
    <cellStyle name="Normal 4 5 2 2 6 3 4" xfId="37555"/>
    <cellStyle name="Normal 4 5 2 2 6 4" xfId="6296"/>
    <cellStyle name="Normal 4 5 2 2 6 4 2" xfId="14521"/>
    <cellStyle name="Normal 4 5 2 2 6 4 2 2" xfId="30971"/>
    <cellStyle name="Normal 4 5 2 2 6 4 3" xfId="22746"/>
    <cellStyle name="Normal 4 5 2 2 6 4 4" xfId="39200"/>
    <cellStyle name="Normal 4 5 2 2 6 5" xfId="7941"/>
    <cellStyle name="Normal 4 5 2 2 6 5 2" xfId="16166"/>
    <cellStyle name="Normal 4 5 2 2 6 5 2 2" xfId="32616"/>
    <cellStyle name="Normal 4 5 2 2 6 5 3" xfId="24391"/>
    <cellStyle name="Normal 4 5 2 2 6 5 4" xfId="40845"/>
    <cellStyle name="Normal 4 5 2 2 6 6" xfId="9586"/>
    <cellStyle name="Normal 4 5 2 2 6 6 2" xfId="26036"/>
    <cellStyle name="Normal 4 5 2 2 6 7" xfId="17810"/>
    <cellStyle name="Normal 4 5 2 2 6 8" xfId="34264"/>
    <cellStyle name="Normal 4 5 2 2 7" xfId="1591"/>
    <cellStyle name="Normal 4 5 2 2 7 2" xfId="3241"/>
    <cellStyle name="Normal 4 5 2 2 7 2 2" xfId="11466"/>
    <cellStyle name="Normal 4 5 2 2 7 2 2 2" xfId="27916"/>
    <cellStyle name="Normal 4 5 2 2 7 2 3" xfId="19691"/>
    <cellStyle name="Normal 4 5 2 2 7 2 4" xfId="36145"/>
    <cellStyle name="Normal 4 5 2 2 7 3" xfId="4886"/>
    <cellStyle name="Normal 4 5 2 2 7 3 2" xfId="13111"/>
    <cellStyle name="Normal 4 5 2 2 7 3 2 2" xfId="29561"/>
    <cellStyle name="Normal 4 5 2 2 7 3 3" xfId="21336"/>
    <cellStyle name="Normal 4 5 2 2 7 3 4" xfId="37790"/>
    <cellStyle name="Normal 4 5 2 2 7 4" xfId="6531"/>
    <cellStyle name="Normal 4 5 2 2 7 4 2" xfId="14756"/>
    <cellStyle name="Normal 4 5 2 2 7 4 2 2" xfId="31206"/>
    <cellStyle name="Normal 4 5 2 2 7 4 3" xfId="22981"/>
    <cellStyle name="Normal 4 5 2 2 7 4 4" xfId="39435"/>
    <cellStyle name="Normal 4 5 2 2 7 5" xfId="8176"/>
    <cellStyle name="Normal 4 5 2 2 7 5 2" xfId="16401"/>
    <cellStyle name="Normal 4 5 2 2 7 5 2 2" xfId="32851"/>
    <cellStyle name="Normal 4 5 2 2 7 5 3" xfId="24626"/>
    <cellStyle name="Normal 4 5 2 2 7 5 4" xfId="41080"/>
    <cellStyle name="Normal 4 5 2 2 7 6" xfId="9821"/>
    <cellStyle name="Normal 4 5 2 2 7 6 2" xfId="26271"/>
    <cellStyle name="Normal 4 5 2 2 7 7" xfId="18045"/>
    <cellStyle name="Normal 4 5 2 2 7 8" xfId="34499"/>
    <cellStyle name="Normal 4 5 2 2 8" xfId="1826"/>
    <cellStyle name="Normal 4 5 2 2 8 2" xfId="10056"/>
    <cellStyle name="Normal 4 5 2 2 8 2 2" xfId="26506"/>
    <cellStyle name="Normal 4 5 2 2 8 3" xfId="18280"/>
    <cellStyle name="Normal 4 5 2 2 8 4" xfId="34734"/>
    <cellStyle name="Normal 4 5 2 2 9" xfId="3476"/>
    <cellStyle name="Normal 4 5 2 2 9 2" xfId="11701"/>
    <cellStyle name="Normal 4 5 2 2 9 2 2" xfId="28151"/>
    <cellStyle name="Normal 4 5 2 2 9 3" xfId="19926"/>
    <cellStyle name="Normal 4 5 2 2 9 4" xfId="36380"/>
    <cellStyle name="Normal 4 5 2 3" xfId="315"/>
    <cellStyle name="Normal 4 5 2 3 2" xfId="2014"/>
    <cellStyle name="Normal 4 5 2 3 2 2" xfId="10241"/>
    <cellStyle name="Normal 4 5 2 3 2 2 2" xfId="26691"/>
    <cellStyle name="Normal 4 5 2 3 2 3" xfId="18466"/>
    <cellStyle name="Normal 4 5 2 3 2 4" xfId="34920"/>
    <cellStyle name="Normal 4 5 2 3 3" xfId="3661"/>
    <cellStyle name="Normal 4 5 2 3 3 2" xfId="11886"/>
    <cellStyle name="Normal 4 5 2 3 3 2 2" xfId="28336"/>
    <cellStyle name="Normal 4 5 2 3 3 3" xfId="20111"/>
    <cellStyle name="Normal 4 5 2 3 3 4" xfId="36565"/>
    <cellStyle name="Normal 4 5 2 3 4" xfId="5306"/>
    <cellStyle name="Normal 4 5 2 3 4 2" xfId="13531"/>
    <cellStyle name="Normal 4 5 2 3 4 2 2" xfId="29981"/>
    <cellStyle name="Normal 4 5 2 3 4 3" xfId="21756"/>
    <cellStyle name="Normal 4 5 2 3 4 4" xfId="38210"/>
    <cellStyle name="Normal 4 5 2 3 5" xfId="6951"/>
    <cellStyle name="Normal 4 5 2 3 5 2" xfId="15176"/>
    <cellStyle name="Normal 4 5 2 3 5 2 2" xfId="31626"/>
    <cellStyle name="Normal 4 5 2 3 5 3" xfId="23401"/>
    <cellStyle name="Normal 4 5 2 3 5 4" xfId="39855"/>
    <cellStyle name="Normal 4 5 2 3 6" xfId="8596"/>
    <cellStyle name="Normal 4 5 2 3 6 2" xfId="25046"/>
    <cellStyle name="Normal 4 5 2 3 7" xfId="16820"/>
    <cellStyle name="Normal 4 5 2 3 8" xfId="33274"/>
    <cellStyle name="Normal 4 5 2 3 9" xfId="41501"/>
    <cellStyle name="Normal 4 5 2 4" xfId="556"/>
    <cellStyle name="Normal 4 5 2 4 2" xfId="2251"/>
    <cellStyle name="Normal 4 5 2 4 2 2" xfId="10476"/>
    <cellStyle name="Normal 4 5 2 4 2 2 2" xfId="26926"/>
    <cellStyle name="Normal 4 5 2 4 2 3" xfId="18701"/>
    <cellStyle name="Normal 4 5 2 4 2 4" xfId="35155"/>
    <cellStyle name="Normal 4 5 2 4 3" xfId="3896"/>
    <cellStyle name="Normal 4 5 2 4 3 2" xfId="12121"/>
    <cellStyle name="Normal 4 5 2 4 3 2 2" xfId="28571"/>
    <cellStyle name="Normal 4 5 2 4 3 3" xfId="20346"/>
    <cellStyle name="Normal 4 5 2 4 3 4" xfId="36800"/>
    <cellStyle name="Normal 4 5 2 4 4" xfId="5541"/>
    <cellStyle name="Normal 4 5 2 4 4 2" xfId="13766"/>
    <cellStyle name="Normal 4 5 2 4 4 2 2" xfId="30216"/>
    <cellStyle name="Normal 4 5 2 4 4 3" xfId="21991"/>
    <cellStyle name="Normal 4 5 2 4 4 4" xfId="38445"/>
    <cellStyle name="Normal 4 5 2 4 5" xfId="7186"/>
    <cellStyle name="Normal 4 5 2 4 5 2" xfId="15411"/>
    <cellStyle name="Normal 4 5 2 4 5 2 2" xfId="31861"/>
    <cellStyle name="Normal 4 5 2 4 5 3" xfId="23636"/>
    <cellStyle name="Normal 4 5 2 4 5 4" xfId="40090"/>
    <cellStyle name="Normal 4 5 2 4 6" xfId="8831"/>
    <cellStyle name="Normal 4 5 2 4 6 2" xfId="25281"/>
    <cellStyle name="Normal 4 5 2 4 7" xfId="17055"/>
    <cellStyle name="Normal 4 5 2 4 8" xfId="33509"/>
    <cellStyle name="Normal 4 5 2 4 9" xfId="41736"/>
    <cellStyle name="Normal 4 5 2 5" xfId="791"/>
    <cellStyle name="Normal 4 5 2 5 2" xfId="2486"/>
    <cellStyle name="Normal 4 5 2 5 2 2" xfId="10711"/>
    <cellStyle name="Normal 4 5 2 5 2 2 2" xfId="27161"/>
    <cellStyle name="Normal 4 5 2 5 2 3" xfId="18936"/>
    <cellStyle name="Normal 4 5 2 5 2 4" xfId="35390"/>
    <cellStyle name="Normal 4 5 2 5 3" xfId="4131"/>
    <cellStyle name="Normal 4 5 2 5 3 2" xfId="12356"/>
    <cellStyle name="Normal 4 5 2 5 3 2 2" xfId="28806"/>
    <cellStyle name="Normal 4 5 2 5 3 3" xfId="20581"/>
    <cellStyle name="Normal 4 5 2 5 3 4" xfId="37035"/>
    <cellStyle name="Normal 4 5 2 5 4" xfId="5776"/>
    <cellStyle name="Normal 4 5 2 5 4 2" xfId="14001"/>
    <cellStyle name="Normal 4 5 2 5 4 2 2" xfId="30451"/>
    <cellStyle name="Normal 4 5 2 5 4 3" xfId="22226"/>
    <cellStyle name="Normal 4 5 2 5 4 4" xfId="38680"/>
    <cellStyle name="Normal 4 5 2 5 5" xfId="7421"/>
    <cellStyle name="Normal 4 5 2 5 5 2" xfId="15646"/>
    <cellStyle name="Normal 4 5 2 5 5 2 2" xfId="32096"/>
    <cellStyle name="Normal 4 5 2 5 5 3" xfId="23871"/>
    <cellStyle name="Normal 4 5 2 5 5 4" xfId="40325"/>
    <cellStyle name="Normal 4 5 2 5 6" xfId="9066"/>
    <cellStyle name="Normal 4 5 2 5 6 2" xfId="25516"/>
    <cellStyle name="Normal 4 5 2 5 7" xfId="17290"/>
    <cellStyle name="Normal 4 5 2 5 8" xfId="33744"/>
    <cellStyle name="Normal 4 5 2 5 9" xfId="41971"/>
    <cellStyle name="Normal 4 5 2 6" xfId="1026"/>
    <cellStyle name="Normal 4 5 2 6 2" xfId="2721"/>
    <cellStyle name="Normal 4 5 2 6 2 2" xfId="10946"/>
    <cellStyle name="Normal 4 5 2 6 2 2 2" xfId="27396"/>
    <cellStyle name="Normal 4 5 2 6 2 3" xfId="19171"/>
    <cellStyle name="Normal 4 5 2 6 2 4" xfId="35625"/>
    <cellStyle name="Normal 4 5 2 6 3" xfId="4366"/>
    <cellStyle name="Normal 4 5 2 6 3 2" xfId="12591"/>
    <cellStyle name="Normal 4 5 2 6 3 2 2" xfId="29041"/>
    <cellStyle name="Normal 4 5 2 6 3 3" xfId="20816"/>
    <cellStyle name="Normal 4 5 2 6 3 4" xfId="37270"/>
    <cellStyle name="Normal 4 5 2 6 4" xfId="6011"/>
    <cellStyle name="Normal 4 5 2 6 4 2" xfId="14236"/>
    <cellStyle name="Normal 4 5 2 6 4 2 2" xfId="30686"/>
    <cellStyle name="Normal 4 5 2 6 4 3" xfId="22461"/>
    <cellStyle name="Normal 4 5 2 6 4 4" xfId="38915"/>
    <cellStyle name="Normal 4 5 2 6 5" xfId="7656"/>
    <cellStyle name="Normal 4 5 2 6 5 2" xfId="15881"/>
    <cellStyle name="Normal 4 5 2 6 5 2 2" xfId="32331"/>
    <cellStyle name="Normal 4 5 2 6 5 3" xfId="24106"/>
    <cellStyle name="Normal 4 5 2 6 5 4" xfId="40560"/>
    <cellStyle name="Normal 4 5 2 6 6" xfId="9301"/>
    <cellStyle name="Normal 4 5 2 6 6 2" xfId="25751"/>
    <cellStyle name="Normal 4 5 2 6 7" xfId="17525"/>
    <cellStyle name="Normal 4 5 2 6 8" xfId="33979"/>
    <cellStyle name="Normal 4 5 2 6 9" xfId="42206"/>
    <cellStyle name="Normal 4 5 2 7" xfId="1306"/>
    <cellStyle name="Normal 4 5 2 7 2" xfId="2956"/>
    <cellStyle name="Normal 4 5 2 7 2 2" xfId="11181"/>
    <cellStyle name="Normal 4 5 2 7 2 2 2" xfId="27631"/>
    <cellStyle name="Normal 4 5 2 7 2 3" xfId="19406"/>
    <cellStyle name="Normal 4 5 2 7 2 4" xfId="35860"/>
    <cellStyle name="Normal 4 5 2 7 3" xfId="4601"/>
    <cellStyle name="Normal 4 5 2 7 3 2" xfId="12826"/>
    <cellStyle name="Normal 4 5 2 7 3 2 2" xfId="29276"/>
    <cellStyle name="Normal 4 5 2 7 3 3" xfId="21051"/>
    <cellStyle name="Normal 4 5 2 7 3 4" xfId="37505"/>
    <cellStyle name="Normal 4 5 2 7 4" xfId="6246"/>
    <cellStyle name="Normal 4 5 2 7 4 2" xfId="14471"/>
    <cellStyle name="Normal 4 5 2 7 4 2 2" xfId="30921"/>
    <cellStyle name="Normal 4 5 2 7 4 3" xfId="22696"/>
    <cellStyle name="Normal 4 5 2 7 4 4" xfId="39150"/>
    <cellStyle name="Normal 4 5 2 7 5" xfId="7891"/>
    <cellStyle name="Normal 4 5 2 7 5 2" xfId="16116"/>
    <cellStyle name="Normal 4 5 2 7 5 2 2" xfId="32566"/>
    <cellStyle name="Normal 4 5 2 7 5 3" xfId="24341"/>
    <cellStyle name="Normal 4 5 2 7 5 4" xfId="40795"/>
    <cellStyle name="Normal 4 5 2 7 6" xfId="9536"/>
    <cellStyle name="Normal 4 5 2 7 6 2" xfId="25986"/>
    <cellStyle name="Normal 4 5 2 7 7" xfId="17760"/>
    <cellStyle name="Normal 4 5 2 7 8" xfId="34214"/>
    <cellStyle name="Normal 4 5 2 8" xfId="1541"/>
    <cellStyle name="Normal 4 5 2 8 2" xfId="3191"/>
    <cellStyle name="Normal 4 5 2 8 2 2" xfId="11416"/>
    <cellStyle name="Normal 4 5 2 8 2 2 2" xfId="27866"/>
    <cellStyle name="Normal 4 5 2 8 2 3" xfId="19641"/>
    <cellStyle name="Normal 4 5 2 8 2 4" xfId="36095"/>
    <cellStyle name="Normal 4 5 2 8 3" xfId="4836"/>
    <cellStyle name="Normal 4 5 2 8 3 2" xfId="13061"/>
    <cellStyle name="Normal 4 5 2 8 3 2 2" xfId="29511"/>
    <cellStyle name="Normal 4 5 2 8 3 3" xfId="21286"/>
    <cellStyle name="Normal 4 5 2 8 3 4" xfId="37740"/>
    <cellStyle name="Normal 4 5 2 8 4" xfId="6481"/>
    <cellStyle name="Normal 4 5 2 8 4 2" xfId="14706"/>
    <cellStyle name="Normal 4 5 2 8 4 2 2" xfId="31156"/>
    <cellStyle name="Normal 4 5 2 8 4 3" xfId="22931"/>
    <cellStyle name="Normal 4 5 2 8 4 4" xfId="39385"/>
    <cellStyle name="Normal 4 5 2 8 5" xfId="8126"/>
    <cellStyle name="Normal 4 5 2 8 5 2" xfId="16351"/>
    <cellStyle name="Normal 4 5 2 8 5 2 2" xfId="32801"/>
    <cellStyle name="Normal 4 5 2 8 5 3" xfId="24576"/>
    <cellStyle name="Normal 4 5 2 8 5 4" xfId="41030"/>
    <cellStyle name="Normal 4 5 2 8 6" xfId="9771"/>
    <cellStyle name="Normal 4 5 2 8 6 2" xfId="26221"/>
    <cellStyle name="Normal 4 5 2 8 7" xfId="17995"/>
    <cellStyle name="Normal 4 5 2 8 8" xfId="34449"/>
    <cellStyle name="Normal 4 5 2 9" xfId="1776"/>
    <cellStyle name="Normal 4 5 2 9 2" xfId="10006"/>
    <cellStyle name="Normal 4 5 2 9 2 2" xfId="26456"/>
    <cellStyle name="Normal 4 5 2 9 3" xfId="18230"/>
    <cellStyle name="Normal 4 5 2 9 4" xfId="34684"/>
    <cellStyle name="Normal 4 5 20" xfId="16560"/>
    <cellStyle name="Normal 4 5 21" xfId="33013"/>
    <cellStyle name="Normal 4 5 22" xfId="41241"/>
    <cellStyle name="Normal 4 5 3" xfId="97"/>
    <cellStyle name="Normal 4 5 3 10" xfId="5096"/>
    <cellStyle name="Normal 4 5 3 10 2" xfId="13321"/>
    <cellStyle name="Normal 4 5 3 10 2 2" xfId="29771"/>
    <cellStyle name="Normal 4 5 3 10 3" xfId="21546"/>
    <cellStyle name="Normal 4 5 3 10 4" xfId="38000"/>
    <cellStyle name="Normal 4 5 3 11" xfId="6741"/>
    <cellStyle name="Normal 4 5 3 11 2" xfId="14966"/>
    <cellStyle name="Normal 4 5 3 11 2 2" xfId="31416"/>
    <cellStyle name="Normal 4 5 3 11 3" xfId="23191"/>
    <cellStyle name="Normal 4 5 3 11 4" xfId="39645"/>
    <cellStyle name="Normal 4 5 3 12" xfId="8386"/>
    <cellStyle name="Normal 4 5 3 12 2" xfId="24836"/>
    <cellStyle name="Normal 4 5 3 13" xfId="16610"/>
    <cellStyle name="Normal 4 5 3 14" xfId="33063"/>
    <cellStyle name="Normal 4 5 3 15" xfId="41291"/>
    <cellStyle name="Normal 4 5 3 2" xfId="340"/>
    <cellStyle name="Normal 4 5 3 2 2" xfId="2039"/>
    <cellStyle name="Normal 4 5 3 2 2 2" xfId="10266"/>
    <cellStyle name="Normal 4 5 3 2 2 2 2" xfId="26716"/>
    <cellStyle name="Normal 4 5 3 2 2 3" xfId="18491"/>
    <cellStyle name="Normal 4 5 3 2 2 4" xfId="34945"/>
    <cellStyle name="Normal 4 5 3 2 3" xfId="3686"/>
    <cellStyle name="Normal 4 5 3 2 3 2" xfId="11911"/>
    <cellStyle name="Normal 4 5 3 2 3 2 2" xfId="28361"/>
    <cellStyle name="Normal 4 5 3 2 3 3" xfId="20136"/>
    <cellStyle name="Normal 4 5 3 2 3 4" xfId="36590"/>
    <cellStyle name="Normal 4 5 3 2 4" xfId="5331"/>
    <cellStyle name="Normal 4 5 3 2 4 2" xfId="13556"/>
    <cellStyle name="Normal 4 5 3 2 4 2 2" xfId="30006"/>
    <cellStyle name="Normal 4 5 3 2 4 3" xfId="21781"/>
    <cellStyle name="Normal 4 5 3 2 4 4" xfId="38235"/>
    <cellStyle name="Normal 4 5 3 2 5" xfId="6976"/>
    <cellStyle name="Normal 4 5 3 2 5 2" xfId="15201"/>
    <cellStyle name="Normal 4 5 3 2 5 2 2" xfId="31651"/>
    <cellStyle name="Normal 4 5 3 2 5 3" xfId="23426"/>
    <cellStyle name="Normal 4 5 3 2 5 4" xfId="39880"/>
    <cellStyle name="Normal 4 5 3 2 6" xfId="8621"/>
    <cellStyle name="Normal 4 5 3 2 6 2" xfId="25071"/>
    <cellStyle name="Normal 4 5 3 2 7" xfId="16845"/>
    <cellStyle name="Normal 4 5 3 2 8" xfId="33299"/>
    <cellStyle name="Normal 4 5 3 2 9" xfId="41526"/>
    <cellStyle name="Normal 4 5 3 3" xfId="581"/>
    <cellStyle name="Normal 4 5 3 3 2" xfId="2276"/>
    <cellStyle name="Normal 4 5 3 3 2 2" xfId="10501"/>
    <cellStyle name="Normal 4 5 3 3 2 2 2" xfId="26951"/>
    <cellStyle name="Normal 4 5 3 3 2 3" xfId="18726"/>
    <cellStyle name="Normal 4 5 3 3 2 4" xfId="35180"/>
    <cellStyle name="Normal 4 5 3 3 3" xfId="3921"/>
    <cellStyle name="Normal 4 5 3 3 3 2" xfId="12146"/>
    <cellStyle name="Normal 4 5 3 3 3 2 2" xfId="28596"/>
    <cellStyle name="Normal 4 5 3 3 3 3" xfId="20371"/>
    <cellStyle name="Normal 4 5 3 3 3 4" xfId="36825"/>
    <cellStyle name="Normal 4 5 3 3 4" xfId="5566"/>
    <cellStyle name="Normal 4 5 3 3 4 2" xfId="13791"/>
    <cellStyle name="Normal 4 5 3 3 4 2 2" xfId="30241"/>
    <cellStyle name="Normal 4 5 3 3 4 3" xfId="22016"/>
    <cellStyle name="Normal 4 5 3 3 4 4" xfId="38470"/>
    <cellStyle name="Normal 4 5 3 3 5" xfId="7211"/>
    <cellStyle name="Normal 4 5 3 3 5 2" xfId="15436"/>
    <cellStyle name="Normal 4 5 3 3 5 2 2" xfId="31886"/>
    <cellStyle name="Normal 4 5 3 3 5 3" xfId="23661"/>
    <cellStyle name="Normal 4 5 3 3 5 4" xfId="40115"/>
    <cellStyle name="Normal 4 5 3 3 6" xfId="8856"/>
    <cellStyle name="Normal 4 5 3 3 6 2" xfId="25306"/>
    <cellStyle name="Normal 4 5 3 3 7" xfId="17080"/>
    <cellStyle name="Normal 4 5 3 3 8" xfId="33534"/>
    <cellStyle name="Normal 4 5 3 3 9" xfId="41761"/>
    <cellStyle name="Normal 4 5 3 4" xfId="816"/>
    <cellStyle name="Normal 4 5 3 4 2" xfId="2511"/>
    <cellStyle name="Normal 4 5 3 4 2 2" xfId="10736"/>
    <cellStyle name="Normal 4 5 3 4 2 2 2" xfId="27186"/>
    <cellStyle name="Normal 4 5 3 4 2 3" xfId="18961"/>
    <cellStyle name="Normal 4 5 3 4 2 4" xfId="35415"/>
    <cellStyle name="Normal 4 5 3 4 3" xfId="4156"/>
    <cellStyle name="Normal 4 5 3 4 3 2" xfId="12381"/>
    <cellStyle name="Normal 4 5 3 4 3 2 2" xfId="28831"/>
    <cellStyle name="Normal 4 5 3 4 3 3" xfId="20606"/>
    <cellStyle name="Normal 4 5 3 4 3 4" xfId="37060"/>
    <cellStyle name="Normal 4 5 3 4 4" xfId="5801"/>
    <cellStyle name="Normal 4 5 3 4 4 2" xfId="14026"/>
    <cellStyle name="Normal 4 5 3 4 4 2 2" xfId="30476"/>
    <cellStyle name="Normal 4 5 3 4 4 3" xfId="22251"/>
    <cellStyle name="Normal 4 5 3 4 4 4" xfId="38705"/>
    <cellStyle name="Normal 4 5 3 4 5" xfId="7446"/>
    <cellStyle name="Normal 4 5 3 4 5 2" xfId="15671"/>
    <cellStyle name="Normal 4 5 3 4 5 2 2" xfId="32121"/>
    <cellStyle name="Normal 4 5 3 4 5 3" xfId="23896"/>
    <cellStyle name="Normal 4 5 3 4 5 4" xfId="40350"/>
    <cellStyle name="Normal 4 5 3 4 6" xfId="9091"/>
    <cellStyle name="Normal 4 5 3 4 6 2" xfId="25541"/>
    <cellStyle name="Normal 4 5 3 4 7" xfId="17315"/>
    <cellStyle name="Normal 4 5 3 4 8" xfId="33769"/>
    <cellStyle name="Normal 4 5 3 4 9" xfId="41996"/>
    <cellStyle name="Normal 4 5 3 5" xfId="1051"/>
    <cellStyle name="Normal 4 5 3 5 2" xfId="2746"/>
    <cellStyle name="Normal 4 5 3 5 2 2" xfId="10971"/>
    <cellStyle name="Normal 4 5 3 5 2 2 2" xfId="27421"/>
    <cellStyle name="Normal 4 5 3 5 2 3" xfId="19196"/>
    <cellStyle name="Normal 4 5 3 5 2 4" xfId="35650"/>
    <cellStyle name="Normal 4 5 3 5 3" xfId="4391"/>
    <cellStyle name="Normal 4 5 3 5 3 2" xfId="12616"/>
    <cellStyle name="Normal 4 5 3 5 3 2 2" xfId="29066"/>
    <cellStyle name="Normal 4 5 3 5 3 3" xfId="20841"/>
    <cellStyle name="Normal 4 5 3 5 3 4" xfId="37295"/>
    <cellStyle name="Normal 4 5 3 5 4" xfId="6036"/>
    <cellStyle name="Normal 4 5 3 5 4 2" xfId="14261"/>
    <cellStyle name="Normal 4 5 3 5 4 2 2" xfId="30711"/>
    <cellStyle name="Normal 4 5 3 5 4 3" xfId="22486"/>
    <cellStyle name="Normal 4 5 3 5 4 4" xfId="38940"/>
    <cellStyle name="Normal 4 5 3 5 5" xfId="7681"/>
    <cellStyle name="Normal 4 5 3 5 5 2" xfId="15906"/>
    <cellStyle name="Normal 4 5 3 5 5 2 2" xfId="32356"/>
    <cellStyle name="Normal 4 5 3 5 5 3" xfId="24131"/>
    <cellStyle name="Normal 4 5 3 5 5 4" xfId="40585"/>
    <cellStyle name="Normal 4 5 3 5 6" xfId="9326"/>
    <cellStyle name="Normal 4 5 3 5 6 2" xfId="25776"/>
    <cellStyle name="Normal 4 5 3 5 7" xfId="17550"/>
    <cellStyle name="Normal 4 5 3 5 8" xfId="34004"/>
    <cellStyle name="Normal 4 5 3 5 9" xfId="42231"/>
    <cellStyle name="Normal 4 5 3 6" xfId="1331"/>
    <cellStyle name="Normal 4 5 3 6 2" xfId="2981"/>
    <cellStyle name="Normal 4 5 3 6 2 2" xfId="11206"/>
    <cellStyle name="Normal 4 5 3 6 2 2 2" xfId="27656"/>
    <cellStyle name="Normal 4 5 3 6 2 3" xfId="19431"/>
    <cellStyle name="Normal 4 5 3 6 2 4" xfId="35885"/>
    <cellStyle name="Normal 4 5 3 6 3" xfId="4626"/>
    <cellStyle name="Normal 4 5 3 6 3 2" xfId="12851"/>
    <cellStyle name="Normal 4 5 3 6 3 2 2" xfId="29301"/>
    <cellStyle name="Normal 4 5 3 6 3 3" xfId="21076"/>
    <cellStyle name="Normal 4 5 3 6 3 4" xfId="37530"/>
    <cellStyle name="Normal 4 5 3 6 4" xfId="6271"/>
    <cellStyle name="Normal 4 5 3 6 4 2" xfId="14496"/>
    <cellStyle name="Normal 4 5 3 6 4 2 2" xfId="30946"/>
    <cellStyle name="Normal 4 5 3 6 4 3" xfId="22721"/>
    <cellStyle name="Normal 4 5 3 6 4 4" xfId="39175"/>
    <cellStyle name="Normal 4 5 3 6 5" xfId="7916"/>
    <cellStyle name="Normal 4 5 3 6 5 2" xfId="16141"/>
    <cellStyle name="Normal 4 5 3 6 5 2 2" xfId="32591"/>
    <cellStyle name="Normal 4 5 3 6 5 3" xfId="24366"/>
    <cellStyle name="Normal 4 5 3 6 5 4" xfId="40820"/>
    <cellStyle name="Normal 4 5 3 6 6" xfId="9561"/>
    <cellStyle name="Normal 4 5 3 6 6 2" xfId="26011"/>
    <cellStyle name="Normal 4 5 3 6 7" xfId="17785"/>
    <cellStyle name="Normal 4 5 3 6 8" xfId="34239"/>
    <cellStyle name="Normal 4 5 3 7" xfId="1566"/>
    <cellStyle name="Normal 4 5 3 7 2" xfId="3216"/>
    <cellStyle name="Normal 4 5 3 7 2 2" xfId="11441"/>
    <cellStyle name="Normal 4 5 3 7 2 2 2" xfId="27891"/>
    <cellStyle name="Normal 4 5 3 7 2 3" xfId="19666"/>
    <cellStyle name="Normal 4 5 3 7 2 4" xfId="36120"/>
    <cellStyle name="Normal 4 5 3 7 3" xfId="4861"/>
    <cellStyle name="Normal 4 5 3 7 3 2" xfId="13086"/>
    <cellStyle name="Normal 4 5 3 7 3 2 2" xfId="29536"/>
    <cellStyle name="Normal 4 5 3 7 3 3" xfId="21311"/>
    <cellStyle name="Normal 4 5 3 7 3 4" xfId="37765"/>
    <cellStyle name="Normal 4 5 3 7 4" xfId="6506"/>
    <cellStyle name="Normal 4 5 3 7 4 2" xfId="14731"/>
    <cellStyle name="Normal 4 5 3 7 4 2 2" xfId="31181"/>
    <cellStyle name="Normal 4 5 3 7 4 3" xfId="22956"/>
    <cellStyle name="Normal 4 5 3 7 4 4" xfId="39410"/>
    <cellStyle name="Normal 4 5 3 7 5" xfId="8151"/>
    <cellStyle name="Normal 4 5 3 7 5 2" xfId="16376"/>
    <cellStyle name="Normal 4 5 3 7 5 2 2" xfId="32826"/>
    <cellStyle name="Normal 4 5 3 7 5 3" xfId="24601"/>
    <cellStyle name="Normal 4 5 3 7 5 4" xfId="41055"/>
    <cellStyle name="Normal 4 5 3 7 6" xfId="9796"/>
    <cellStyle name="Normal 4 5 3 7 6 2" xfId="26246"/>
    <cellStyle name="Normal 4 5 3 7 7" xfId="18020"/>
    <cellStyle name="Normal 4 5 3 7 8" xfId="34474"/>
    <cellStyle name="Normal 4 5 3 8" xfId="1801"/>
    <cellStyle name="Normal 4 5 3 8 2" xfId="10031"/>
    <cellStyle name="Normal 4 5 3 8 2 2" xfId="26481"/>
    <cellStyle name="Normal 4 5 3 8 3" xfId="18255"/>
    <cellStyle name="Normal 4 5 3 8 4" xfId="34709"/>
    <cellStyle name="Normal 4 5 3 9" xfId="3451"/>
    <cellStyle name="Normal 4 5 3 9 2" xfId="11676"/>
    <cellStyle name="Normal 4 5 3 9 2 2" xfId="28126"/>
    <cellStyle name="Normal 4 5 3 9 3" xfId="19901"/>
    <cellStyle name="Normal 4 5 3 9 4" xfId="36355"/>
    <cellStyle name="Normal 4 5 4" xfId="147"/>
    <cellStyle name="Normal 4 5 4 10" xfId="5146"/>
    <cellStyle name="Normal 4 5 4 10 2" xfId="13371"/>
    <cellStyle name="Normal 4 5 4 10 2 2" xfId="29821"/>
    <cellStyle name="Normal 4 5 4 10 3" xfId="21596"/>
    <cellStyle name="Normal 4 5 4 10 4" xfId="38050"/>
    <cellStyle name="Normal 4 5 4 11" xfId="6791"/>
    <cellStyle name="Normal 4 5 4 11 2" xfId="15016"/>
    <cellStyle name="Normal 4 5 4 11 2 2" xfId="31466"/>
    <cellStyle name="Normal 4 5 4 11 3" xfId="23241"/>
    <cellStyle name="Normal 4 5 4 11 4" xfId="39695"/>
    <cellStyle name="Normal 4 5 4 12" xfId="8436"/>
    <cellStyle name="Normal 4 5 4 12 2" xfId="24886"/>
    <cellStyle name="Normal 4 5 4 13" xfId="16660"/>
    <cellStyle name="Normal 4 5 4 14" xfId="33113"/>
    <cellStyle name="Normal 4 5 4 15" xfId="41341"/>
    <cellStyle name="Normal 4 5 4 2" xfId="390"/>
    <cellStyle name="Normal 4 5 4 2 2" xfId="2089"/>
    <cellStyle name="Normal 4 5 4 2 2 2" xfId="10316"/>
    <cellStyle name="Normal 4 5 4 2 2 2 2" xfId="26766"/>
    <cellStyle name="Normal 4 5 4 2 2 3" xfId="18541"/>
    <cellStyle name="Normal 4 5 4 2 2 4" xfId="34995"/>
    <cellStyle name="Normal 4 5 4 2 3" xfId="3736"/>
    <cellStyle name="Normal 4 5 4 2 3 2" xfId="11961"/>
    <cellStyle name="Normal 4 5 4 2 3 2 2" xfId="28411"/>
    <cellStyle name="Normal 4 5 4 2 3 3" xfId="20186"/>
    <cellStyle name="Normal 4 5 4 2 3 4" xfId="36640"/>
    <cellStyle name="Normal 4 5 4 2 4" xfId="5381"/>
    <cellStyle name="Normal 4 5 4 2 4 2" xfId="13606"/>
    <cellStyle name="Normal 4 5 4 2 4 2 2" xfId="30056"/>
    <cellStyle name="Normal 4 5 4 2 4 3" xfId="21831"/>
    <cellStyle name="Normal 4 5 4 2 4 4" xfId="38285"/>
    <cellStyle name="Normal 4 5 4 2 5" xfId="7026"/>
    <cellStyle name="Normal 4 5 4 2 5 2" xfId="15251"/>
    <cellStyle name="Normal 4 5 4 2 5 2 2" xfId="31701"/>
    <cellStyle name="Normal 4 5 4 2 5 3" xfId="23476"/>
    <cellStyle name="Normal 4 5 4 2 5 4" xfId="39930"/>
    <cellStyle name="Normal 4 5 4 2 6" xfId="8671"/>
    <cellStyle name="Normal 4 5 4 2 6 2" xfId="25121"/>
    <cellStyle name="Normal 4 5 4 2 7" xfId="16895"/>
    <cellStyle name="Normal 4 5 4 2 8" xfId="33349"/>
    <cellStyle name="Normal 4 5 4 2 9" xfId="41576"/>
    <cellStyle name="Normal 4 5 4 3" xfId="631"/>
    <cellStyle name="Normal 4 5 4 3 2" xfId="2326"/>
    <cellStyle name="Normal 4 5 4 3 2 2" xfId="10551"/>
    <cellStyle name="Normal 4 5 4 3 2 2 2" xfId="27001"/>
    <cellStyle name="Normal 4 5 4 3 2 3" xfId="18776"/>
    <cellStyle name="Normal 4 5 4 3 2 4" xfId="35230"/>
    <cellStyle name="Normal 4 5 4 3 3" xfId="3971"/>
    <cellStyle name="Normal 4 5 4 3 3 2" xfId="12196"/>
    <cellStyle name="Normal 4 5 4 3 3 2 2" xfId="28646"/>
    <cellStyle name="Normal 4 5 4 3 3 3" xfId="20421"/>
    <cellStyle name="Normal 4 5 4 3 3 4" xfId="36875"/>
    <cellStyle name="Normal 4 5 4 3 4" xfId="5616"/>
    <cellStyle name="Normal 4 5 4 3 4 2" xfId="13841"/>
    <cellStyle name="Normal 4 5 4 3 4 2 2" xfId="30291"/>
    <cellStyle name="Normal 4 5 4 3 4 3" xfId="22066"/>
    <cellStyle name="Normal 4 5 4 3 4 4" xfId="38520"/>
    <cellStyle name="Normal 4 5 4 3 5" xfId="7261"/>
    <cellStyle name="Normal 4 5 4 3 5 2" xfId="15486"/>
    <cellStyle name="Normal 4 5 4 3 5 2 2" xfId="31936"/>
    <cellStyle name="Normal 4 5 4 3 5 3" xfId="23711"/>
    <cellStyle name="Normal 4 5 4 3 5 4" xfId="40165"/>
    <cellStyle name="Normal 4 5 4 3 6" xfId="8906"/>
    <cellStyle name="Normal 4 5 4 3 6 2" xfId="25356"/>
    <cellStyle name="Normal 4 5 4 3 7" xfId="17130"/>
    <cellStyle name="Normal 4 5 4 3 8" xfId="33584"/>
    <cellStyle name="Normal 4 5 4 3 9" xfId="41811"/>
    <cellStyle name="Normal 4 5 4 4" xfId="866"/>
    <cellStyle name="Normal 4 5 4 4 2" xfId="2561"/>
    <cellStyle name="Normal 4 5 4 4 2 2" xfId="10786"/>
    <cellStyle name="Normal 4 5 4 4 2 2 2" xfId="27236"/>
    <cellStyle name="Normal 4 5 4 4 2 3" xfId="19011"/>
    <cellStyle name="Normal 4 5 4 4 2 4" xfId="35465"/>
    <cellStyle name="Normal 4 5 4 4 3" xfId="4206"/>
    <cellStyle name="Normal 4 5 4 4 3 2" xfId="12431"/>
    <cellStyle name="Normal 4 5 4 4 3 2 2" xfId="28881"/>
    <cellStyle name="Normal 4 5 4 4 3 3" xfId="20656"/>
    <cellStyle name="Normal 4 5 4 4 3 4" xfId="37110"/>
    <cellStyle name="Normal 4 5 4 4 4" xfId="5851"/>
    <cellStyle name="Normal 4 5 4 4 4 2" xfId="14076"/>
    <cellStyle name="Normal 4 5 4 4 4 2 2" xfId="30526"/>
    <cellStyle name="Normal 4 5 4 4 4 3" xfId="22301"/>
    <cellStyle name="Normal 4 5 4 4 4 4" xfId="38755"/>
    <cellStyle name="Normal 4 5 4 4 5" xfId="7496"/>
    <cellStyle name="Normal 4 5 4 4 5 2" xfId="15721"/>
    <cellStyle name="Normal 4 5 4 4 5 2 2" xfId="32171"/>
    <cellStyle name="Normal 4 5 4 4 5 3" xfId="23946"/>
    <cellStyle name="Normal 4 5 4 4 5 4" xfId="40400"/>
    <cellStyle name="Normal 4 5 4 4 6" xfId="9141"/>
    <cellStyle name="Normal 4 5 4 4 6 2" xfId="25591"/>
    <cellStyle name="Normal 4 5 4 4 7" xfId="17365"/>
    <cellStyle name="Normal 4 5 4 4 8" xfId="33819"/>
    <cellStyle name="Normal 4 5 4 4 9" xfId="42046"/>
    <cellStyle name="Normal 4 5 4 5" xfId="1101"/>
    <cellStyle name="Normal 4 5 4 5 2" xfId="2796"/>
    <cellStyle name="Normal 4 5 4 5 2 2" xfId="11021"/>
    <cellStyle name="Normal 4 5 4 5 2 2 2" xfId="27471"/>
    <cellStyle name="Normal 4 5 4 5 2 3" xfId="19246"/>
    <cellStyle name="Normal 4 5 4 5 2 4" xfId="35700"/>
    <cellStyle name="Normal 4 5 4 5 3" xfId="4441"/>
    <cellStyle name="Normal 4 5 4 5 3 2" xfId="12666"/>
    <cellStyle name="Normal 4 5 4 5 3 2 2" xfId="29116"/>
    <cellStyle name="Normal 4 5 4 5 3 3" xfId="20891"/>
    <cellStyle name="Normal 4 5 4 5 3 4" xfId="37345"/>
    <cellStyle name="Normal 4 5 4 5 4" xfId="6086"/>
    <cellStyle name="Normal 4 5 4 5 4 2" xfId="14311"/>
    <cellStyle name="Normal 4 5 4 5 4 2 2" xfId="30761"/>
    <cellStyle name="Normal 4 5 4 5 4 3" xfId="22536"/>
    <cellStyle name="Normal 4 5 4 5 4 4" xfId="38990"/>
    <cellStyle name="Normal 4 5 4 5 5" xfId="7731"/>
    <cellStyle name="Normal 4 5 4 5 5 2" xfId="15956"/>
    <cellStyle name="Normal 4 5 4 5 5 2 2" xfId="32406"/>
    <cellStyle name="Normal 4 5 4 5 5 3" xfId="24181"/>
    <cellStyle name="Normal 4 5 4 5 5 4" xfId="40635"/>
    <cellStyle name="Normal 4 5 4 5 6" xfId="9376"/>
    <cellStyle name="Normal 4 5 4 5 6 2" xfId="25826"/>
    <cellStyle name="Normal 4 5 4 5 7" xfId="17600"/>
    <cellStyle name="Normal 4 5 4 5 8" xfId="34054"/>
    <cellStyle name="Normal 4 5 4 5 9" xfId="42281"/>
    <cellStyle name="Normal 4 5 4 6" xfId="1381"/>
    <cellStyle name="Normal 4 5 4 6 2" xfId="3031"/>
    <cellStyle name="Normal 4 5 4 6 2 2" xfId="11256"/>
    <cellStyle name="Normal 4 5 4 6 2 2 2" xfId="27706"/>
    <cellStyle name="Normal 4 5 4 6 2 3" xfId="19481"/>
    <cellStyle name="Normal 4 5 4 6 2 4" xfId="35935"/>
    <cellStyle name="Normal 4 5 4 6 3" xfId="4676"/>
    <cellStyle name="Normal 4 5 4 6 3 2" xfId="12901"/>
    <cellStyle name="Normal 4 5 4 6 3 2 2" xfId="29351"/>
    <cellStyle name="Normal 4 5 4 6 3 3" xfId="21126"/>
    <cellStyle name="Normal 4 5 4 6 3 4" xfId="37580"/>
    <cellStyle name="Normal 4 5 4 6 4" xfId="6321"/>
    <cellStyle name="Normal 4 5 4 6 4 2" xfId="14546"/>
    <cellStyle name="Normal 4 5 4 6 4 2 2" xfId="30996"/>
    <cellStyle name="Normal 4 5 4 6 4 3" xfId="22771"/>
    <cellStyle name="Normal 4 5 4 6 4 4" xfId="39225"/>
    <cellStyle name="Normal 4 5 4 6 5" xfId="7966"/>
    <cellStyle name="Normal 4 5 4 6 5 2" xfId="16191"/>
    <cellStyle name="Normal 4 5 4 6 5 2 2" xfId="32641"/>
    <cellStyle name="Normal 4 5 4 6 5 3" xfId="24416"/>
    <cellStyle name="Normal 4 5 4 6 5 4" xfId="40870"/>
    <cellStyle name="Normal 4 5 4 6 6" xfId="9611"/>
    <cellStyle name="Normal 4 5 4 6 6 2" xfId="26061"/>
    <cellStyle name="Normal 4 5 4 6 7" xfId="17835"/>
    <cellStyle name="Normal 4 5 4 6 8" xfId="34289"/>
    <cellStyle name="Normal 4 5 4 7" xfId="1616"/>
    <cellStyle name="Normal 4 5 4 7 2" xfId="3266"/>
    <cellStyle name="Normal 4 5 4 7 2 2" xfId="11491"/>
    <cellStyle name="Normal 4 5 4 7 2 2 2" xfId="27941"/>
    <cellStyle name="Normal 4 5 4 7 2 3" xfId="19716"/>
    <cellStyle name="Normal 4 5 4 7 2 4" xfId="36170"/>
    <cellStyle name="Normal 4 5 4 7 3" xfId="4911"/>
    <cellStyle name="Normal 4 5 4 7 3 2" xfId="13136"/>
    <cellStyle name="Normal 4 5 4 7 3 2 2" xfId="29586"/>
    <cellStyle name="Normal 4 5 4 7 3 3" xfId="21361"/>
    <cellStyle name="Normal 4 5 4 7 3 4" xfId="37815"/>
    <cellStyle name="Normal 4 5 4 7 4" xfId="6556"/>
    <cellStyle name="Normal 4 5 4 7 4 2" xfId="14781"/>
    <cellStyle name="Normal 4 5 4 7 4 2 2" xfId="31231"/>
    <cellStyle name="Normal 4 5 4 7 4 3" xfId="23006"/>
    <cellStyle name="Normal 4 5 4 7 4 4" xfId="39460"/>
    <cellStyle name="Normal 4 5 4 7 5" xfId="8201"/>
    <cellStyle name="Normal 4 5 4 7 5 2" xfId="16426"/>
    <cellStyle name="Normal 4 5 4 7 5 2 2" xfId="32876"/>
    <cellStyle name="Normal 4 5 4 7 5 3" xfId="24651"/>
    <cellStyle name="Normal 4 5 4 7 5 4" xfId="41105"/>
    <cellStyle name="Normal 4 5 4 7 6" xfId="9846"/>
    <cellStyle name="Normal 4 5 4 7 6 2" xfId="26296"/>
    <cellStyle name="Normal 4 5 4 7 7" xfId="18070"/>
    <cellStyle name="Normal 4 5 4 7 8" xfId="34524"/>
    <cellStyle name="Normal 4 5 4 8" xfId="1851"/>
    <cellStyle name="Normal 4 5 4 8 2" xfId="10081"/>
    <cellStyle name="Normal 4 5 4 8 2 2" xfId="26531"/>
    <cellStyle name="Normal 4 5 4 8 3" xfId="18305"/>
    <cellStyle name="Normal 4 5 4 8 4" xfId="34759"/>
    <cellStyle name="Normal 4 5 4 9" xfId="3501"/>
    <cellStyle name="Normal 4 5 4 9 2" xfId="11726"/>
    <cellStyle name="Normal 4 5 4 9 2 2" xfId="28176"/>
    <cellStyle name="Normal 4 5 4 9 3" xfId="19951"/>
    <cellStyle name="Normal 4 5 4 9 4" xfId="36405"/>
    <cellStyle name="Normal 4 5 5" xfId="174"/>
    <cellStyle name="Normal 4 5 5 10" xfId="5173"/>
    <cellStyle name="Normal 4 5 5 10 2" xfId="13398"/>
    <cellStyle name="Normal 4 5 5 10 2 2" xfId="29848"/>
    <cellStyle name="Normal 4 5 5 10 3" xfId="21623"/>
    <cellStyle name="Normal 4 5 5 10 4" xfId="38077"/>
    <cellStyle name="Normal 4 5 5 11" xfId="6818"/>
    <cellStyle name="Normal 4 5 5 11 2" xfId="15043"/>
    <cellStyle name="Normal 4 5 5 11 2 2" xfId="31493"/>
    <cellStyle name="Normal 4 5 5 11 3" xfId="23268"/>
    <cellStyle name="Normal 4 5 5 11 4" xfId="39722"/>
    <cellStyle name="Normal 4 5 5 12" xfId="8463"/>
    <cellStyle name="Normal 4 5 5 12 2" xfId="24913"/>
    <cellStyle name="Normal 4 5 5 13" xfId="16687"/>
    <cellStyle name="Normal 4 5 5 14" xfId="33140"/>
    <cellStyle name="Normal 4 5 5 15" xfId="41368"/>
    <cellStyle name="Normal 4 5 5 2" xfId="417"/>
    <cellStyle name="Normal 4 5 5 2 2" xfId="2116"/>
    <cellStyle name="Normal 4 5 5 2 2 2" xfId="10343"/>
    <cellStyle name="Normal 4 5 5 2 2 2 2" xfId="26793"/>
    <cellStyle name="Normal 4 5 5 2 2 3" xfId="18568"/>
    <cellStyle name="Normal 4 5 5 2 2 4" xfId="35022"/>
    <cellStyle name="Normal 4 5 5 2 3" xfId="3763"/>
    <cellStyle name="Normal 4 5 5 2 3 2" xfId="11988"/>
    <cellStyle name="Normal 4 5 5 2 3 2 2" xfId="28438"/>
    <cellStyle name="Normal 4 5 5 2 3 3" xfId="20213"/>
    <cellStyle name="Normal 4 5 5 2 3 4" xfId="36667"/>
    <cellStyle name="Normal 4 5 5 2 4" xfId="5408"/>
    <cellStyle name="Normal 4 5 5 2 4 2" xfId="13633"/>
    <cellStyle name="Normal 4 5 5 2 4 2 2" xfId="30083"/>
    <cellStyle name="Normal 4 5 5 2 4 3" xfId="21858"/>
    <cellStyle name="Normal 4 5 5 2 4 4" xfId="38312"/>
    <cellStyle name="Normal 4 5 5 2 5" xfId="7053"/>
    <cellStyle name="Normal 4 5 5 2 5 2" xfId="15278"/>
    <cellStyle name="Normal 4 5 5 2 5 2 2" xfId="31728"/>
    <cellStyle name="Normal 4 5 5 2 5 3" xfId="23503"/>
    <cellStyle name="Normal 4 5 5 2 5 4" xfId="39957"/>
    <cellStyle name="Normal 4 5 5 2 6" xfId="8698"/>
    <cellStyle name="Normal 4 5 5 2 6 2" xfId="25148"/>
    <cellStyle name="Normal 4 5 5 2 7" xfId="16922"/>
    <cellStyle name="Normal 4 5 5 2 8" xfId="33376"/>
    <cellStyle name="Normal 4 5 5 2 9" xfId="41603"/>
    <cellStyle name="Normal 4 5 5 3" xfId="658"/>
    <cellStyle name="Normal 4 5 5 3 2" xfId="2353"/>
    <cellStyle name="Normal 4 5 5 3 2 2" xfId="10578"/>
    <cellStyle name="Normal 4 5 5 3 2 2 2" xfId="27028"/>
    <cellStyle name="Normal 4 5 5 3 2 3" xfId="18803"/>
    <cellStyle name="Normal 4 5 5 3 2 4" xfId="35257"/>
    <cellStyle name="Normal 4 5 5 3 3" xfId="3998"/>
    <cellStyle name="Normal 4 5 5 3 3 2" xfId="12223"/>
    <cellStyle name="Normal 4 5 5 3 3 2 2" xfId="28673"/>
    <cellStyle name="Normal 4 5 5 3 3 3" xfId="20448"/>
    <cellStyle name="Normal 4 5 5 3 3 4" xfId="36902"/>
    <cellStyle name="Normal 4 5 5 3 4" xfId="5643"/>
    <cellStyle name="Normal 4 5 5 3 4 2" xfId="13868"/>
    <cellStyle name="Normal 4 5 5 3 4 2 2" xfId="30318"/>
    <cellStyle name="Normal 4 5 5 3 4 3" xfId="22093"/>
    <cellStyle name="Normal 4 5 5 3 4 4" xfId="38547"/>
    <cellStyle name="Normal 4 5 5 3 5" xfId="7288"/>
    <cellStyle name="Normal 4 5 5 3 5 2" xfId="15513"/>
    <cellStyle name="Normal 4 5 5 3 5 2 2" xfId="31963"/>
    <cellStyle name="Normal 4 5 5 3 5 3" xfId="23738"/>
    <cellStyle name="Normal 4 5 5 3 5 4" xfId="40192"/>
    <cellStyle name="Normal 4 5 5 3 6" xfId="8933"/>
    <cellStyle name="Normal 4 5 5 3 6 2" xfId="25383"/>
    <cellStyle name="Normal 4 5 5 3 7" xfId="17157"/>
    <cellStyle name="Normal 4 5 5 3 8" xfId="33611"/>
    <cellStyle name="Normal 4 5 5 3 9" xfId="41838"/>
    <cellStyle name="Normal 4 5 5 4" xfId="893"/>
    <cellStyle name="Normal 4 5 5 4 2" xfId="2588"/>
    <cellStyle name="Normal 4 5 5 4 2 2" xfId="10813"/>
    <cellStyle name="Normal 4 5 5 4 2 2 2" xfId="27263"/>
    <cellStyle name="Normal 4 5 5 4 2 3" xfId="19038"/>
    <cellStyle name="Normal 4 5 5 4 2 4" xfId="35492"/>
    <cellStyle name="Normal 4 5 5 4 3" xfId="4233"/>
    <cellStyle name="Normal 4 5 5 4 3 2" xfId="12458"/>
    <cellStyle name="Normal 4 5 5 4 3 2 2" xfId="28908"/>
    <cellStyle name="Normal 4 5 5 4 3 3" xfId="20683"/>
    <cellStyle name="Normal 4 5 5 4 3 4" xfId="37137"/>
    <cellStyle name="Normal 4 5 5 4 4" xfId="5878"/>
    <cellStyle name="Normal 4 5 5 4 4 2" xfId="14103"/>
    <cellStyle name="Normal 4 5 5 4 4 2 2" xfId="30553"/>
    <cellStyle name="Normal 4 5 5 4 4 3" xfId="22328"/>
    <cellStyle name="Normal 4 5 5 4 4 4" xfId="38782"/>
    <cellStyle name="Normal 4 5 5 4 5" xfId="7523"/>
    <cellStyle name="Normal 4 5 5 4 5 2" xfId="15748"/>
    <cellStyle name="Normal 4 5 5 4 5 2 2" xfId="32198"/>
    <cellStyle name="Normal 4 5 5 4 5 3" xfId="23973"/>
    <cellStyle name="Normal 4 5 5 4 5 4" xfId="40427"/>
    <cellStyle name="Normal 4 5 5 4 6" xfId="9168"/>
    <cellStyle name="Normal 4 5 5 4 6 2" xfId="25618"/>
    <cellStyle name="Normal 4 5 5 4 7" xfId="17392"/>
    <cellStyle name="Normal 4 5 5 4 8" xfId="33846"/>
    <cellStyle name="Normal 4 5 5 4 9" xfId="42073"/>
    <cellStyle name="Normal 4 5 5 5" xfId="1128"/>
    <cellStyle name="Normal 4 5 5 5 2" xfId="2823"/>
    <cellStyle name="Normal 4 5 5 5 2 2" xfId="11048"/>
    <cellStyle name="Normal 4 5 5 5 2 2 2" xfId="27498"/>
    <cellStyle name="Normal 4 5 5 5 2 3" xfId="19273"/>
    <cellStyle name="Normal 4 5 5 5 2 4" xfId="35727"/>
    <cellStyle name="Normal 4 5 5 5 3" xfId="4468"/>
    <cellStyle name="Normal 4 5 5 5 3 2" xfId="12693"/>
    <cellStyle name="Normal 4 5 5 5 3 2 2" xfId="29143"/>
    <cellStyle name="Normal 4 5 5 5 3 3" xfId="20918"/>
    <cellStyle name="Normal 4 5 5 5 3 4" xfId="37372"/>
    <cellStyle name="Normal 4 5 5 5 4" xfId="6113"/>
    <cellStyle name="Normal 4 5 5 5 4 2" xfId="14338"/>
    <cellStyle name="Normal 4 5 5 5 4 2 2" xfId="30788"/>
    <cellStyle name="Normal 4 5 5 5 4 3" xfId="22563"/>
    <cellStyle name="Normal 4 5 5 5 4 4" xfId="39017"/>
    <cellStyle name="Normal 4 5 5 5 5" xfId="7758"/>
    <cellStyle name="Normal 4 5 5 5 5 2" xfId="15983"/>
    <cellStyle name="Normal 4 5 5 5 5 2 2" xfId="32433"/>
    <cellStyle name="Normal 4 5 5 5 5 3" xfId="24208"/>
    <cellStyle name="Normal 4 5 5 5 5 4" xfId="40662"/>
    <cellStyle name="Normal 4 5 5 5 6" xfId="9403"/>
    <cellStyle name="Normal 4 5 5 5 6 2" xfId="25853"/>
    <cellStyle name="Normal 4 5 5 5 7" xfId="17627"/>
    <cellStyle name="Normal 4 5 5 5 8" xfId="34081"/>
    <cellStyle name="Normal 4 5 5 5 9" xfId="42308"/>
    <cellStyle name="Normal 4 5 5 6" xfId="1408"/>
    <cellStyle name="Normal 4 5 5 6 2" xfId="3058"/>
    <cellStyle name="Normal 4 5 5 6 2 2" xfId="11283"/>
    <cellStyle name="Normal 4 5 5 6 2 2 2" xfId="27733"/>
    <cellStyle name="Normal 4 5 5 6 2 3" xfId="19508"/>
    <cellStyle name="Normal 4 5 5 6 2 4" xfId="35962"/>
    <cellStyle name="Normal 4 5 5 6 3" xfId="4703"/>
    <cellStyle name="Normal 4 5 5 6 3 2" xfId="12928"/>
    <cellStyle name="Normal 4 5 5 6 3 2 2" xfId="29378"/>
    <cellStyle name="Normal 4 5 5 6 3 3" xfId="21153"/>
    <cellStyle name="Normal 4 5 5 6 3 4" xfId="37607"/>
    <cellStyle name="Normal 4 5 5 6 4" xfId="6348"/>
    <cellStyle name="Normal 4 5 5 6 4 2" xfId="14573"/>
    <cellStyle name="Normal 4 5 5 6 4 2 2" xfId="31023"/>
    <cellStyle name="Normal 4 5 5 6 4 3" xfId="22798"/>
    <cellStyle name="Normal 4 5 5 6 4 4" xfId="39252"/>
    <cellStyle name="Normal 4 5 5 6 5" xfId="7993"/>
    <cellStyle name="Normal 4 5 5 6 5 2" xfId="16218"/>
    <cellStyle name="Normal 4 5 5 6 5 2 2" xfId="32668"/>
    <cellStyle name="Normal 4 5 5 6 5 3" xfId="24443"/>
    <cellStyle name="Normal 4 5 5 6 5 4" xfId="40897"/>
    <cellStyle name="Normal 4 5 5 6 6" xfId="9638"/>
    <cellStyle name="Normal 4 5 5 6 6 2" xfId="26088"/>
    <cellStyle name="Normal 4 5 5 6 7" xfId="17862"/>
    <cellStyle name="Normal 4 5 5 6 8" xfId="34316"/>
    <cellStyle name="Normal 4 5 5 7" xfId="1643"/>
    <cellStyle name="Normal 4 5 5 7 2" xfId="3293"/>
    <cellStyle name="Normal 4 5 5 7 2 2" xfId="11518"/>
    <cellStyle name="Normal 4 5 5 7 2 2 2" xfId="27968"/>
    <cellStyle name="Normal 4 5 5 7 2 3" xfId="19743"/>
    <cellStyle name="Normal 4 5 5 7 2 4" xfId="36197"/>
    <cellStyle name="Normal 4 5 5 7 3" xfId="4938"/>
    <cellStyle name="Normal 4 5 5 7 3 2" xfId="13163"/>
    <cellStyle name="Normal 4 5 5 7 3 2 2" xfId="29613"/>
    <cellStyle name="Normal 4 5 5 7 3 3" xfId="21388"/>
    <cellStyle name="Normal 4 5 5 7 3 4" xfId="37842"/>
    <cellStyle name="Normal 4 5 5 7 4" xfId="6583"/>
    <cellStyle name="Normal 4 5 5 7 4 2" xfId="14808"/>
    <cellStyle name="Normal 4 5 5 7 4 2 2" xfId="31258"/>
    <cellStyle name="Normal 4 5 5 7 4 3" xfId="23033"/>
    <cellStyle name="Normal 4 5 5 7 4 4" xfId="39487"/>
    <cellStyle name="Normal 4 5 5 7 5" xfId="8228"/>
    <cellStyle name="Normal 4 5 5 7 5 2" xfId="16453"/>
    <cellStyle name="Normal 4 5 5 7 5 2 2" xfId="32903"/>
    <cellStyle name="Normal 4 5 5 7 5 3" xfId="24678"/>
    <cellStyle name="Normal 4 5 5 7 5 4" xfId="41132"/>
    <cellStyle name="Normal 4 5 5 7 6" xfId="9873"/>
    <cellStyle name="Normal 4 5 5 7 6 2" xfId="26323"/>
    <cellStyle name="Normal 4 5 5 7 7" xfId="18097"/>
    <cellStyle name="Normal 4 5 5 7 8" xfId="34551"/>
    <cellStyle name="Normal 4 5 5 8" xfId="1878"/>
    <cellStyle name="Normal 4 5 5 8 2" xfId="10108"/>
    <cellStyle name="Normal 4 5 5 8 2 2" xfId="26558"/>
    <cellStyle name="Normal 4 5 5 8 3" xfId="18332"/>
    <cellStyle name="Normal 4 5 5 8 4" xfId="34786"/>
    <cellStyle name="Normal 4 5 5 9" xfId="3528"/>
    <cellStyle name="Normal 4 5 5 9 2" xfId="11753"/>
    <cellStyle name="Normal 4 5 5 9 2 2" xfId="28203"/>
    <cellStyle name="Normal 4 5 5 9 3" xfId="19978"/>
    <cellStyle name="Normal 4 5 5 9 4" xfId="36432"/>
    <cellStyle name="Normal 4 5 6" xfId="203"/>
    <cellStyle name="Normal 4 5 6 10" xfId="5200"/>
    <cellStyle name="Normal 4 5 6 10 2" xfId="13425"/>
    <cellStyle name="Normal 4 5 6 10 2 2" xfId="29875"/>
    <cellStyle name="Normal 4 5 6 10 3" xfId="21650"/>
    <cellStyle name="Normal 4 5 6 10 4" xfId="38104"/>
    <cellStyle name="Normal 4 5 6 11" xfId="6845"/>
    <cellStyle name="Normal 4 5 6 11 2" xfId="15070"/>
    <cellStyle name="Normal 4 5 6 11 2 2" xfId="31520"/>
    <cellStyle name="Normal 4 5 6 11 3" xfId="23295"/>
    <cellStyle name="Normal 4 5 6 11 4" xfId="39749"/>
    <cellStyle name="Normal 4 5 6 12" xfId="8490"/>
    <cellStyle name="Normal 4 5 6 12 2" xfId="24940"/>
    <cellStyle name="Normal 4 5 6 13" xfId="16714"/>
    <cellStyle name="Normal 4 5 6 14" xfId="33167"/>
    <cellStyle name="Normal 4 5 6 15" xfId="41395"/>
    <cellStyle name="Normal 4 5 6 2" xfId="446"/>
    <cellStyle name="Normal 4 5 6 2 2" xfId="2143"/>
    <cellStyle name="Normal 4 5 6 2 2 2" xfId="10370"/>
    <cellStyle name="Normal 4 5 6 2 2 2 2" xfId="26820"/>
    <cellStyle name="Normal 4 5 6 2 2 3" xfId="18595"/>
    <cellStyle name="Normal 4 5 6 2 2 4" xfId="35049"/>
    <cellStyle name="Normal 4 5 6 2 3" xfId="3790"/>
    <cellStyle name="Normal 4 5 6 2 3 2" xfId="12015"/>
    <cellStyle name="Normal 4 5 6 2 3 2 2" xfId="28465"/>
    <cellStyle name="Normal 4 5 6 2 3 3" xfId="20240"/>
    <cellStyle name="Normal 4 5 6 2 3 4" xfId="36694"/>
    <cellStyle name="Normal 4 5 6 2 4" xfId="5435"/>
    <cellStyle name="Normal 4 5 6 2 4 2" xfId="13660"/>
    <cellStyle name="Normal 4 5 6 2 4 2 2" xfId="30110"/>
    <cellStyle name="Normal 4 5 6 2 4 3" xfId="21885"/>
    <cellStyle name="Normal 4 5 6 2 4 4" xfId="38339"/>
    <cellStyle name="Normal 4 5 6 2 5" xfId="7080"/>
    <cellStyle name="Normal 4 5 6 2 5 2" xfId="15305"/>
    <cellStyle name="Normal 4 5 6 2 5 2 2" xfId="31755"/>
    <cellStyle name="Normal 4 5 6 2 5 3" xfId="23530"/>
    <cellStyle name="Normal 4 5 6 2 5 4" xfId="39984"/>
    <cellStyle name="Normal 4 5 6 2 6" xfId="8725"/>
    <cellStyle name="Normal 4 5 6 2 6 2" xfId="25175"/>
    <cellStyle name="Normal 4 5 6 2 7" xfId="16949"/>
    <cellStyle name="Normal 4 5 6 2 8" xfId="33403"/>
    <cellStyle name="Normal 4 5 6 2 9" xfId="41630"/>
    <cellStyle name="Normal 4 5 6 3" xfId="685"/>
    <cellStyle name="Normal 4 5 6 3 2" xfId="2380"/>
    <cellStyle name="Normal 4 5 6 3 2 2" xfId="10605"/>
    <cellStyle name="Normal 4 5 6 3 2 2 2" xfId="27055"/>
    <cellStyle name="Normal 4 5 6 3 2 3" xfId="18830"/>
    <cellStyle name="Normal 4 5 6 3 2 4" xfId="35284"/>
    <cellStyle name="Normal 4 5 6 3 3" xfId="4025"/>
    <cellStyle name="Normal 4 5 6 3 3 2" xfId="12250"/>
    <cellStyle name="Normal 4 5 6 3 3 2 2" xfId="28700"/>
    <cellStyle name="Normal 4 5 6 3 3 3" xfId="20475"/>
    <cellStyle name="Normal 4 5 6 3 3 4" xfId="36929"/>
    <cellStyle name="Normal 4 5 6 3 4" xfId="5670"/>
    <cellStyle name="Normal 4 5 6 3 4 2" xfId="13895"/>
    <cellStyle name="Normal 4 5 6 3 4 2 2" xfId="30345"/>
    <cellStyle name="Normal 4 5 6 3 4 3" xfId="22120"/>
    <cellStyle name="Normal 4 5 6 3 4 4" xfId="38574"/>
    <cellStyle name="Normal 4 5 6 3 5" xfId="7315"/>
    <cellStyle name="Normal 4 5 6 3 5 2" xfId="15540"/>
    <cellStyle name="Normal 4 5 6 3 5 2 2" xfId="31990"/>
    <cellStyle name="Normal 4 5 6 3 5 3" xfId="23765"/>
    <cellStyle name="Normal 4 5 6 3 5 4" xfId="40219"/>
    <cellStyle name="Normal 4 5 6 3 6" xfId="8960"/>
    <cellStyle name="Normal 4 5 6 3 6 2" xfId="25410"/>
    <cellStyle name="Normal 4 5 6 3 7" xfId="17184"/>
    <cellStyle name="Normal 4 5 6 3 8" xfId="33638"/>
    <cellStyle name="Normal 4 5 6 3 9" xfId="41865"/>
    <cellStyle name="Normal 4 5 6 4" xfId="920"/>
    <cellStyle name="Normal 4 5 6 4 2" xfId="2615"/>
    <cellStyle name="Normal 4 5 6 4 2 2" xfId="10840"/>
    <cellStyle name="Normal 4 5 6 4 2 2 2" xfId="27290"/>
    <cellStyle name="Normal 4 5 6 4 2 3" xfId="19065"/>
    <cellStyle name="Normal 4 5 6 4 2 4" xfId="35519"/>
    <cellStyle name="Normal 4 5 6 4 3" xfId="4260"/>
    <cellStyle name="Normal 4 5 6 4 3 2" xfId="12485"/>
    <cellStyle name="Normal 4 5 6 4 3 2 2" xfId="28935"/>
    <cellStyle name="Normal 4 5 6 4 3 3" xfId="20710"/>
    <cellStyle name="Normal 4 5 6 4 3 4" xfId="37164"/>
    <cellStyle name="Normal 4 5 6 4 4" xfId="5905"/>
    <cellStyle name="Normal 4 5 6 4 4 2" xfId="14130"/>
    <cellStyle name="Normal 4 5 6 4 4 2 2" xfId="30580"/>
    <cellStyle name="Normal 4 5 6 4 4 3" xfId="22355"/>
    <cellStyle name="Normal 4 5 6 4 4 4" xfId="38809"/>
    <cellStyle name="Normal 4 5 6 4 5" xfId="7550"/>
    <cellStyle name="Normal 4 5 6 4 5 2" xfId="15775"/>
    <cellStyle name="Normal 4 5 6 4 5 2 2" xfId="32225"/>
    <cellStyle name="Normal 4 5 6 4 5 3" xfId="24000"/>
    <cellStyle name="Normal 4 5 6 4 5 4" xfId="40454"/>
    <cellStyle name="Normal 4 5 6 4 6" xfId="9195"/>
    <cellStyle name="Normal 4 5 6 4 6 2" xfId="25645"/>
    <cellStyle name="Normal 4 5 6 4 7" xfId="17419"/>
    <cellStyle name="Normal 4 5 6 4 8" xfId="33873"/>
    <cellStyle name="Normal 4 5 6 4 9" xfId="42100"/>
    <cellStyle name="Normal 4 5 6 5" xfId="1155"/>
    <cellStyle name="Normal 4 5 6 5 2" xfId="2850"/>
    <cellStyle name="Normal 4 5 6 5 2 2" xfId="11075"/>
    <cellStyle name="Normal 4 5 6 5 2 2 2" xfId="27525"/>
    <cellStyle name="Normal 4 5 6 5 2 3" xfId="19300"/>
    <cellStyle name="Normal 4 5 6 5 2 4" xfId="35754"/>
    <cellStyle name="Normal 4 5 6 5 3" xfId="4495"/>
    <cellStyle name="Normal 4 5 6 5 3 2" xfId="12720"/>
    <cellStyle name="Normal 4 5 6 5 3 2 2" xfId="29170"/>
    <cellStyle name="Normal 4 5 6 5 3 3" xfId="20945"/>
    <cellStyle name="Normal 4 5 6 5 3 4" xfId="37399"/>
    <cellStyle name="Normal 4 5 6 5 4" xfId="6140"/>
    <cellStyle name="Normal 4 5 6 5 4 2" xfId="14365"/>
    <cellStyle name="Normal 4 5 6 5 4 2 2" xfId="30815"/>
    <cellStyle name="Normal 4 5 6 5 4 3" xfId="22590"/>
    <cellStyle name="Normal 4 5 6 5 4 4" xfId="39044"/>
    <cellStyle name="Normal 4 5 6 5 5" xfId="7785"/>
    <cellStyle name="Normal 4 5 6 5 5 2" xfId="16010"/>
    <cellStyle name="Normal 4 5 6 5 5 2 2" xfId="32460"/>
    <cellStyle name="Normal 4 5 6 5 5 3" xfId="24235"/>
    <cellStyle name="Normal 4 5 6 5 5 4" xfId="40689"/>
    <cellStyle name="Normal 4 5 6 5 6" xfId="9430"/>
    <cellStyle name="Normal 4 5 6 5 6 2" xfId="25880"/>
    <cellStyle name="Normal 4 5 6 5 7" xfId="17654"/>
    <cellStyle name="Normal 4 5 6 5 8" xfId="34108"/>
    <cellStyle name="Normal 4 5 6 5 9" xfId="42335"/>
    <cellStyle name="Normal 4 5 6 6" xfId="1435"/>
    <cellStyle name="Normal 4 5 6 6 2" xfId="3085"/>
    <cellStyle name="Normal 4 5 6 6 2 2" xfId="11310"/>
    <cellStyle name="Normal 4 5 6 6 2 2 2" xfId="27760"/>
    <cellStyle name="Normal 4 5 6 6 2 3" xfId="19535"/>
    <cellStyle name="Normal 4 5 6 6 2 4" xfId="35989"/>
    <cellStyle name="Normal 4 5 6 6 3" xfId="4730"/>
    <cellStyle name="Normal 4 5 6 6 3 2" xfId="12955"/>
    <cellStyle name="Normal 4 5 6 6 3 2 2" xfId="29405"/>
    <cellStyle name="Normal 4 5 6 6 3 3" xfId="21180"/>
    <cellStyle name="Normal 4 5 6 6 3 4" xfId="37634"/>
    <cellStyle name="Normal 4 5 6 6 4" xfId="6375"/>
    <cellStyle name="Normal 4 5 6 6 4 2" xfId="14600"/>
    <cellStyle name="Normal 4 5 6 6 4 2 2" xfId="31050"/>
    <cellStyle name="Normal 4 5 6 6 4 3" xfId="22825"/>
    <cellStyle name="Normal 4 5 6 6 4 4" xfId="39279"/>
    <cellStyle name="Normal 4 5 6 6 5" xfId="8020"/>
    <cellStyle name="Normal 4 5 6 6 5 2" xfId="16245"/>
    <cellStyle name="Normal 4 5 6 6 5 2 2" xfId="32695"/>
    <cellStyle name="Normal 4 5 6 6 5 3" xfId="24470"/>
    <cellStyle name="Normal 4 5 6 6 5 4" xfId="40924"/>
    <cellStyle name="Normal 4 5 6 6 6" xfId="9665"/>
    <cellStyle name="Normal 4 5 6 6 6 2" xfId="26115"/>
    <cellStyle name="Normal 4 5 6 6 7" xfId="17889"/>
    <cellStyle name="Normal 4 5 6 6 8" xfId="34343"/>
    <cellStyle name="Normal 4 5 6 7" xfId="1670"/>
    <cellStyle name="Normal 4 5 6 7 2" xfId="3320"/>
    <cellStyle name="Normal 4 5 6 7 2 2" xfId="11545"/>
    <cellStyle name="Normal 4 5 6 7 2 2 2" xfId="27995"/>
    <cellStyle name="Normal 4 5 6 7 2 3" xfId="19770"/>
    <cellStyle name="Normal 4 5 6 7 2 4" xfId="36224"/>
    <cellStyle name="Normal 4 5 6 7 3" xfId="4965"/>
    <cellStyle name="Normal 4 5 6 7 3 2" xfId="13190"/>
    <cellStyle name="Normal 4 5 6 7 3 2 2" xfId="29640"/>
    <cellStyle name="Normal 4 5 6 7 3 3" xfId="21415"/>
    <cellStyle name="Normal 4 5 6 7 3 4" xfId="37869"/>
    <cellStyle name="Normal 4 5 6 7 4" xfId="6610"/>
    <cellStyle name="Normal 4 5 6 7 4 2" xfId="14835"/>
    <cellStyle name="Normal 4 5 6 7 4 2 2" xfId="31285"/>
    <cellStyle name="Normal 4 5 6 7 4 3" xfId="23060"/>
    <cellStyle name="Normal 4 5 6 7 4 4" xfId="39514"/>
    <cellStyle name="Normal 4 5 6 7 5" xfId="8255"/>
    <cellStyle name="Normal 4 5 6 7 5 2" xfId="16480"/>
    <cellStyle name="Normal 4 5 6 7 5 2 2" xfId="32930"/>
    <cellStyle name="Normal 4 5 6 7 5 3" xfId="24705"/>
    <cellStyle name="Normal 4 5 6 7 5 4" xfId="41159"/>
    <cellStyle name="Normal 4 5 6 7 6" xfId="9900"/>
    <cellStyle name="Normal 4 5 6 7 6 2" xfId="26350"/>
    <cellStyle name="Normal 4 5 6 7 7" xfId="18124"/>
    <cellStyle name="Normal 4 5 6 7 8" xfId="34578"/>
    <cellStyle name="Normal 4 5 6 8" xfId="1905"/>
    <cellStyle name="Normal 4 5 6 8 2" xfId="10135"/>
    <cellStyle name="Normal 4 5 6 8 2 2" xfId="26585"/>
    <cellStyle name="Normal 4 5 6 8 3" xfId="18359"/>
    <cellStyle name="Normal 4 5 6 8 4" xfId="34813"/>
    <cellStyle name="Normal 4 5 6 9" xfId="3555"/>
    <cellStyle name="Normal 4 5 6 9 2" xfId="11780"/>
    <cellStyle name="Normal 4 5 6 9 2 2" xfId="28230"/>
    <cellStyle name="Normal 4 5 6 9 3" xfId="20005"/>
    <cellStyle name="Normal 4 5 6 9 4" xfId="36459"/>
    <cellStyle name="Normal 4 5 7" xfId="230"/>
    <cellStyle name="Normal 4 5 7 10" xfId="5227"/>
    <cellStyle name="Normal 4 5 7 10 2" xfId="13452"/>
    <cellStyle name="Normal 4 5 7 10 2 2" xfId="29902"/>
    <cellStyle name="Normal 4 5 7 10 3" xfId="21677"/>
    <cellStyle name="Normal 4 5 7 10 4" xfId="38131"/>
    <cellStyle name="Normal 4 5 7 11" xfId="6872"/>
    <cellStyle name="Normal 4 5 7 11 2" xfId="15097"/>
    <cellStyle name="Normal 4 5 7 11 2 2" xfId="31547"/>
    <cellStyle name="Normal 4 5 7 11 3" xfId="23322"/>
    <cellStyle name="Normal 4 5 7 11 4" xfId="39776"/>
    <cellStyle name="Normal 4 5 7 12" xfId="8517"/>
    <cellStyle name="Normal 4 5 7 12 2" xfId="24967"/>
    <cellStyle name="Normal 4 5 7 13" xfId="16741"/>
    <cellStyle name="Normal 4 5 7 14" xfId="33194"/>
    <cellStyle name="Normal 4 5 7 15" xfId="41422"/>
    <cellStyle name="Normal 4 5 7 2" xfId="473"/>
    <cellStyle name="Normal 4 5 7 2 2" xfId="2170"/>
    <cellStyle name="Normal 4 5 7 2 2 2" xfId="10397"/>
    <cellStyle name="Normal 4 5 7 2 2 2 2" xfId="26847"/>
    <cellStyle name="Normal 4 5 7 2 2 3" xfId="18622"/>
    <cellStyle name="Normal 4 5 7 2 2 4" xfId="35076"/>
    <cellStyle name="Normal 4 5 7 2 3" xfId="3817"/>
    <cellStyle name="Normal 4 5 7 2 3 2" xfId="12042"/>
    <cellStyle name="Normal 4 5 7 2 3 2 2" xfId="28492"/>
    <cellStyle name="Normal 4 5 7 2 3 3" xfId="20267"/>
    <cellStyle name="Normal 4 5 7 2 3 4" xfId="36721"/>
    <cellStyle name="Normal 4 5 7 2 4" xfId="5462"/>
    <cellStyle name="Normal 4 5 7 2 4 2" xfId="13687"/>
    <cellStyle name="Normal 4 5 7 2 4 2 2" xfId="30137"/>
    <cellStyle name="Normal 4 5 7 2 4 3" xfId="21912"/>
    <cellStyle name="Normal 4 5 7 2 4 4" xfId="38366"/>
    <cellStyle name="Normal 4 5 7 2 5" xfId="7107"/>
    <cellStyle name="Normal 4 5 7 2 5 2" xfId="15332"/>
    <cellStyle name="Normal 4 5 7 2 5 2 2" xfId="31782"/>
    <cellStyle name="Normal 4 5 7 2 5 3" xfId="23557"/>
    <cellStyle name="Normal 4 5 7 2 5 4" xfId="40011"/>
    <cellStyle name="Normal 4 5 7 2 6" xfId="8752"/>
    <cellStyle name="Normal 4 5 7 2 6 2" xfId="25202"/>
    <cellStyle name="Normal 4 5 7 2 7" xfId="16976"/>
    <cellStyle name="Normal 4 5 7 2 8" xfId="33430"/>
    <cellStyle name="Normal 4 5 7 2 9" xfId="41657"/>
    <cellStyle name="Normal 4 5 7 3" xfId="712"/>
    <cellStyle name="Normal 4 5 7 3 2" xfId="2407"/>
    <cellStyle name="Normal 4 5 7 3 2 2" xfId="10632"/>
    <cellStyle name="Normal 4 5 7 3 2 2 2" xfId="27082"/>
    <cellStyle name="Normal 4 5 7 3 2 3" xfId="18857"/>
    <cellStyle name="Normal 4 5 7 3 2 4" xfId="35311"/>
    <cellStyle name="Normal 4 5 7 3 3" xfId="4052"/>
    <cellStyle name="Normal 4 5 7 3 3 2" xfId="12277"/>
    <cellStyle name="Normal 4 5 7 3 3 2 2" xfId="28727"/>
    <cellStyle name="Normal 4 5 7 3 3 3" xfId="20502"/>
    <cellStyle name="Normal 4 5 7 3 3 4" xfId="36956"/>
    <cellStyle name="Normal 4 5 7 3 4" xfId="5697"/>
    <cellStyle name="Normal 4 5 7 3 4 2" xfId="13922"/>
    <cellStyle name="Normal 4 5 7 3 4 2 2" xfId="30372"/>
    <cellStyle name="Normal 4 5 7 3 4 3" xfId="22147"/>
    <cellStyle name="Normal 4 5 7 3 4 4" xfId="38601"/>
    <cellStyle name="Normal 4 5 7 3 5" xfId="7342"/>
    <cellStyle name="Normal 4 5 7 3 5 2" xfId="15567"/>
    <cellStyle name="Normal 4 5 7 3 5 2 2" xfId="32017"/>
    <cellStyle name="Normal 4 5 7 3 5 3" xfId="23792"/>
    <cellStyle name="Normal 4 5 7 3 5 4" xfId="40246"/>
    <cellStyle name="Normal 4 5 7 3 6" xfId="8987"/>
    <cellStyle name="Normal 4 5 7 3 6 2" xfId="25437"/>
    <cellStyle name="Normal 4 5 7 3 7" xfId="17211"/>
    <cellStyle name="Normal 4 5 7 3 8" xfId="33665"/>
    <cellStyle name="Normal 4 5 7 3 9" xfId="41892"/>
    <cellStyle name="Normal 4 5 7 4" xfId="947"/>
    <cellStyle name="Normal 4 5 7 4 2" xfId="2642"/>
    <cellStyle name="Normal 4 5 7 4 2 2" xfId="10867"/>
    <cellStyle name="Normal 4 5 7 4 2 2 2" xfId="27317"/>
    <cellStyle name="Normal 4 5 7 4 2 3" xfId="19092"/>
    <cellStyle name="Normal 4 5 7 4 2 4" xfId="35546"/>
    <cellStyle name="Normal 4 5 7 4 3" xfId="4287"/>
    <cellStyle name="Normal 4 5 7 4 3 2" xfId="12512"/>
    <cellStyle name="Normal 4 5 7 4 3 2 2" xfId="28962"/>
    <cellStyle name="Normal 4 5 7 4 3 3" xfId="20737"/>
    <cellStyle name="Normal 4 5 7 4 3 4" xfId="37191"/>
    <cellStyle name="Normal 4 5 7 4 4" xfId="5932"/>
    <cellStyle name="Normal 4 5 7 4 4 2" xfId="14157"/>
    <cellStyle name="Normal 4 5 7 4 4 2 2" xfId="30607"/>
    <cellStyle name="Normal 4 5 7 4 4 3" xfId="22382"/>
    <cellStyle name="Normal 4 5 7 4 4 4" xfId="38836"/>
    <cellStyle name="Normal 4 5 7 4 5" xfId="7577"/>
    <cellStyle name="Normal 4 5 7 4 5 2" xfId="15802"/>
    <cellStyle name="Normal 4 5 7 4 5 2 2" xfId="32252"/>
    <cellStyle name="Normal 4 5 7 4 5 3" xfId="24027"/>
    <cellStyle name="Normal 4 5 7 4 5 4" xfId="40481"/>
    <cellStyle name="Normal 4 5 7 4 6" xfId="9222"/>
    <cellStyle name="Normal 4 5 7 4 6 2" xfId="25672"/>
    <cellStyle name="Normal 4 5 7 4 7" xfId="17446"/>
    <cellStyle name="Normal 4 5 7 4 8" xfId="33900"/>
    <cellStyle name="Normal 4 5 7 4 9" xfId="42127"/>
    <cellStyle name="Normal 4 5 7 5" xfId="1182"/>
    <cellStyle name="Normal 4 5 7 5 2" xfId="2877"/>
    <cellStyle name="Normal 4 5 7 5 2 2" xfId="11102"/>
    <cellStyle name="Normal 4 5 7 5 2 2 2" xfId="27552"/>
    <cellStyle name="Normal 4 5 7 5 2 3" xfId="19327"/>
    <cellStyle name="Normal 4 5 7 5 2 4" xfId="35781"/>
    <cellStyle name="Normal 4 5 7 5 3" xfId="4522"/>
    <cellStyle name="Normal 4 5 7 5 3 2" xfId="12747"/>
    <cellStyle name="Normal 4 5 7 5 3 2 2" xfId="29197"/>
    <cellStyle name="Normal 4 5 7 5 3 3" xfId="20972"/>
    <cellStyle name="Normal 4 5 7 5 3 4" xfId="37426"/>
    <cellStyle name="Normal 4 5 7 5 4" xfId="6167"/>
    <cellStyle name="Normal 4 5 7 5 4 2" xfId="14392"/>
    <cellStyle name="Normal 4 5 7 5 4 2 2" xfId="30842"/>
    <cellStyle name="Normal 4 5 7 5 4 3" xfId="22617"/>
    <cellStyle name="Normal 4 5 7 5 4 4" xfId="39071"/>
    <cellStyle name="Normal 4 5 7 5 5" xfId="7812"/>
    <cellStyle name="Normal 4 5 7 5 5 2" xfId="16037"/>
    <cellStyle name="Normal 4 5 7 5 5 2 2" xfId="32487"/>
    <cellStyle name="Normal 4 5 7 5 5 3" xfId="24262"/>
    <cellStyle name="Normal 4 5 7 5 5 4" xfId="40716"/>
    <cellStyle name="Normal 4 5 7 5 6" xfId="9457"/>
    <cellStyle name="Normal 4 5 7 5 6 2" xfId="25907"/>
    <cellStyle name="Normal 4 5 7 5 7" xfId="17681"/>
    <cellStyle name="Normal 4 5 7 5 8" xfId="34135"/>
    <cellStyle name="Normal 4 5 7 5 9" xfId="42362"/>
    <cellStyle name="Normal 4 5 7 6" xfId="1462"/>
    <cellStyle name="Normal 4 5 7 6 2" xfId="3112"/>
    <cellStyle name="Normal 4 5 7 6 2 2" xfId="11337"/>
    <cellStyle name="Normal 4 5 7 6 2 2 2" xfId="27787"/>
    <cellStyle name="Normal 4 5 7 6 2 3" xfId="19562"/>
    <cellStyle name="Normal 4 5 7 6 2 4" xfId="36016"/>
    <cellStyle name="Normal 4 5 7 6 3" xfId="4757"/>
    <cellStyle name="Normal 4 5 7 6 3 2" xfId="12982"/>
    <cellStyle name="Normal 4 5 7 6 3 2 2" xfId="29432"/>
    <cellStyle name="Normal 4 5 7 6 3 3" xfId="21207"/>
    <cellStyle name="Normal 4 5 7 6 3 4" xfId="37661"/>
    <cellStyle name="Normal 4 5 7 6 4" xfId="6402"/>
    <cellStyle name="Normal 4 5 7 6 4 2" xfId="14627"/>
    <cellStyle name="Normal 4 5 7 6 4 2 2" xfId="31077"/>
    <cellStyle name="Normal 4 5 7 6 4 3" xfId="22852"/>
    <cellStyle name="Normal 4 5 7 6 4 4" xfId="39306"/>
    <cellStyle name="Normal 4 5 7 6 5" xfId="8047"/>
    <cellStyle name="Normal 4 5 7 6 5 2" xfId="16272"/>
    <cellStyle name="Normal 4 5 7 6 5 2 2" xfId="32722"/>
    <cellStyle name="Normal 4 5 7 6 5 3" xfId="24497"/>
    <cellStyle name="Normal 4 5 7 6 5 4" xfId="40951"/>
    <cellStyle name="Normal 4 5 7 6 6" xfId="9692"/>
    <cellStyle name="Normal 4 5 7 6 6 2" xfId="26142"/>
    <cellStyle name="Normal 4 5 7 6 7" xfId="17916"/>
    <cellStyle name="Normal 4 5 7 6 8" xfId="34370"/>
    <cellStyle name="Normal 4 5 7 7" xfId="1697"/>
    <cellStyle name="Normal 4 5 7 7 2" xfId="3347"/>
    <cellStyle name="Normal 4 5 7 7 2 2" xfId="11572"/>
    <cellStyle name="Normal 4 5 7 7 2 2 2" xfId="28022"/>
    <cellStyle name="Normal 4 5 7 7 2 3" xfId="19797"/>
    <cellStyle name="Normal 4 5 7 7 2 4" xfId="36251"/>
    <cellStyle name="Normal 4 5 7 7 3" xfId="4992"/>
    <cellStyle name="Normal 4 5 7 7 3 2" xfId="13217"/>
    <cellStyle name="Normal 4 5 7 7 3 2 2" xfId="29667"/>
    <cellStyle name="Normal 4 5 7 7 3 3" xfId="21442"/>
    <cellStyle name="Normal 4 5 7 7 3 4" xfId="37896"/>
    <cellStyle name="Normal 4 5 7 7 4" xfId="6637"/>
    <cellStyle name="Normal 4 5 7 7 4 2" xfId="14862"/>
    <cellStyle name="Normal 4 5 7 7 4 2 2" xfId="31312"/>
    <cellStyle name="Normal 4 5 7 7 4 3" xfId="23087"/>
    <cellStyle name="Normal 4 5 7 7 4 4" xfId="39541"/>
    <cellStyle name="Normal 4 5 7 7 5" xfId="8282"/>
    <cellStyle name="Normal 4 5 7 7 5 2" xfId="16507"/>
    <cellStyle name="Normal 4 5 7 7 5 2 2" xfId="32957"/>
    <cellStyle name="Normal 4 5 7 7 5 3" xfId="24732"/>
    <cellStyle name="Normal 4 5 7 7 5 4" xfId="41186"/>
    <cellStyle name="Normal 4 5 7 7 6" xfId="9927"/>
    <cellStyle name="Normal 4 5 7 7 6 2" xfId="26377"/>
    <cellStyle name="Normal 4 5 7 7 7" xfId="18151"/>
    <cellStyle name="Normal 4 5 7 7 8" xfId="34605"/>
    <cellStyle name="Normal 4 5 7 8" xfId="1932"/>
    <cellStyle name="Normal 4 5 7 8 2" xfId="10162"/>
    <cellStyle name="Normal 4 5 7 8 2 2" xfId="26612"/>
    <cellStyle name="Normal 4 5 7 8 3" xfId="18386"/>
    <cellStyle name="Normal 4 5 7 8 4" xfId="34840"/>
    <cellStyle name="Normal 4 5 7 9" xfId="3582"/>
    <cellStyle name="Normal 4 5 7 9 2" xfId="11807"/>
    <cellStyle name="Normal 4 5 7 9 2 2" xfId="28257"/>
    <cellStyle name="Normal 4 5 7 9 3" xfId="20032"/>
    <cellStyle name="Normal 4 5 7 9 4" xfId="36486"/>
    <cellStyle name="Normal 4 5 8" xfId="259"/>
    <cellStyle name="Normal 4 5 8 10" xfId="5254"/>
    <cellStyle name="Normal 4 5 8 10 2" xfId="13479"/>
    <cellStyle name="Normal 4 5 8 10 2 2" xfId="29929"/>
    <cellStyle name="Normal 4 5 8 10 3" xfId="21704"/>
    <cellStyle name="Normal 4 5 8 10 4" xfId="38158"/>
    <cellStyle name="Normal 4 5 8 11" xfId="6899"/>
    <cellStyle name="Normal 4 5 8 11 2" xfId="15124"/>
    <cellStyle name="Normal 4 5 8 11 2 2" xfId="31574"/>
    <cellStyle name="Normal 4 5 8 11 3" xfId="23349"/>
    <cellStyle name="Normal 4 5 8 11 4" xfId="39803"/>
    <cellStyle name="Normal 4 5 8 12" xfId="8544"/>
    <cellStyle name="Normal 4 5 8 12 2" xfId="24994"/>
    <cellStyle name="Normal 4 5 8 13" xfId="16768"/>
    <cellStyle name="Normal 4 5 8 14" xfId="33221"/>
    <cellStyle name="Normal 4 5 8 15" xfId="41449"/>
    <cellStyle name="Normal 4 5 8 2" xfId="502"/>
    <cellStyle name="Normal 4 5 8 2 2" xfId="2197"/>
    <cellStyle name="Normal 4 5 8 2 2 2" xfId="10424"/>
    <cellStyle name="Normal 4 5 8 2 2 2 2" xfId="26874"/>
    <cellStyle name="Normal 4 5 8 2 2 3" xfId="18649"/>
    <cellStyle name="Normal 4 5 8 2 2 4" xfId="35103"/>
    <cellStyle name="Normal 4 5 8 2 3" xfId="3844"/>
    <cellStyle name="Normal 4 5 8 2 3 2" xfId="12069"/>
    <cellStyle name="Normal 4 5 8 2 3 2 2" xfId="28519"/>
    <cellStyle name="Normal 4 5 8 2 3 3" xfId="20294"/>
    <cellStyle name="Normal 4 5 8 2 3 4" xfId="36748"/>
    <cellStyle name="Normal 4 5 8 2 4" xfId="5489"/>
    <cellStyle name="Normal 4 5 8 2 4 2" xfId="13714"/>
    <cellStyle name="Normal 4 5 8 2 4 2 2" xfId="30164"/>
    <cellStyle name="Normal 4 5 8 2 4 3" xfId="21939"/>
    <cellStyle name="Normal 4 5 8 2 4 4" xfId="38393"/>
    <cellStyle name="Normal 4 5 8 2 5" xfId="7134"/>
    <cellStyle name="Normal 4 5 8 2 5 2" xfId="15359"/>
    <cellStyle name="Normal 4 5 8 2 5 2 2" xfId="31809"/>
    <cellStyle name="Normal 4 5 8 2 5 3" xfId="23584"/>
    <cellStyle name="Normal 4 5 8 2 5 4" xfId="40038"/>
    <cellStyle name="Normal 4 5 8 2 6" xfId="8779"/>
    <cellStyle name="Normal 4 5 8 2 6 2" xfId="25229"/>
    <cellStyle name="Normal 4 5 8 2 7" xfId="17003"/>
    <cellStyle name="Normal 4 5 8 2 8" xfId="33457"/>
    <cellStyle name="Normal 4 5 8 2 9" xfId="41684"/>
    <cellStyle name="Normal 4 5 8 3" xfId="739"/>
    <cellStyle name="Normal 4 5 8 3 2" xfId="2434"/>
    <cellStyle name="Normal 4 5 8 3 2 2" xfId="10659"/>
    <cellStyle name="Normal 4 5 8 3 2 2 2" xfId="27109"/>
    <cellStyle name="Normal 4 5 8 3 2 3" xfId="18884"/>
    <cellStyle name="Normal 4 5 8 3 2 4" xfId="35338"/>
    <cellStyle name="Normal 4 5 8 3 3" xfId="4079"/>
    <cellStyle name="Normal 4 5 8 3 3 2" xfId="12304"/>
    <cellStyle name="Normal 4 5 8 3 3 2 2" xfId="28754"/>
    <cellStyle name="Normal 4 5 8 3 3 3" xfId="20529"/>
    <cellStyle name="Normal 4 5 8 3 3 4" xfId="36983"/>
    <cellStyle name="Normal 4 5 8 3 4" xfId="5724"/>
    <cellStyle name="Normal 4 5 8 3 4 2" xfId="13949"/>
    <cellStyle name="Normal 4 5 8 3 4 2 2" xfId="30399"/>
    <cellStyle name="Normal 4 5 8 3 4 3" xfId="22174"/>
    <cellStyle name="Normal 4 5 8 3 4 4" xfId="38628"/>
    <cellStyle name="Normal 4 5 8 3 5" xfId="7369"/>
    <cellStyle name="Normal 4 5 8 3 5 2" xfId="15594"/>
    <cellStyle name="Normal 4 5 8 3 5 2 2" xfId="32044"/>
    <cellStyle name="Normal 4 5 8 3 5 3" xfId="23819"/>
    <cellStyle name="Normal 4 5 8 3 5 4" xfId="40273"/>
    <cellStyle name="Normal 4 5 8 3 6" xfId="9014"/>
    <cellStyle name="Normal 4 5 8 3 6 2" xfId="25464"/>
    <cellStyle name="Normal 4 5 8 3 7" xfId="17238"/>
    <cellStyle name="Normal 4 5 8 3 8" xfId="33692"/>
    <cellStyle name="Normal 4 5 8 3 9" xfId="41919"/>
    <cellStyle name="Normal 4 5 8 4" xfId="974"/>
    <cellStyle name="Normal 4 5 8 4 2" xfId="2669"/>
    <cellStyle name="Normal 4 5 8 4 2 2" xfId="10894"/>
    <cellStyle name="Normal 4 5 8 4 2 2 2" xfId="27344"/>
    <cellStyle name="Normal 4 5 8 4 2 3" xfId="19119"/>
    <cellStyle name="Normal 4 5 8 4 2 4" xfId="35573"/>
    <cellStyle name="Normal 4 5 8 4 3" xfId="4314"/>
    <cellStyle name="Normal 4 5 8 4 3 2" xfId="12539"/>
    <cellStyle name="Normal 4 5 8 4 3 2 2" xfId="28989"/>
    <cellStyle name="Normal 4 5 8 4 3 3" xfId="20764"/>
    <cellStyle name="Normal 4 5 8 4 3 4" xfId="37218"/>
    <cellStyle name="Normal 4 5 8 4 4" xfId="5959"/>
    <cellStyle name="Normal 4 5 8 4 4 2" xfId="14184"/>
    <cellStyle name="Normal 4 5 8 4 4 2 2" xfId="30634"/>
    <cellStyle name="Normal 4 5 8 4 4 3" xfId="22409"/>
    <cellStyle name="Normal 4 5 8 4 4 4" xfId="38863"/>
    <cellStyle name="Normal 4 5 8 4 5" xfId="7604"/>
    <cellStyle name="Normal 4 5 8 4 5 2" xfId="15829"/>
    <cellStyle name="Normal 4 5 8 4 5 2 2" xfId="32279"/>
    <cellStyle name="Normal 4 5 8 4 5 3" xfId="24054"/>
    <cellStyle name="Normal 4 5 8 4 5 4" xfId="40508"/>
    <cellStyle name="Normal 4 5 8 4 6" xfId="9249"/>
    <cellStyle name="Normal 4 5 8 4 6 2" xfId="25699"/>
    <cellStyle name="Normal 4 5 8 4 7" xfId="17473"/>
    <cellStyle name="Normal 4 5 8 4 8" xfId="33927"/>
    <cellStyle name="Normal 4 5 8 4 9" xfId="42154"/>
    <cellStyle name="Normal 4 5 8 5" xfId="1209"/>
    <cellStyle name="Normal 4 5 8 5 2" xfId="2904"/>
    <cellStyle name="Normal 4 5 8 5 2 2" xfId="11129"/>
    <cellStyle name="Normal 4 5 8 5 2 2 2" xfId="27579"/>
    <cellStyle name="Normal 4 5 8 5 2 3" xfId="19354"/>
    <cellStyle name="Normal 4 5 8 5 2 4" xfId="35808"/>
    <cellStyle name="Normal 4 5 8 5 3" xfId="4549"/>
    <cellStyle name="Normal 4 5 8 5 3 2" xfId="12774"/>
    <cellStyle name="Normal 4 5 8 5 3 2 2" xfId="29224"/>
    <cellStyle name="Normal 4 5 8 5 3 3" xfId="20999"/>
    <cellStyle name="Normal 4 5 8 5 3 4" xfId="37453"/>
    <cellStyle name="Normal 4 5 8 5 4" xfId="6194"/>
    <cellStyle name="Normal 4 5 8 5 4 2" xfId="14419"/>
    <cellStyle name="Normal 4 5 8 5 4 2 2" xfId="30869"/>
    <cellStyle name="Normal 4 5 8 5 4 3" xfId="22644"/>
    <cellStyle name="Normal 4 5 8 5 4 4" xfId="39098"/>
    <cellStyle name="Normal 4 5 8 5 5" xfId="7839"/>
    <cellStyle name="Normal 4 5 8 5 5 2" xfId="16064"/>
    <cellStyle name="Normal 4 5 8 5 5 2 2" xfId="32514"/>
    <cellStyle name="Normal 4 5 8 5 5 3" xfId="24289"/>
    <cellStyle name="Normal 4 5 8 5 5 4" xfId="40743"/>
    <cellStyle name="Normal 4 5 8 5 6" xfId="9484"/>
    <cellStyle name="Normal 4 5 8 5 6 2" xfId="25934"/>
    <cellStyle name="Normal 4 5 8 5 7" xfId="17708"/>
    <cellStyle name="Normal 4 5 8 5 8" xfId="34162"/>
    <cellStyle name="Normal 4 5 8 5 9" xfId="42389"/>
    <cellStyle name="Normal 4 5 8 6" xfId="1489"/>
    <cellStyle name="Normal 4 5 8 6 2" xfId="3139"/>
    <cellStyle name="Normal 4 5 8 6 2 2" xfId="11364"/>
    <cellStyle name="Normal 4 5 8 6 2 2 2" xfId="27814"/>
    <cellStyle name="Normal 4 5 8 6 2 3" xfId="19589"/>
    <cellStyle name="Normal 4 5 8 6 2 4" xfId="36043"/>
    <cellStyle name="Normal 4 5 8 6 3" xfId="4784"/>
    <cellStyle name="Normal 4 5 8 6 3 2" xfId="13009"/>
    <cellStyle name="Normal 4 5 8 6 3 2 2" xfId="29459"/>
    <cellStyle name="Normal 4 5 8 6 3 3" xfId="21234"/>
    <cellStyle name="Normal 4 5 8 6 3 4" xfId="37688"/>
    <cellStyle name="Normal 4 5 8 6 4" xfId="6429"/>
    <cellStyle name="Normal 4 5 8 6 4 2" xfId="14654"/>
    <cellStyle name="Normal 4 5 8 6 4 2 2" xfId="31104"/>
    <cellStyle name="Normal 4 5 8 6 4 3" xfId="22879"/>
    <cellStyle name="Normal 4 5 8 6 4 4" xfId="39333"/>
    <cellStyle name="Normal 4 5 8 6 5" xfId="8074"/>
    <cellStyle name="Normal 4 5 8 6 5 2" xfId="16299"/>
    <cellStyle name="Normal 4 5 8 6 5 2 2" xfId="32749"/>
    <cellStyle name="Normal 4 5 8 6 5 3" xfId="24524"/>
    <cellStyle name="Normal 4 5 8 6 5 4" xfId="40978"/>
    <cellStyle name="Normal 4 5 8 6 6" xfId="9719"/>
    <cellStyle name="Normal 4 5 8 6 6 2" xfId="26169"/>
    <cellStyle name="Normal 4 5 8 6 7" xfId="17943"/>
    <cellStyle name="Normal 4 5 8 6 8" xfId="34397"/>
    <cellStyle name="Normal 4 5 8 7" xfId="1724"/>
    <cellStyle name="Normal 4 5 8 7 2" xfId="3374"/>
    <cellStyle name="Normal 4 5 8 7 2 2" xfId="11599"/>
    <cellStyle name="Normal 4 5 8 7 2 2 2" xfId="28049"/>
    <cellStyle name="Normal 4 5 8 7 2 3" xfId="19824"/>
    <cellStyle name="Normal 4 5 8 7 2 4" xfId="36278"/>
    <cellStyle name="Normal 4 5 8 7 3" xfId="5019"/>
    <cellStyle name="Normal 4 5 8 7 3 2" xfId="13244"/>
    <cellStyle name="Normal 4 5 8 7 3 2 2" xfId="29694"/>
    <cellStyle name="Normal 4 5 8 7 3 3" xfId="21469"/>
    <cellStyle name="Normal 4 5 8 7 3 4" xfId="37923"/>
    <cellStyle name="Normal 4 5 8 7 4" xfId="6664"/>
    <cellStyle name="Normal 4 5 8 7 4 2" xfId="14889"/>
    <cellStyle name="Normal 4 5 8 7 4 2 2" xfId="31339"/>
    <cellStyle name="Normal 4 5 8 7 4 3" xfId="23114"/>
    <cellStyle name="Normal 4 5 8 7 4 4" xfId="39568"/>
    <cellStyle name="Normal 4 5 8 7 5" xfId="8309"/>
    <cellStyle name="Normal 4 5 8 7 5 2" xfId="16534"/>
    <cellStyle name="Normal 4 5 8 7 5 2 2" xfId="32984"/>
    <cellStyle name="Normal 4 5 8 7 5 3" xfId="24759"/>
    <cellStyle name="Normal 4 5 8 7 5 4" xfId="41213"/>
    <cellStyle name="Normal 4 5 8 7 6" xfId="9954"/>
    <cellStyle name="Normal 4 5 8 7 6 2" xfId="26404"/>
    <cellStyle name="Normal 4 5 8 7 7" xfId="18178"/>
    <cellStyle name="Normal 4 5 8 7 8" xfId="34632"/>
    <cellStyle name="Normal 4 5 8 8" xfId="1959"/>
    <cellStyle name="Normal 4 5 8 8 2" xfId="10189"/>
    <cellStyle name="Normal 4 5 8 8 2 2" xfId="26639"/>
    <cellStyle name="Normal 4 5 8 8 3" xfId="18413"/>
    <cellStyle name="Normal 4 5 8 8 4" xfId="34867"/>
    <cellStyle name="Normal 4 5 8 9" xfId="3609"/>
    <cellStyle name="Normal 4 5 8 9 2" xfId="11834"/>
    <cellStyle name="Normal 4 5 8 9 2 2" xfId="28284"/>
    <cellStyle name="Normal 4 5 8 9 3" xfId="20059"/>
    <cellStyle name="Normal 4 5 8 9 4" xfId="36513"/>
    <cellStyle name="Normal 4 5 9" xfId="288"/>
    <cellStyle name="Normal 4 5 9 2" xfId="1989"/>
    <cellStyle name="Normal 4 5 9 2 2" xfId="10216"/>
    <cellStyle name="Normal 4 5 9 2 2 2" xfId="26666"/>
    <cellStyle name="Normal 4 5 9 2 3" xfId="18441"/>
    <cellStyle name="Normal 4 5 9 2 4" xfId="34895"/>
    <cellStyle name="Normal 4 5 9 3" xfId="3636"/>
    <cellStyle name="Normal 4 5 9 3 2" xfId="11861"/>
    <cellStyle name="Normal 4 5 9 3 2 2" xfId="28311"/>
    <cellStyle name="Normal 4 5 9 3 3" xfId="20086"/>
    <cellStyle name="Normal 4 5 9 3 4" xfId="36540"/>
    <cellStyle name="Normal 4 5 9 4" xfId="5281"/>
    <cellStyle name="Normal 4 5 9 4 2" xfId="13506"/>
    <cellStyle name="Normal 4 5 9 4 2 2" xfId="29956"/>
    <cellStyle name="Normal 4 5 9 4 3" xfId="21731"/>
    <cellStyle name="Normal 4 5 9 4 4" xfId="38185"/>
    <cellStyle name="Normal 4 5 9 5" xfId="6926"/>
    <cellStyle name="Normal 4 5 9 5 2" xfId="15151"/>
    <cellStyle name="Normal 4 5 9 5 2 2" xfId="31601"/>
    <cellStyle name="Normal 4 5 9 5 3" xfId="23376"/>
    <cellStyle name="Normal 4 5 9 5 4" xfId="39830"/>
    <cellStyle name="Normal 4 5 9 6" xfId="8571"/>
    <cellStyle name="Normal 4 5 9 6 2" xfId="25021"/>
    <cellStyle name="Normal 4 5 9 7" xfId="16795"/>
    <cellStyle name="Normal 4 5 9 8" xfId="33249"/>
    <cellStyle name="Normal 4 5 9 9" xfId="41476"/>
    <cellStyle name="Normal 4 6" xfId="37"/>
    <cellStyle name="Normal 4 6 10" xfId="523"/>
    <cellStyle name="Normal 4 6 10 2" xfId="2218"/>
    <cellStyle name="Normal 4 6 10 2 2" xfId="10443"/>
    <cellStyle name="Normal 4 6 10 2 2 2" xfId="26893"/>
    <cellStyle name="Normal 4 6 10 2 3" xfId="18668"/>
    <cellStyle name="Normal 4 6 10 2 4" xfId="35122"/>
    <cellStyle name="Normal 4 6 10 3" xfId="3863"/>
    <cellStyle name="Normal 4 6 10 3 2" xfId="12088"/>
    <cellStyle name="Normal 4 6 10 3 2 2" xfId="28538"/>
    <cellStyle name="Normal 4 6 10 3 3" xfId="20313"/>
    <cellStyle name="Normal 4 6 10 3 4" xfId="36767"/>
    <cellStyle name="Normal 4 6 10 4" xfId="5508"/>
    <cellStyle name="Normal 4 6 10 4 2" xfId="13733"/>
    <cellStyle name="Normal 4 6 10 4 2 2" xfId="30183"/>
    <cellStyle name="Normal 4 6 10 4 3" xfId="21958"/>
    <cellStyle name="Normal 4 6 10 4 4" xfId="38412"/>
    <cellStyle name="Normal 4 6 10 5" xfId="7153"/>
    <cellStyle name="Normal 4 6 10 5 2" xfId="15378"/>
    <cellStyle name="Normal 4 6 10 5 2 2" xfId="31828"/>
    <cellStyle name="Normal 4 6 10 5 3" xfId="23603"/>
    <cellStyle name="Normal 4 6 10 5 4" xfId="40057"/>
    <cellStyle name="Normal 4 6 10 6" xfId="8798"/>
    <cellStyle name="Normal 4 6 10 6 2" xfId="25248"/>
    <cellStyle name="Normal 4 6 10 7" xfId="17022"/>
    <cellStyle name="Normal 4 6 10 8" xfId="33476"/>
    <cellStyle name="Normal 4 6 10 9" xfId="41703"/>
    <cellStyle name="Normal 4 6 11" xfId="758"/>
    <cellStyle name="Normal 4 6 11 2" xfId="2453"/>
    <cellStyle name="Normal 4 6 11 2 2" xfId="10678"/>
    <cellStyle name="Normal 4 6 11 2 2 2" xfId="27128"/>
    <cellStyle name="Normal 4 6 11 2 3" xfId="18903"/>
    <cellStyle name="Normal 4 6 11 2 4" xfId="35357"/>
    <cellStyle name="Normal 4 6 11 3" xfId="4098"/>
    <cellStyle name="Normal 4 6 11 3 2" xfId="12323"/>
    <cellStyle name="Normal 4 6 11 3 2 2" xfId="28773"/>
    <cellStyle name="Normal 4 6 11 3 3" xfId="20548"/>
    <cellStyle name="Normal 4 6 11 3 4" xfId="37002"/>
    <cellStyle name="Normal 4 6 11 4" xfId="5743"/>
    <cellStyle name="Normal 4 6 11 4 2" xfId="13968"/>
    <cellStyle name="Normal 4 6 11 4 2 2" xfId="30418"/>
    <cellStyle name="Normal 4 6 11 4 3" xfId="22193"/>
    <cellStyle name="Normal 4 6 11 4 4" xfId="38647"/>
    <cellStyle name="Normal 4 6 11 5" xfId="7388"/>
    <cellStyle name="Normal 4 6 11 5 2" xfId="15613"/>
    <cellStyle name="Normal 4 6 11 5 2 2" xfId="32063"/>
    <cellStyle name="Normal 4 6 11 5 3" xfId="23838"/>
    <cellStyle name="Normal 4 6 11 5 4" xfId="40292"/>
    <cellStyle name="Normal 4 6 11 6" xfId="9033"/>
    <cellStyle name="Normal 4 6 11 6 2" xfId="25483"/>
    <cellStyle name="Normal 4 6 11 7" xfId="17257"/>
    <cellStyle name="Normal 4 6 11 8" xfId="33711"/>
    <cellStyle name="Normal 4 6 11 9" xfId="41938"/>
    <cellStyle name="Normal 4 6 12" xfId="993"/>
    <cellStyle name="Normal 4 6 12 2" xfId="2688"/>
    <cellStyle name="Normal 4 6 12 2 2" xfId="10913"/>
    <cellStyle name="Normal 4 6 12 2 2 2" xfId="27363"/>
    <cellStyle name="Normal 4 6 12 2 3" xfId="19138"/>
    <cellStyle name="Normal 4 6 12 2 4" xfId="35592"/>
    <cellStyle name="Normal 4 6 12 3" xfId="4333"/>
    <cellStyle name="Normal 4 6 12 3 2" xfId="12558"/>
    <cellStyle name="Normal 4 6 12 3 2 2" xfId="29008"/>
    <cellStyle name="Normal 4 6 12 3 3" xfId="20783"/>
    <cellStyle name="Normal 4 6 12 3 4" xfId="37237"/>
    <cellStyle name="Normal 4 6 12 4" xfId="5978"/>
    <cellStyle name="Normal 4 6 12 4 2" xfId="14203"/>
    <cellStyle name="Normal 4 6 12 4 2 2" xfId="30653"/>
    <cellStyle name="Normal 4 6 12 4 3" xfId="22428"/>
    <cellStyle name="Normal 4 6 12 4 4" xfId="38882"/>
    <cellStyle name="Normal 4 6 12 5" xfId="7623"/>
    <cellStyle name="Normal 4 6 12 5 2" xfId="15848"/>
    <cellStyle name="Normal 4 6 12 5 2 2" xfId="32298"/>
    <cellStyle name="Normal 4 6 12 5 3" xfId="24073"/>
    <cellStyle name="Normal 4 6 12 5 4" xfId="40527"/>
    <cellStyle name="Normal 4 6 12 6" xfId="9268"/>
    <cellStyle name="Normal 4 6 12 6 2" xfId="25718"/>
    <cellStyle name="Normal 4 6 12 7" xfId="17492"/>
    <cellStyle name="Normal 4 6 12 8" xfId="33946"/>
    <cellStyle name="Normal 4 6 12 9" xfId="42173"/>
    <cellStyle name="Normal 4 6 13" xfId="1273"/>
    <cellStyle name="Normal 4 6 13 2" xfId="2923"/>
    <cellStyle name="Normal 4 6 13 2 2" xfId="11148"/>
    <cellStyle name="Normal 4 6 13 2 2 2" xfId="27598"/>
    <cellStyle name="Normal 4 6 13 2 3" xfId="19373"/>
    <cellStyle name="Normal 4 6 13 2 4" xfId="35827"/>
    <cellStyle name="Normal 4 6 13 3" xfId="4568"/>
    <cellStyle name="Normal 4 6 13 3 2" xfId="12793"/>
    <cellStyle name="Normal 4 6 13 3 2 2" xfId="29243"/>
    <cellStyle name="Normal 4 6 13 3 3" xfId="21018"/>
    <cellStyle name="Normal 4 6 13 3 4" xfId="37472"/>
    <cellStyle name="Normal 4 6 13 4" xfId="6213"/>
    <cellStyle name="Normal 4 6 13 4 2" xfId="14438"/>
    <cellStyle name="Normal 4 6 13 4 2 2" xfId="30888"/>
    <cellStyle name="Normal 4 6 13 4 3" xfId="22663"/>
    <cellStyle name="Normal 4 6 13 4 4" xfId="39117"/>
    <cellStyle name="Normal 4 6 13 5" xfId="7858"/>
    <cellStyle name="Normal 4 6 13 5 2" xfId="16083"/>
    <cellStyle name="Normal 4 6 13 5 2 2" xfId="32533"/>
    <cellStyle name="Normal 4 6 13 5 3" xfId="24308"/>
    <cellStyle name="Normal 4 6 13 5 4" xfId="40762"/>
    <cellStyle name="Normal 4 6 13 6" xfId="9503"/>
    <cellStyle name="Normal 4 6 13 6 2" xfId="25953"/>
    <cellStyle name="Normal 4 6 13 7" xfId="17727"/>
    <cellStyle name="Normal 4 6 13 8" xfId="34181"/>
    <cellStyle name="Normal 4 6 14" xfId="1508"/>
    <cellStyle name="Normal 4 6 14 2" xfId="3158"/>
    <cellStyle name="Normal 4 6 14 2 2" xfId="11383"/>
    <cellStyle name="Normal 4 6 14 2 2 2" xfId="27833"/>
    <cellStyle name="Normal 4 6 14 2 3" xfId="19608"/>
    <cellStyle name="Normal 4 6 14 2 4" xfId="36062"/>
    <cellStyle name="Normal 4 6 14 3" xfId="4803"/>
    <cellStyle name="Normal 4 6 14 3 2" xfId="13028"/>
    <cellStyle name="Normal 4 6 14 3 2 2" xfId="29478"/>
    <cellStyle name="Normal 4 6 14 3 3" xfId="21253"/>
    <cellStyle name="Normal 4 6 14 3 4" xfId="37707"/>
    <cellStyle name="Normal 4 6 14 4" xfId="6448"/>
    <cellStyle name="Normal 4 6 14 4 2" xfId="14673"/>
    <cellStyle name="Normal 4 6 14 4 2 2" xfId="31123"/>
    <cellStyle name="Normal 4 6 14 4 3" xfId="22898"/>
    <cellStyle name="Normal 4 6 14 4 4" xfId="39352"/>
    <cellStyle name="Normal 4 6 14 5" xfId="8093"/>
    <cellStyle name="Normal 4 6 14 5 2" xfId="16318"/>
    <cellStyle name="Normal 4 6 14 5 2 2" xfId="32768"/>
    <cellStyle name="Normal 4 6 14 5 3" xfId="24543"/>
    <cellStyle name="Normal 4 6 14 5 4" xfId="40997"/>
    <cellStyle name="Normal 4 6 14 6" xfId="9738"/>
    <cellStyle name="Normal 4 6 14 6 2" xfId="26188"/>
    <cellStyle name="Normal 4 6 14 7" xfId="17962"/>
    <cellStyle name="Normal 4 6 14 8" xfId="34416"/>
    <cellStyle name="Normal 4 6 15" xfId="1743"/>
    <cellStyle name="Normal 4 6 15 2" xfId="9973"/>
    <cellStyle name="Normal 4 6 15 2 2" xfId="26423"/>
    <cellStyle name="Normal 4 6 15 3" xfId="18197"/>
    <cellStyle name="Normal 4 6 15 4" xfId="34651"/>
    <cellStyle name="Normal 4 6 16" xfId="3393"/>
    <cellStyle name="Normal 4 6 16 2" xfId="11618"/>
    <cellStyle name="Normal 4 6 16 2 2" xfId="28068"/>
    <cellStyle name="Normal 4 6 16 3" xfId="19843"/>
    <cellStyle name="Normal 4 6 16 4" xfId="36297"/>
    <cellStyle name="Normal 4 6 17" xfId="5038"/>
    <cellStyle name="Normal 4 6 17 2" xfId="13263"/>
    <cellStyle name="Normal 4 6 17 2 2" xfId="29713"/>
    <cellStyle name="Normal 4 6 17 3" xfId="21488"/>
    <cellStyle name="Normal 4 6 17 4" xfId="37942"/>
    <cellStyle name="Normal 4 6 18" xfId="6683"/>
    <cellStyle name="Normal 4 6 18 2" xfId="14908"/>
    <cellStyle name="Normal 4 6 18 2 2" xfId="31358"/>
    <cellStyle name="Normal 4 6 18 3" xfId="23133"/>
    <cellStyle name="Normal 4 6 18 4" xfId="39587"/>
    <cellStyle name="Normal 4 6 19" xfId="8328"/>
    <cellStyle name="Normal 4 6 19 2" xfId="24778"/>
    <cellStyle name="Normal 4 6 2" xfId="64"/>
    <cellStyle name="Normal 4 6 2 10" xfId="3418"/>
    <cellStyle name="Normal 4 6 2 10 2" xfId="11643"/>
    <cellStyle name="Normal 4 6 2 10 2 2" xfId="28093"/>
    <cellStyle name="Normal 4 6 2 10 3" xfId="19868"/>
    <cellStyle name="Normal 4 6 2 10 4" xfId="36322"/>
    <cellStyle name="Normal 4 6 2 11" xfId="5063"/>
    <cellStyle name="Normal 4 6 2 11 2" xfId="13288"/>
    <cellStyle name="Normal 4 6 2 11 2 2" xfId="29738"/>
    <cellStyle name="Normal 4 6 2 11 3" xfId="21513"/>
    <cellStyle name="Normal 4 6 2 11 4" xfId="37967"/>
    <cellStyle name="Normal 4 6 2 12" xfId="6708"/>
    <cellStyle name="Normal 4 6 2 12 2" xfId="14933"/>
    <cellStyle name="Normal 4 6 2 12 2 2" xfId="31383"/>
    <cellStyle name="Normal 4 6 2 12 3" xfId="23158"/>
    <cellStyle name="Normal 4 6 2 12 4" xfId="39612"/>
    <cellStyle name="Normal 4 6 2 13" xfId="8353"/>
    <cellStyle name="Normal 4 6 2 13 2" xfId="24803"/>
    <cellStyle name="Normal 4 6 2 14" xfId="16577"/>
    <cellStyle name="Normal 4 6 2 15" xfId="33030"/>
    <cellStyle name="Normal 4 6 2 16" xfId="41258"/>
    <cellStyle name="Normal 4 6 2 2" xfId="114"/>
    <cellStyle name="Normal 4 6 2 2 10" xfId="5113"/>
    <cellStyle name="Normal 4 6 2 2 10 2" xfId="13338"/>
    <cellStyle name="Normal 4 6 2 2 10 2 2" xfId="29788"/>
    <cellStyle name="Normal 4 6 2 2 10 3" xfId="21563"/>
    <cellStyle name="Normal 4 6 2 2 10 4" xfId="38017"/>
    <cellStyle name="Normal 4 6 2 2 11" xfId="6758"/>
    <cellStyle name="Normal 4 6 2 2 11 2" xfId="14983"/>
    <cellStyle name="Normal 4 6 2 2 11 2 2" xfId="31433"/>
    <cellStyle name="Normal 4 6 2 2 11 3" xfId="23208"/>
    <cellStyle name="Normal 4 6 2 2 11 4" xfId="39662"/>
    <cellStyle name="Normal 4 6 2 2 12" xfId="8403"/>
    <cellStyle name="Normal 4 6 2 2 12 2" xfId="24853"/>
    <cellStyle name="Normal 4 6 2 2 13" xfId="16627"/>
    <cellStyle name="Normal 4 6 2 2 14" xfId="33080"/>
    <cellStyle name="Normal 4 6 2 2 15" xfId="41308"/>
    <cellStyle name="Normal 4 6 2 2 2" xfId="357"/>
    <cellStyle name="Normal 4 6 2 2 2 2" xfId="2056"/>
    <cellStyle name="Normal 4 6 2 2 2 2 2" xfId="10283"/>
    <cellStyle name="Normal 4 6 2 2 2 2 2 2" xfId="26733"/>
    <cellStyle name="Normal 4 6 2 2 2 2 3" xfId="18508"/>
    <cellStyle name="Normal 4 6 2 2 2 2 4" xfId="34962"/>
    <cellStyle name="Normal 4 6 2 2 2 3" xfId="3703"/>
    <cellStyle name="Normal 4 6 2 2 2 3 2" xfId="11928"/>
    <cellStyle name="Normal 4 6 2 2 2 3 2 2" xfId="28378"/>
    <cellStyle name="Normal 4 6 2 2 2 3 3" xfId="20153"/>
    <cellStyle name="Normal 4 6 2 2 2 3 4" xfId="36607"/>
    <cellStyle name="Normal 4 6 2 2 2 4" xfId="5348"/>
    <cellStyle name="Normal 4 6 2 2 2 4 2" xfId="13573"/>
    <cellStyle name="Normal 4 6 2 2 2 4 2 2" xfId="30023"/>
    <cellStyle name="Normal 4 6 2 2 2 4 3" xfId="21798"/>
    <cellStyle name="Normal 4 6 2 2 2 4 4" xfId="38252"/>
    <cellStyle name="Normal 4 6 2 2 2 5" xfId="6993"/>
    <cellStyle name="Normal 4 6 2 2 2 5 2" xfId="15218"/>
    <cellStyle name="Normal 4 6 2 2 2 5 2 2" xfId="31668"/>
    <cellStyle name="Normal 4 6 2 2 2 5 3" xfId="23443"/>
    <cellStyle name="Normal 4 6 2 2 2 5 4" xfId="39897"/>
    <cellStyle name="Normal 4 6 2 2 2 6" xfId="8638"/>
    <cellStyle name="Normal 4 6 2 2 2 6 2" xfId="25088"/>
    <cellStyle name="Normal 4 6 2 2 2 7" xfId="16862"/>
    <cellStyle name="Normal 4 6 2 2 2 8" xfId="33316"/>
    <cellStyle name="Normal 4 6 2 2 2 9" xfId="41543"/>
    <cellStyle name="Normal 4 6 2 2 3" xfId="598"/>
    <cellStyle name="Normal 4 6 2 2 3 2" xfId="2293"/>
    <cellStyle name="Normal 4 6 2 2 3 2 2" xfId="10518"/>
    <cellStyle name="Normal 4 6 2 2 3 2 2 2" xfId="26968"/>
    <cellStyle name="Normal 4 6 2 2 3 2 3" xfId="18743"/>
    <cellStyle name="Normal 4 6 2 2 3 2 4" xfId="35197"/>
    <cellStyle name="Normal 4 6 2 2 3 3" xfId="3938"/>
    <cellStyle name="Normal 4 6 2 2 3 3 2" xfId="12163"/>
    <cellStyle name="Normal 4 6 2 2 3 3 2 2" xfId="28613"/>
    <cellStyle name="Normal 4 6 2 2 3 3 3" xfId="20388"/>
    <cellStyle name="Normal 4 6 2 2 3 3 4" xfId="36842"/>
    <cellStyle name="Normal 4 6 2 2 3 4" xfId="5583"/>
    <cellStyle name="Normal 4 6 2 2 3 4 2" xfId="13808"/>
    <cellStyle name="Normal 4 6 2 2 3 4 2 2" xfId="30258"/>
    <cellStyle name="Normal 4 6 2 2 3 4 3" xfId="22033"/>
    <cellStyle name="Normal 4 6 2 2 3 4 4" xfId="38487"/>
    <cellStyle name="Normal 4 6 2 2 3 5" xfId="7228"/>
    <cellStyle name="Normal 4 6 2 2 3 5 2" xfId="15453"/>
    <cellStyle name="Normal 4 6 2 2 3 5 2 2" xfId="31903"/>
    <cellStyle name="Normal 4 6 2 2 3 5 3" xfId="23678"/>
    <cellStyle name="Normal 4 6 2 2 3 5 4" xfId="40132"/>
    <cellStyle name="Normal 4 6 2 2 3 6" xfId="8873"/>
    <cellStyle name="Normal 4 6 2 2 3 6 2" xfId="25323"/>
    <cellStyle name="Normal 4 6 2 2 3 7" xfId="17097"/>
    <cellStyle name="Normal 4 6 2 2 3 8" xfId="33551"/>
    <cellStyle name="Normal 4 6 2 2 3 9" xfId="41778"/>
    <cellStyle name="Normal 4 6 2 2 4" xfId="833"/>
    <cellStyle name="Normal 4 6 2 2 4 2" xfId="2528"/>
    <cellStyle name="Normal 4 6 2 2 4 2 2" xfId="10753"/>
    <cellStyle name="Normal 4 6 2 2 4 2 2 2" xfId="27203"/>
    <cellStyle name="Normal 4 6 2 2 4 2 3" xfId="18978"/>
    <cellStyle name="Normal 4 6 2 2 4 2 4" xfId="35432"/>
    <cellStyle name="Normal 4 6 2 2 4 3" xfId="4173"/>
    <cellStyle name="Normal 4 6 2 2 4 3 2" xfId="12398"/>
    <cellStyle name="Normal 4 6 2 2 4 3 2 2" xfId="28848"/>
    <cellStyle name="Normal 4 6 2 2 4 3 3" xfId="20623"/>
    <cellStyle name="Normal 4 6 2 2 4 3 4" xfId="37077"/>
    <cellStyle name="Normal 4 6 2 2 4 4" xfId="5818"/>
    <cellStyle name="Normal 4 6 2 2 4 4 2" xfId="14043"/>
    <cellStyle name="Normal 4 6 2 2 4 4 2 2" xfId="30493"/>
    <cellStyle name="Normal 4 6 2 2 4 4 3" xfId="22268"/>
    <cellStyle name="Normal 4 6 2 2 4 4 4" xfId="38722"/>
    <cellStyle name="Normal 4 6 2 2 4 5" xfId="7463"/>
    <cellStyle name="Normal 4 6 2 2 4 5 2" xfId="15688"/>
    <cellStyle name="Normal 4 6 2 2 4 5 2 2" xfId="32138"/>
    <cellStyle name="Normal 4 6 2 2 4 5 3" xfId="23913"/>
    <cellStyle name="Normal 4 6 2 2 4 5 4" xfId="40367"/>
    <cellStyle name="Normal 4 6 2 2 4 6" xfId="9108"/>
    <cellStyle name="Normal 4 6 2 2 4 6 2" xfId="25558"/>
    <cellStyle name="Normal 4 6 2 2 4 7" xfId="17332"/>
    <cellStyle name="Normal 4 6 2 2 4 8" xfId="33786"/>
    <cellStyle name="Normal 4 6 2 2 4 9" xfId="42013"/>
    <cellStyle name="Normal 4 6 2 2 5" xfId="1068"/>
    <cellStyle name="Normal 4 6 2 2 5 2" xfId="2763"/>
    <cellStyle name="Normal 4 6 2 2 5 2 2" xfId="10988"/>
    <cellStyle name="Normal 4 6 2 2 5 2 2 2" xfId="27438"/>
    <cellStyle name="Normal 4 6 2 2 5 2 3" xfId="19213"/>
    <cellStyle name="Normal 4 6 2 2 5 2 4" xfId="35667"/>
    <cellStyle name="Normal 4 6 2 2 5 3" xfId="4408"/>
    <cellStyle name="Normal 4 6 2 2 5 3 2" xfId="12633"/>
    <cellStyle name="Normal 4 6 2 2 5 3 2 2" xfId="29083"/>
    <cellStyle name="Normal 4 6 2 2 5 3 3" xfId="20858"/>
    <cellStyle name="Normal 4 6 2 2 5 3 4" xfId="37312"/>
    <cellStyle name="Normal 4 6 2 2 5 4" xfId="6053"/>
    <cellStyle name="Normal 4 6 2 2 5 4 2" xfId="14278"/>
    <cellStyle name="Normal 4 6 2 2 5 4 2 2" xfId="30728"/>
    <cellStyle name="Normal 4 6 2 2 5 4 3" xfId="22503"/>
    <cellStyle name="Normal 4 6 2 2 5 4 4" xfId="38957"/>
    <cellStyle name="Normal 4 6 2 2 5 5" xfId="7698"/>
    <cellStyle name="Normal 4 6 2 2 5 5 2" xfId="15923"/>
    <cellStyle name="Normal 4 6 2 2 5 5 2 2" xfId="32373"/>
    <cellStyle name="Normal 4 6 2 2 5 5 3" xfId="24148"/>
    <cellStyle name="Normal 4 6 2 2 5 5 4" xfId="40602"/>
    <cellStyle name="Normal 4 6 2 2 5 6" xfId="9343"/>
    <cellStyle name="Normal 4 6 2 2 5 6 2" xfId="25793"/>
    <cellStyle name="Normal 4 6 2 2 5 7" xfId="17567"/>
    <cellStyle name="Normal 4 6 2 2 5 8" xfId="34021"/>
    <cellStyle name="Normal 4 6 2 2 5 9" xfId="42248"/>
    <cellStyle name="Normal 4 6 2 2 6" xfId="1348"/>
    <cellStyle name="Normal 4 6 2 2 6 2" xfId="2998"/>
    <cellStyle name="Normal 4 6 2 2 6 2 2" xfId="11223"/>
    <cellStyle name="Normal 4 6 2 2 6 2 2 2" xfId="27673"/>
    <cellStyle name="Normal 4 6 2 2 6 2 3" xfId="19448"/>
    <cellStyle name="Normal 4 6 2 2 6 2 4" xfId="35902"/>
    <cellStyle name="Normal 4 6 2 2 6 3" xfId="4643"/>
    <cellStyle name="Normal 4 6 2 2 6 3 2" xfId="12868"/>
    <cellStyle name="Normal 4 6 2 2 6 3 2 2" xfId="29318"/>
    <cellStyle name="Normal 4 6 2 2 6 3 3" xfId="21093"/>
    <cellStyle name="Normal 4 6 2 2 6 3 4" xfId="37547"/>
    <cellStyle name="Normal 4 6 2 2 6 4" xfId="6288"/>
    <cellStyle name="Normal 4 6 2 2 6 4 2" xfId="14513"/>
    <cellStyle name="Normal 4 6 2 2 6 4 2 2" xfId="30963"/>
    <cellStyle name="Normal 4 6 2 2 6 4 3" xfId="22738"/>
    <cellStyle name="Normal 4 6 2 2 6 4 4" xfId="39192"/>
    <cellStyle name="Normal 4 6 2 2 6 5" xfId="7933"/>
    <cellStyle name="Normal 4 6 2 2 6 5 2" xfId="16158"/>
    <cellStyle name="Normal 4 6 2 2 6 5 2 2" xfId="32608"/>
    <cellStyle name="Normal 4 6 2 2 6 5 3" xfId="24383"/>
    <cellStyle name="Normal 4 6 2 2 6 5 4" xfId="40837"/>
    <cellStyle name="Normal 4 6 2 2 6 6" xfId="9578"/>
    <cellStyle name="Normal 4 6 2 2 6 6 2" xfId="26028"/>
    <cellStyle name="Normal 4 6 2 2 6 7" xfId="17802"/>
    <cellStyle name="Normal 4 6 2 2 6 8" xfId="34256"/>
    <cellStyle name="Normal 4 6 2 2 7" xfId="1583"/>
    <cellStyle name="Normal 4 6 2 2 7 2" xfId="3233"/>
    <cellStyle name="Normal 4 6 2 2 7 2 2" xfId="11458"/>
    <cellStyle name="Normal 4 6 2 2 7 2 2 2" xfId="27908"/>
    <cellStyle name="Normal 4 6 2 2 7 2 3" xfId="19683"/>
    <cellStyle name="Normal 4 6 2 2 7 2 4" xfId="36137"/>
    <cellStyle name="Normal 4 6 2 2 7 3" xfId="4878"/>
    <cellStyle name="Normal 4 6 2 2 7 3 2" xfId="13103"/>
    <cellStyle name="Normal 4 6 2 2 7 3 2 2" xfId="29553"/>
    <cellStyle name="Normal 4 6 2 2 7 3 3" xfId="21328"/>
    <cellStyle name="Normal 4 6 2 2 7 3 4" xfId="37782"/>
    <cellStyle name="Normal 4 6 2 2 7 4" xfId="6523"/>
    <cellStyle name="Normal 4 6 2 2 7 4 2" xfId="14748"/>
    <cellStyle name="Normal 4 6 2 2 7 4 2 2" xfId="31198"/>
    <cellStyle name="Normal 4 6 2 2 7 4 3" xfId="22973"/>
    <cellStyle name="Normal 4 6 2 2 7 4 4" xfId="39427"/>
    <cellStyle name="Normal 4 6 2 2 7 5" xfId="8168"/>
    <cellStyle name="Normal 4 6 2 2 7 5 2" xfId="16393"/>
    <cellStyle name="Normal 4 6 2 2 7 5 2 2" xfId="32843"/>
    <cellStyle name="Normal 4 6 2 2 7 5 3" xfId="24618"/>
    <cellStyle name="Normal 4 6 2 2 7 5 4" xfId="41072"/>
    <cellStyle name="Normal 4 6 2 2 7 6" xfId="9813"/>
    <cellStyle name="Normal 4 6 2 2 7 6 2" xfId="26263"/>
    <cellStyle name="Normal 4 6 2 2 7 7" xfId="18037"/>
    <cellStyle name="Normal 4 6 2 2 7 8" xfId="34491"/>
    <cellStyle name="Normal 4 6 2 2 8" xfId="1818"/>
    <cellStyle name="Normal 4 6 2 2 8 2" xfId="10048"/>
    <cellStyle name="Normal 4 6 2 2 8 2 2" xfId="26498"/>
    <cellStyle name="Normal 4 6 2 2 8 3" xfId="18272"/>
    <cellStyle name="Normal 4 6 2 2 8 4" xfId="34726"/>
    <cellStyle name="Normal 4 6 2 2 9" xfId="3468"/>
    <cellStyle name="Normal 4 6 2 2 9 2" xfId="11693"/>
    <cellStyle name="Normal 4 6 2 2 9 2 2" xfId="28143"/>
    <cellStyle name="Normal 4 6 2 2 9 3" xfId="19918"/>
    <cellStyle name="Normal 4 6 2 2 9 4" xfId="36372"/>
    <cellStyle name="Normal 4 6 2 3" xfId="307"/>
    <cellStyle name="Normal 4 6 2 3 2" xfId="2006"/>
    <cellStyle name="Normal 4 6 2 3 2 2" xfId="10233"/>
    <cellStyle name="Normal 4 6 2 3 2 2 2" xfId="26683"/>
    <cellStyle name="Normal 4 6 2 3 2 3" xfId="18458"/>
    <cellStyle name="Normal 4 6 2 3 2 4" xfId="34912"/>
    <cellStyle name="Normal 4 6 2 3 3" xfId="3653"/>
    <cellStyle name="Normal 4 6 2 3 3 2" xfId="11878"/>
    <cellStyle name="Normal 4 6 2 3 3 2 2" xfId="28328"/>
    <cellStyle name="Normal 4 6 2 3 3 3" xfId="20103"/>
    <cellStyle name="Normal 4 6 2 3 3 4" xfId="36557"/>
    <cellStyle name="Normal 4 6 2 3 4" xfId="5298"/>
    <cellStyle name="Normal 4 6 2 3 4 2" xfId="13523"/>
    <cellStyle name="Normal 4 6 2 3 4 2 2" xfId="29973"/>
    <cellStyle name="Normal 4 6 2 3 4 3" xfId="21748"/>
    <cellStyle name="Normal 4 6 2 3 4 4" xfId="38202"/>
    <cellStyle name="Normal 4 6 2 3 5" xfId="6943"/>
    <cellStyle name="Normal 4 6 2 3 5 2" xfId="15168"/>
    <cellStyle name="Normal 4 6 2 3 5 2 2" xfId="31618"/>
    <cellStyle name="Normal 4 6 2 3 5 3" xfId="23393"/>
    <cellStyle name="Normal 4 6 2 3 5 4" xfId="39847"/>
    <cellStyle name="Normal 4 6 2 3 6" xfId="8588"/>
    <cellStyle name="Normal 4 6 2 3 6 2" xfId="25038"/>
    <cellStyle name="Normal 4 6 2 3 7" xfId="16812"/>
    <cellStyle name="Normal 4 6 2 3 8" xfId="33266"/>
    <cellStyle name="Normal 4 6 2 3 9" xfId="41493"/>
    <cellStyle name="Normal 4 6 2 4" xfId="548"/>
    <cellStyle name="Normal 4 6 2 4 2" xfId="2243"/>
    <cellStyle name="Normal 4 6 2 4 2 2" xfId="10468"/>
    <cellStyle name="Normal 4 6 2 4 2 2 2" xfId="26918"/>
    <cellStyle name="Normal 4 6 2 4 2 3" xfId="18693"/>
    <cellStyle name="Normal 4 6 2 4 2 4" xfId="35147"/>
    <cellStyle name="Normal 4 6 2 4 3" xfId="3888"/>
    <cellStyle name="Normal 4 6 2 4 3 2" xfId="12113"/>
    <cellStyle name="Normal 4 6 2 4 3 2 2" xfId="28563"/>
    <cellStyle name="Normal 4 6 2 4 3 3" xfId="20338"/>
    <cellStyle name="Normal 4 6 2 4 3 4" xfId="36792"/>
    <cellStyle name="Normal 4 6 2 4 4" xfId="5533"/>
    <cellStyle name="Normal 4 6 2 4 4 2" xfId="13758"/>
    <cellStyle name="Normal 4 6 2 4 4 2 2" xfId="30208"/>
    <cellStyle name="Normal 4 6 2 4 4 3" xfId="21983"/>
    <cellStyle name="Normal 4 6 2 4 4 4" xfId="38437"/>
    <cellStyle name="Normal 4 6 2 4 5" xfId="7178"/>
    <cellStyle name="Normal 4 6 2 4 5 2" xfId="15403"/>
    <cellStyle name="Normal 4 6 2 4 5 2 2" xfId="31853"/>
    <cellStyle name="Normal 4 6 2 4 5 3" xfId="23628"/>
    <cellStyle name="Normal 4 6 2 4 5 4" xfId="40082"/>
    <cellStyle name="Normal 4 6 2 4 6" xfId="8823"/>
    <cellStyle name="Normal 4 6 2 4 6 2" xfId="25273"/>
    <cellStyle name="Normal 4 6 2 4 7" xfId="17047"/>
    <cellStyle name="Normal 4 6 2 4 8" xfId="33501"/>
    <cellStyle name="Normal 4 6 2 4 9" xfId="41728"/>
    <cellStyle name="Normal 4 6 2 5" xfId="783"/>
    <cellStyle name="Normal 4 6 2 5 2" xfId="2478"/>
    <cellStyle name="Normal 4 6 2 5 2 2" xfId="10703"/>
    <cellStyle name="Normal 4 6 2 5 2 2 2" xfId="27153"/>
    <cellStyle name="Normal 4 6 2 5 2 3" xfId="18928"/>
    <cellStyle name="Normal 4 6 2 5 2 4" xfId="35382"/>
    <cellStyle name="Normal 4 6 2 5 3" xfId="4123"/>
    <cellStyle name="Normal 4 6 2 5 3 2" xfId="12348"/>
    <cellStyle name="Normal 4 6 2 5 3 2 2" xfId="28798"/>
    <cellStyle name="Normal 4 6 2 5 3 3" xfId="20573"/>
    <cellStyle name="Normal 4 6 2 5 3 4" xfId="37027"/>
    <cellStyle name="Normal 4 6 2 5 4" xfId="5768"/>
    <cellStyle name="Normal 4 6 2 5 4 2" xfId="13993"/>
    <cellStyle name="Normal 4 6 2 5 4 2 2" xfId="30443"/>
    <cellStyle name="Normal 4 6 2 5 4 3" xfId="22218"/>
    <cellStyle name="Normal 4 6 2 5 4 4" xfId="38672"/>
    <cellStyle name="Normal 4 6 2 5 5" xfId="7413"/>
    <cellStyle name="Normal 4 6 2 5 5 2" xfId="15638"/>
    <cellStyle name="Normal 4 6 2 5 5 2 2" xfId="32088"/>
    <cellStyle name="Normal 4 6 2 5 5 3" xfId="23863"/>
    <cellStyle name="Normal 4 6 2 5 5 4" xfId="40317"/>
    <cellStyle name="Normal 4 6 2 5 6" xfId="9058"/>
    <cellStyle name="Normal 4 6 2 5 6 2" xfId="25508"/>
    <cellStyle name="Normal 4 6 2 5 7" xfId="17282"/>
    <cellStyle name="Normal 4 6 2 5 8" xfId="33736"/>
    <cellStyle name="Normal 4 6 2 5 9" xfId="41963"/>
    <cellStyle name="Normal 4 6 2 6" xfId="1018"/>
    <cellStyle name="Normal 4 6 2 6 2" xfId="2713"/>
    <cellStyle name="Normal 4 6 2 6 2 2" xfId="10938"/>
    <cellStyle name="Normal 4 6 2 6 2 2 2" xfId="27388"/>
    <cellStyle name="Normal 4 6 2 6 2 3" xfId="19163"/>
    <cellStyle name="Normal 4 6 2 6 2 4" xfId="35617"/>
    <cellStyle name="Normal 4 6 2 6 3" xfId="4358"/>
    <cellStyle name="Normal 4 6 2 6 3 2" xfId="12583"/>
    <cellStyle name="Normal 4 6 2 6 3 2 2" xfId="29033"/>
    <cellStyle name="Normal 4 6 2 6 3 3" xfId="20808"/>
    <cellStyle name="Normal 4 6 2 6 3 4" xfId="37262"/>
    <cellStyle name="Normal 4 6 2 6 4" xfId="6003"/>
    <cellStyle name="Normal 4 6 2 6 4 2" xfId="14228"/>
    <cellStyle name="Normal 4 6 2 6 4 2 2" xfId="30678"/>
    <cellStyle name="Normal 4 6 2 6 4 3" xfId="22453"/>
    <cellStyle name="Normal 4 6 2 6 4 4" xfId="38907"/>
    <cellStyle name="Normal 4 6 2 6 5" xfId="7648"/>
    <cellStyle name="Normal 4 6 2 6 5 2" xfId="15873"/>
    <cellStyle name="Normal 4 6 2 6 5 2 2" xfId="32323"/>
    <cellStyle name="Normal 4 6 2 6 5 3" xfId="24098"/>
    <cellStyle name="Normal 4 6 2 6 5 4" xfId="40552"/>
    <cellStyle name="Normal 4 6 2 6 6" xfId="9293"/>
    <cellStyle name="Normal 4 6 2 6 6 2" xfId="25743"/>
    <cellStyle name="Normal 4 6 2 6 7" xfId="17517"/>
    <cellStyle name="Normal 4 6 2 6 8" xfId="33971"/>
    <cellStyle name="Normal 4 6 2 6 9" xfId="42198"/>
    <cellStyle name="Normal 4 6 2 7" xfId="1298"/>
    <cellStyle name="Normal 4 6 2 7 2" xfId="2948"/>
    <cellStyle name="Normal 4 6 2 7 2 2" xfId="11173"/>
    <cellStyle name="Normal 4 6 2 7 2 2 2" xfId="27623"/>
    <cellStyle name="Normal 4 6 2 7 2 3" xfId="19398"/>
    <cellStyle name="Normal 4 6 2 7 2 4" xfId="35852"/>
    <cellStyle name="Normal 4 6 2 7 3" xfId="4593"/>
    <cellStyle name="Normal 4 6 2 7 3 2" xfId="12818"/>
    <cellStyle name="Normal 4 6 2 7 3 2 2" xfId="29268"/>
    <cellStyle name="Normal 4 6 2 7 3 3" xfId="21043"/>
    <cellStyle name="Normal 4 6 2 7 3 4" xfId="37497"/>
    <cellStyle name="Normal 4 6 2 7 4" xfId="6238"/>
    <cellStyle name="Normal 4 6 2 7 4 2" xfId="14463"/>
    <cellStyle name="Normal 4 6 2 7 4 2 2" xfId="30913"/>
    <cellStyle name="Normal 4 6 2 7 4 3" xfId="22688"/>
    <cellStyle name="Normal 4 6 2 7 4 4" xfId="39142"/>
    <cellStyle name="Normal 4 6 2 7 5" xfId="7883"/>
    <cellStyle name="Normal 4 6 2 7 5 2" xfId="16108"/>
    <cellStyle name="Normal 4 6 2 7 5 2 2" xfId="32558"/>
    <cellStyle name="Normal 4 6 2 7 5 3" xfId="24333"/>
    <cellStyle name="Normal 4 6 2 7 5 4" xfId="40787"/>
    <cellStyle name="Normal 4 6 2 7 6" xfId="9528"/>
    <cellStyle name="Normal 4 6 2 7 6 2" xfId="25978"/>
    <cellStyle name="Normal 4 6 2 7 7" xfId="17752"/>
    <cellStyle name="Normal 4 6 2 7 8" xfId="34206"/>
    <cellStyle name="Normal 4 6 2 8" xfId="1533"/>
    <cellStyle name="Normal 4 6 2 8 2" xfId="3183"/>
    <cellStyle name="Normal 4 6 2 8 2 2" xfId="11408"/>
    <cellStyle name="Normal 4 6 2 8 2 2 2" xfId="27858"/>
    <cellStyle name="Normal 4 6 2 8 2 3" xfId="19633"/>
    <cellStyle name="Normal 4 6 2 8 2 4" xfId="36087"/>
    <cellStyle name="Normal 4 6 2 8 3" xfId="4828"/>
    <cellStyle name="Normal 4 6 2 8 3 2" xfId="13053"/>
    <cellStyle name="Normal 4 6 2 8 3 2 2" xfId="29503"/>
    <cellStyle name="Normal 4 6 2 8 3 3" xfId="21278"/>
    <cellStyle name="Normal 4 6 2 8 3 4" xfId="37732"/>
    <cellStyle name="Normal 4 6 2 8 4" xfId="6473"/>
    <cellStyle name="Normal 4 6 2 8 4 2" xfId="14698"/>
    <cellStyle name="Normal 4 6 2 8 4 2 2" xfId="31148"/>
    <cellStyle name="Normal 4 6 2 8 4 3" xfId="22923"/>
    <cellStyle name="Normal 4 6 2 8 4 4" xfId="39377"/>
    <cellStyle name="Normal 4 6 2 8 5" xfId="8118"/>
    <cellStyle name="Normal 4 6 2 8 5 2" xfId="16343"/>
    <cellStyle name="Normal 4 6 2 8 5 2 2" xfId="32793"/>
    <cellStyle name="Normal 4 6 2 8 5 3" xfId="24568"/>
    <cellStyle name="Normal 4 6 2 8 5 4" xfId="41022"/>
    <cellStyle name="Normal 4 6 2 8 6" xfId="9763"/>
    <cellStyle name="Normal 4 6 2 8 6 2" xfId="26213"/>
    <cellStyle name="Normal 4 6 2 8 7" xfId="17987"/>
    <cellStyle name="Normal 4 6 2 8 8" xfId="34441"/>
    <cellStyle name="Normal 4 6 2 9" xfId="1768"/>
    <cellStyle name="Normal 4 6 2 9 2" xfId="9998"/>
    <cellStyle name="Normal 4 6 2 9 2 2" xfId="26448"/>
    <cellStyle name="Normal 4 6 2 9 3" xfId="18222"/>
    <cellStyle name="Normal 4 6 2 9 4" xfId="34676"/>
    <cellStyle name="Normal 4 6 20" xfId="16552"/>
    <cellStyle name="Normal 4 6 21" xfId="33005"/>
    <cellStyle name="Normal 4 6 22" xfId="41233"/>
    <cellStyle name="Normal 4 6 3" xfId="89"/>
    <cellStyle name="Normal 4 6 3 10" xfId="5088"/>
    <cellStyle name="Normal 4 6 3 10 2" xfId="13313"/>
    <cellStyle name="Normal 4 6 3 10 2 2" xfId="29763"/>
    <cellStyle name="Normal 4 6 3 10 3" xfId="21538"/>
    <cellStyle name="Normal 4 6 3 10 4" xfId="37992"/>
    <cellStyle name="Normal 4 6 3 11" xfId="6733"/>
    <cellStyle name="Normal 4 6 3 11 2" xfId="14958"/>
    <cellStyle name="Normal 4 6 3 11 2 2" xfId="31408"/>
    <cellStyle name="Normal 4 6 3 11 3" xfId="23183"/>
    <cellStyle name="Normal 4 6 3 11 4" xfId="39637"/>
    <cellStyle name="Normal 4 6 3 12" xfId="8378"/>
    <cellStyle name="Normal 4 6 3 12 2" xfId="24828"/>
    <cellStyle name="Normal 4 6 3 13" xfId="16602"/>
    <cellStyle name="Normal 4 6 3 14" xfId="33055"/>
    <cellStyle name="Normal 4 6 3 15" xfId="41283"/>
    <cellStyle name="Normal 4 6 3 2" xfId="332"/>
    <cellStyle name="Normal 4 6 3 2 2" xfId="2031"/>
    <cellStyle name="Normal 4 6 3 2 2 2" xfId="10258"/>
    <cellStyle name="Normal 4 6 3 2 2 2 2" xfId="26708"/>
    <cellStyle name="Normal 4 6 3 2 2 3" xfId="18483"/>
    <cellStyle name="Normal 4 6 3 2 2 4" xfId="34937"/>
    <cellStyle name="Normal 4 6 3 2 3" xfId="3678"/>
    <cellStyle name="Normal 4 6 3 2 3 2" xfId="11903"/>
    <cellStyle name="Normal 4 6 3 2 3 2 2" xfId="28353"/>
    <cellStyle name="Normal 4 6 3 2 3 3" xfId="20128"/>
    <cellStyle name="Normal 4 6 3 2 3 4" xfId="36582"/>
    <cellStyle name="Normal 4 6 3 2 4" xfId="5323"/>
    <cellStyle name="Normal 4 6 3 2 4 2" xfId="13548"/>
    <cellStyle name="Normal 4 6 3 2 4 2 2" xfId="29998"/>
    <cellStyle name="Normal 4 6 3 2 4 3" xfId="21773"/>
    <cellStyle name="Normal 4 6 3 2 4 4" xfId="38227"/>
    <cellStyle name="Normal 4 6 3 2 5" xfId="6968"/>
    <cellStyle name="Normal 4 6 3 2 5 2" xfId="15193"/>
    <cellStyle name="Normal 4 6 3 2 5 2 2" xfId="31643"/>
    <cellStyle name="Normal 4 6 3 2 5 3" xfId="23418"/>
    <cellStyle name="Normal 4 6 3 2 5 4" xfId="39872"/>
    <cellStyle name="Normal 4 6 3 2 6" xfId="8613"/>
    <cellStyle name="Normal 4 6 3 2 6 2" xfId="25063"/>
    <cellStyle name="Normal 4 6 3 2 7" xfId="16837"/>
    <cellStyle name="Normal 4 6 3 2 8" xfId="33291"/>
    <cellStyle name="Normal 4 6 3 2 9" xfId="41518"/>
    <cellStyle name="Normal 4 6 3 3" xfId="573"/>
    <cellStyle name="Normal 4 6 3 3 2" xfId="2268"/>
    <cellStyle name="Normal 4 6 3 3 2 2" xfId="10493"/>
    <cellStyle name="Normal 4 6 3 3 2 2 2" xfId="26943"/>
    <cellStyle name="Normal 4 6 3 3 2 3" xfId="18718"/>
    <cellStyle name="Normal 4 6 3 3 2 4" xfId="35172"/>
    <cellStyle name="Normal 4 6 3 3 3" xfId="3913"/>
    <cellStyle name="Normal 4 6 3 3 3 2" xfId="12138"/>
    <cellStyle name="Normal 4 6 3 3 3 2 2" xfId="28588"/>
    <cellStyle name="Normal 4 6 3 3 3 3" xfId="20363"/>
    <cellStyle name="Normal 4 6 3 3 3 4" xfId="36817"/>
    <cellStyle name="Normal 4 6 3 3 4" xfId="5558"/>
    <cellStyle name="Normal 4 6 3 3 4 2" xfId="13783"/>
    <cellStyle name="Normal 4 6 3 3 4 2 2" xfId="30233"/>
    <cellStyle name="Normal 4 6 3 3 4 3" xfId="22008"/>
    <cellStyle name="Normal 4 6 3 3 4 4" xfId="38462"/>
    <cellStyle name="Normal 4 6 3 3 5" xfId="7203"/>
    <cellStyle name="Normal 4 6 3 3 5 2" xfId="15428"/>
    <cellStyle name="Normal 4 6 3 3 5 2 2" xfId="31878"/>
    <cellStyle name="Normal 4 6 3 3 5 3" xfId="23653"/>
    <cellStyle name="Normal 4 6 3 3 5 4" xfId="40107"/>
    <cellStyle name="Normal 4 6 3 3 6" xfId="8848"/>
    <cellStyle name="Normal 4 6 3 3 6 2" xfId="25298"/>
    <cellStyle name="Normal 4 6 3 3 7" xfId="17072"/>
    <cellStyle name="Normal 4 6 3 3 8" xfId="33526"/>
    <cellStyle name="Normal 4 6 3 3 9" xfId="41753"/>
    <cellStyle name="Normal 4 6 3 4" xfId="808"/>
    <cellStyle name="Normal 4 6 3 4 2" xfId="2503"/>
    <cellStyle name="Normal 4 6 3 4 2 2" xfId="10728"/>
    <cellStyle name="Normal 4 6 3 4 2 2 2" xfId="27178"/>
    <cellStyle name="Normal 4 6 3 4 2 3" xfId="18953"/>
    <cellStyle name="Normal 4 6 3 4 2 4" xfId="35407"/>
    <cellStyle name="Normal 4 6 3 4 3" xfId="4148"/>
    <cellStyle name="Normal 4 6 3 4 3 2" xfId="12373"/>
    <cellStyle name="Normal 4 6 3 4 3 2 2" xfId="28823"/>
    <cellStyle name="Normal 4 6 3 4 3 3" xfId="20598"/>
    <cellStyle name="Normal 4 6 3 4 3 4" xfId="37052"/>
    <cellStyle name="Normal 4 6 3 4 4" xfId="5793"/>
    <cellStyle name="Normal 4 6 3 4 4 2" xfId="14018"/>
    <cellStyle name="Normal 4 6 3 4 4 2 2" xfId="30468"/>
    <cellStyle name="Normal 4 6 3 4 4 3" xfId="22243"/>
    <cellStyle name="Normal 4 6 3 4 4 4" xfId="38697"/>
    <cellStyle name="Normal 4 6 3 4 5" xfId="7438"/>
    <cellStyle name="Normal 4 6 3 4 5 2" xfId="15663"/>
    <cellStyle name="Normal 4 6 3 4 5 2 2" xfId="32113"/>
    <cellStyle name="Normal 4 6 3 4 5 3" xfId="23888"/>
    <cellStyle name="Normal 4 6 3 4 5 4" xfId="40342"/>
    <cellStyle name="Normal 4 6 3 4 6" xfId="9083"/>
    <cellStyle name="Normal 4 6 3 4 6 2" xfId="25533"/>
    <cellStyle name="Normal 4 6 3 4 7" xfId="17307"/>
    <cellStyle name="Normal 4 6 3 4 8" xfId="33761"/>
    <cellStyle name="Normal 4 6 3 4 9" xfId="41988"/>
    <cellStyle name="Normal 4 6 3 5" xfId="1043"/>
    <cellStyle name="Normal 4 6 3 5 2" xfId="2738"/>
    <cellStyle name="Normal 4 6 3 5 2 2" xfId="10963"/>
    <cellStyle name="Normal 4 6 3 5 2 2 2" xfId="27413"/>
    <cellStyle name="Normal 4 6 3 5 2 3" xfId="19188"/>
    <cellStyle name="Normal 4 6 3 5 2 4" xfId="35642"/>
    <cellStyle name="Normal 4 6 3 5 3" xfId="4383"/>
    <cellStyle name="Normal 4 6 3 5 3 2" xfId="12608"/>
    <cellStyle name="Normal 4 6 3 5 3 2 2" xfId="29058"/>
    <cellStyle name="Normal 4 6 3 5 3 3" xfId="20833"/>
    <cellStyle name="Normal 4 6 3 5 3 4" xfId="37287"/>
    <cellStyle name="Normal 4 6 3 5 4" xfId="6028"/>
    <cellStyle name="Normal 4 6 3 5 4 2" xfId="14253"/>
    <cellStyle name="Normal 4 6 3 5 4 2 2" xfId="30703"/>
    <cellStyle name="Normal 4 6 3 5 4 3" xfId="22478"/>
    <cellStyle name="Normal 4 6 3 5 4 4" xfId="38932"/>
    <cellStyle name="Normal 4 6 3 5 5" xfId="7673"/>
    <cellStyle name="Normal 4 6 3 5 5 2" xfId="15898"/>
    <cellStyle name="Normal 4 6 3 5 5 2 2" xfId="32348"/>
    <cellStyle name="Normal 4 6 3 5 5 3" xfId="24123"/>
    <cellStyle name="Normal 4 6 3 5 5 4" xfId="40577"/>
    <cellStyle name="Normal 4 6 3 5 6" xfId="9318"/>
    <cellStyle name="Normal 4 6 3 5 6 2" xfId="25768"/>
    <cellStyle name="Normal 4 6 3 5 7" xfId="17542"/>
    <cellStyle name="Normal 4 6 3 5 8" xfId="33996"/>
    <cellStyle name="Normal 4 6 3 5 9" xfId="42223"/>
    <cellStyle name="Normal 4 6 3 6" xfId="1323"/>
    <cellStyle name="Normal 4 6 3 6 2" xfId="2973"/>
    <cellStyle name="Normal 4 6 3 6 2 2" xfId="11198"/>
    <cellStyle name="Normal 4 6 3 6 2 2 2" xfId="27648"/>
    <cellStyle name="Normal 4 6 3 6 2 3" xfId="19423"/>
    <cellStyle name="Normal 4 6 3 6 2 4" xfId="35877"/>
    <cellStyle name="Normal 4 6 3 6 3" xfId="4618"/>
    <cellStyle name="Normal 4 6 3 6 3 2" xfId="12843"/>
    <cellStyle name="Normal 4 6 3 6 3 2 2" xfId="29293"/>
    <cellStyle name="Normal 4 6 3 6 3 3" xfId="21068"/>
    <cellStyle name="Normal 4 6 3 6 3 4" xfId="37522"/>
    <cellStyle name="Normal 4 6 3 6 4" xfId="6263"/>
    <cellStyle name="Normal 4 6 3 6 4 2" xfId="14488"/>
    <cellStyle name="Normal 4 6 3 6 4 2 2" xfId="30938"/>
    <cellStyle name="Normal 4 6 3 6 4 3" xfId="22713"/>
    <cellStyle name="Normal 4 6 3 6 4 4" xfId="39167"/>
    <cellStyle name="Normal 4 6 3 6 5" xfId="7908"/>
    <cellStyle name="Normal 4 6 3 6 5 2" xfId="16133"/>
    <cellStyle name="Normal 4 6 3 6 5 2 2" xfId="32583"/>
    <cellStyle name="Normal 4 6 3 6 5 3" xfId="24358"/>
    <cellStyle name="Normal 4 6 3 6 5 4" xfId="40812"/>
    <cellStyle name="Normal 4 6 3 6 6" xfId="9553"/>
    <cellStyle name="Normal 4 6 3 6 6 2" xfId="26003"/>
    <cellStyle name="Normal 4 6 3 6 7" xfId="17777"/>
    <cellStyle name="Normal 4 6 3 6 8" xfId="34231"/>
    <cellStyle name="Normal 4 6 3 7" xfId="1558"/>
    <cellStyle name="Normal 4 6 3 7 2" xfId="3208"/>
    <cellStyle name="Normal 4 6 3 7 2 2" xfId="11433"/>
    <cellStyle name="Normal 4 6 3 7 2 2 2" xfId="27883"/>
    <cellStyle name="Normal 4 6 3 7 2 3" xfId="19658"/>
    <cellStyle name="Normal 4 6 3 7 2 4" xfId="36112"/>
    <cellStyle name="Normal 4 6 3 7 3" xfId="4853"/>
    <cellStyle name="Normal 4 6 3 7 3 2" xfId="13078"/>
    <cellStyle name="Normal 4 6 3 7 3 2 2" xfId="29528"/>
    <cellStyle name="Normal 4 6 3 7 3 3" xfId="21303"/>
    <cellStyle name="Normal 4 6 3 7 3 4" xfId="37757"/>
    <cellStyle name="Normal 4 6 3 7 4" xfId="6498"/>
    <cellStyle name="Normal 4 6 3 7 4 2" xfId="14723"/>
    <cellStyle name="Normal 4 6 3 7 4 2 2" xfId="31173"/>
    <cellStyle name="Normal 4 6 3 7 4 3" xfId="22948"/>
    <cellStyle name="Normal 4 6 3 7 4 4" xfId="39402"/>
    <cellStyle name="Normal 4 6 3 7 5" xfId="8143"/>
    <cellStyle name="Normal 4 6 3 7 5 2" xfId="16368"/>
    <cellStyle name="Normal 4 6 3 7 5 2 2" xfId="32818"/>
    <cellStyle name="Normal 4 6 3 7 5 3" xfId="24593"/>
    <cellStyle name="Normal 4 6 3 7 5 4" xfId="41047"/>
    <cellStyle name="Normal 4 6 3 7 6" xfId="9788"/>
    <cellStyle name="Normal 4 6 3 7 6 2" xfId="26238"/>
    <cellStyle name="Normal 4 6 3 7 7" xfId="18012"/>
    <cellStyle name="Normal 4 6 3 7 8" xfId="34466"/>
    <cellStyle name="Normal 4 6 3 8" xfId="1793"/>
    <cellStyle name="Normal 4 6 3 8 2" xfId="10023"/>
    <cellStyle name="Normal 4 6 3 8 2 2" xfId="26473"/>
    <cellStyle name="Normal 4 6 3 8 3" xfId="18247"/>
    <cellStyle name="Normal 4 6 3 8 4" xfId="34701"/>
    <cellStyle name="Normal 4 6 3 9" xfId="3443"/>
    <cellStyle name="Normal 4 6 3 9 2" xfId="11668"/>
    <cellStyle name="Normal 4 6 3 9 2 2" xfId="28118"/>
    <cellStyle name="Normal 4 6 3 9 3" xfId="19893"/>
    <cellStyle name="Normal 4 6 3 9 4" xfId="36347"/>
    <cellStyle name="Normal 4 6 4" xfId="139"/>
    <cellStyle name="Normal 4 6 4 10" xfId="5138"/>
    <cellStyle name="Normal 4 6 4 10 2" xfId="13363"/>
    <cellStyle name="Normal 4 6 4 10 2 2" xfId="29813"/>
    <cellStyle name="Normal 4 6 4 10 3" xfId="21588"/>
    <cellStyle name="Normal 4 6 4 10 4" xfId="38042"/>
    <cellStyle name="Normal 4 6 4 11" xfId="6783"/>
    <cellStyle name="Normal 4 6 4 11 2" xfId="15008"/>
    <cellStyle name="Normal 4 6 4 11 2 2" xfId="31458"/>
    <cellStyle name="Normal 4 6 4 11 3" xfId="23233"/>
    <cellStyle name="Normal 4 6 4 11 4" xfId="39687"/>
    <cellStyle name="Normal 4 6 4 12" xfId="8428"/>
    <cellStyle name="Normal 4 6 4 12 2" xfId="24878"/>
    <cellStyle name="Normal 4 6 4 13" xfId="16652"/>
    <cellStyle name="Normal 4 6 4 14" xfId="33105"/>
    <cellStyle name="Normal 4 6 4 15" xfId="41333"/>
    <cellStyle name="Normal 4 6 4 2" xfId="382"/>
    <cellStyle name="Normal 4 6 4 2 2" xfId="2081"/>
    <cellStyle name="Normal 4 6 4 2 2 2" xfId="10308"/>
    <cellStyle name="Normal 4 6 4 2 2 2 2" xfId="26758"/>
    <cellStyle name="Normal 4 6 4 2 2 3" xfId="18533"/>
    <cellStyle name="Normal 4 6 4 2 2 4" xfId="34987"/>
    <cellStyle name="Normal 4 6 4 2 3" xfId="3728"/>
    <cellStyle name="Normal 4 6 4 2 3 2" xfId="11953"/>
    <cellStyle name="Normal 4 6 4 2 3 2 2" xfId="28403"/>
    <cellStyle name="Normal 4 6 4 2 3 3" xfId="20178"/>
    <cellStyle name="Normal 4 6 4 2 3 4" xfId="36632"/>
    <cellStyle name="Normal 4 6 4 2 4" xfId="5373"/>
    <cellStyle name="Normal 4 6 4 2 4 2" xfId="13598"/>
    <cellStyle name="Normal 4 6 4 2 4 2 2" xfId="30048"/>
    <cellStyle name="Normal 4 6 4 2 4 3" xfId="21823"/>
    <cellStyle name="Normal 4 6 4 2 4 4" xfId="38277"/>
    <cellStyle name="Normal 4 6 4 2 5" xfId="7018"/>
    <cellStyle name="Normal 4 6 4 2 5 2" xfId="15243"/>
    <cellStyle name="Normal 4 6 4 2 5 2 2" xfId="31693"/>
    <cellStyle name="Normal 4 6 4 2 5 3" xfId="23468"/>
    <cellStyle name="Normal 4 6 4 2 5 4" xfId="39922"/>
    <cellStyle name="Normal 4 6 4 2 6" xfId="8663"/>
    <cellStyle name="Normal 4 6 4 2 6 2" xfId="25113"/>
    <cellStyle name="Normal 4 6 4 2 7" xfId="16887"/>
    <cellStyle name="Normal 4 6 4 2 8" xfId="33341"/>
    <cellStyle name="Normal 4 6 4 2 9" xfId="41568"/>
    <cellStyle name="Normal 4 6 4 3" xfId="623"/>
    <cellStyle name="Normal 4 6 4 3 2" xfId="2318"/>
    <cellStyle name="Normal 4 6 4 3 2 2" xfId="10543"/>
    <cellStyle name="Normal 4 6 4 3 2 2 2" xfId="26993"/>
    <cellStyle name="Normal 4 6 4 3 2 3" xfId="18768"/>
    <cellStyle name="Normal 4 6 4 3 2 4" xfId="35222"/>
    <cellStyle name="Normal 4 6 4 3 3" xfId="3963"/>
    <cellStyle name="Normal 4 6 4 3 3 2" xfId="12188"/>
    <cellStyle name="Normal 4 6 4 3 3 2 2" xfId="28638"/>
    <cellStyle name="Normal 4 6 4 3 3 3" xfId="20413"/>
    <cellStyle name="Normal 4 6 4 3 3 4" xfId="36867"/>
    <cellStyle name="Normal 4 6 4 3 4" xfId="5608"/>
    <cellStyle name="Normal 4 6 4 3 4 2" xfId="13833"/>
    <cellStyle name="Normal 4 6 4 3 4 2 2" xfId="30283"/>
    <cellStyle name="Normal 4 6 4 3 4 3" xfId="22058"/>
    <cellStyle name="Normal 4 6 4 3 4 4" xfId="38512"/>
    <cellStyle name="Normal 4 6 4 3 5" xfId="7253"/>
    <cellStyle name="Normal 4 6 4 3 5 2" xfId="15478"/>
    <cellStyle name="Normal 4 6 4 3 5 2 2" xfId="31928"/>
    <cellStyle name="Normal 4 6 4 3 5 3" xfId="23703"/>
    <cellStyle name="Normal 4 6 4 3 5 4" xfId="40157"/>
    <cellStyle name="Normal 4 6 4 3 6" xfId="8898"/>
    <cellStyle name="Normal 4 6 4 3 6 2" xfId="25348"/>
    <cellStyle name="Normal 4 6 4 3 7" xfId="17122"/>
    <cellStyle name="Normal 4 6 4 3 8" xfId="33576"/>
    <cellStyle name="Normal 4 6 4 3 9" xfId="41803"/>
    <cellStyle name="Normal 4 6 4 4" xfId="858"/>
    <cellStyle name="Normal 4 6 4 4 2" xfId="2553"/>
    <cellStyle name="Normal 4 6 4 4 2 2" xfId="10778"/>
    <cellStyle name="Normal 4 6 4 4 2 2 2" xfId="27228"/>
    <cellStyle name="Normal 4 6 4 4 2 3" xfId="19003"/>
    <cellStyle name="Normal 4 6 4 4 2 4" xfId="35457"/>
    <cellStyle name="Normal 4 6 4 4 3" xfId="4198"/>
    <cellStyle name="Normal 4 6 4 4 3 2" xfId="12423"/>
    <cellStyle name="Normal 4 6 4 4 3 2 2" xfId="28873"/>
    <cellStyle name="Normal 4 6 4 4 3 3" xfId="20648"/>
    <cellStyle name="Normal 4 6 4 4 3 4" xfId="37102"/>
    <cellStyle name="Normal 4 6 4 4 4" xfId="5843"/>
    <cellStyle name="Normal 4 6 4 4 4 2" xfId="14068"/>
    <cellStyle name="Normal 4 6 4 4 4 2 2" xfId="30518"/>
    <cellStyle name="Normal 4 6 4 4 4 3" xfId="22293"/>
    <cellStyle name="Normal 4 6 4 4 4 4" xfId="38747"/>
    <cellStyle name="Normal 4 6 4 4 5" xfId="7488"/>
    <cellStyle name="Normal 4 6 4 4 5 2" xfId="15713"/>
    <cellStyle name="Normal 4 6 4 4 5 2 2" xfId="32163"/>
    <cellStyle name="Normal 4 6 4 4 5 3" xfId="23938"/>
    <cellStyle name="Normal 4 6 4 4 5 4" xfId="40392"/>
    <cellStyle name="Normal 4 6 4 4 6" xfId="9133"/>
    <cellStyle name="Normal 4 6 4 4 6 2" xfId="25583"/>
    <cellStyle name="Normal 4 6 4 4 7" xfId="17357"/>
    <cellStyle name="Normal 4 6 4 4 8" xfId="33811"/>
    <cellStyle name="Normal 4 6 4 4 9" xfId="42038"/>
    <cellStyle name="Normal 4 6 4 5" xfId="1093"/>
    <cellStyle name="Normal 4 6 4 5 2" xfId="2788"/>
    <cellStyle name="Normal 4 6 4 5 2 2" xfId="11013"/>
    <cellStyle name="Normal 4 6 4 5 2 2 2" xfId="27463"/>
    <cellStyle name="Normal 4 6 4 5 2 3" xfId="19238"/>
    <cellStyle name="Normal 4 6 4 5 2 4" xfId="35692"/>
    <cellStyle name="Normal 4 6 4 5 3" xfId="4433"/>
    <cellStyle name="Normal 4 6 4 5 3 2" xfId="12658"/>
    <cellStyle name="Normal 4 6 4 5 3 2 2" xfId="29108"/>
    <cellStyle name="Normal 4 6 4 5 3 3" xfId="20883"/>
    <cellStyle name="Normal 4 6 4 5 3 4" xfId="37337"/>
    <cellStyle name="Normal 4 6 4 5 4" xfId="6078"/>
    <cellStyle name="Normal 4 6 4 5 4 2" xfId="14303"/>
    <cellStyle name="Normal 4 6 4 5 4 2 2" xfId="30753"/>
    <cellStyle name="Normal 4 6 4 5 4 3" xfId="22528"/>
    <cellStyle name="Normal 4 6 4 5 4 4" xfId="38982"/>
    <cellStyle name="Normal 4 6 4 5 5" xfId="7723"/>
    <cellStyle name="Normal 4 6 4 5 5 2" xfId="15948"/>
    <cellStyle name="Normal 4 6 4 5 5 2 2" xfId="32398"/>
    <cellStyle name="Normal 4 6 4 5 5 3" xfId="24173"/>
    <cellStyle name="Normal 4 6 4 5 5 4" xfId="40627"/>
    <cellStyle name="Normal 4 6 4 5 6" xfId="9368"/>
    <cellStyle name="Normal 4 6 4 5 6 2" xfId="25818"/>
    <cellStyle name="Normal 4 6 4 5 7" xfId="17592"/>
    <cellStyle name="Normal 4 6 4 5 8" xfId="34046"/>
    <cellStyle name="Normal 4 6 4 5 9" xfId="42273"/>
    <cellStyle name="Normal 4 6 4 6" xfId="1373"/>
    <cellStyle name="Normal 4 6 4 6 2" xfId="3023"/>
    <cellStyle name="Normal 4 6 4 6 2 2" xfId="11248"/>
    <cellStyle name="Normal 4 6 4 6 2 2 2" xfId="27698"/>
    <cellStyle name="Normal 4 6 4 6 2 3" xfId="19473"/>
    <cellStyle name="Normal 4 6 4 6 2 4" xfId="35927"/>
    <cellStyle name="Normal 4 6 4 6 3" xfId="4668"/>
    <cellStyle name="Normal 4 6 4 6 3 2" xfId="12893"/>
    <cellStyle name="Normal 4 6 4 6 3 2 2" xfId="29343"/>
    <cellStyle name="Normal 4 6 4 6 3 3" xfId="21118"/>
    <cellStyle name="Normal 4 6 4 6 3 4" xfId="37572"/>
    <cellStyle name="Normal 4 6 4 6 4" xfId="6313"/>
    <cellStyle name="Normal 4 6 4 6 4 2" xfId="14538"/>
    <cellStyle name="Normal 4 6 4 6 4 2 2" xfId="30988"/>
    <cellStyle name="Normal 4 6 4 6 4 3" xfId="22763"/>
    <cellStyle name="Normal 4 6 4 6 4 4" xfId="39217"/>
    <cellStyle name="Normal 4 6 4 6 5" xfId="7958"/>
    <cellStyle name="Normal 4 6 4 6 5 2" xfId="16183"/>
    <cellStyle name="Normal 4 6 4 6 5 2 2" xfId="32633"/>
    <cellStyle name="Normal 4 6 4 6 5 3" xfId="24408"/>
    <cellStyle name="Normal 4 6 4 6 5 4" xfId="40862"/>
    <cellStyle name="Normal 4 6 4 6 6" xfId="9603"/>
    <cellStyle name="Normal 4 6 4 6 6 2" xfId="26053"/>
    <cellStyle name="Normal 4 6 4 6 7" xfId="17827"/>
    <cellStyle name="Normal 4 6 4 6 8" xfId="34281"/>
    <cellStyle name="Normal 4 6 4 7" xfId="1608"/>
    <cellStyle name="Normal 4 6 4 7 2" xfId="3258"/>
    <cellStyle name="Normal 4 6 4 7 2 2" xfId="11483"/>
    <cellStyle name="Normal 4 6 4 7 2 2 2" xfId="27933"/>
    <cellStyle name="Normal 4 6 4 7 2 3" xfId="19708"/>
    <cellStyle name="Normal 4 6 4 7 2 4" xfId="36162"/>
    <cellStyle name="Normal 4 6 4 7 3" xfId="4903"/>
    <cellStyle name="Normal 4 6 4 7 3 2" xfId="13128"/>
    <cellStyle name="Normal 4 6 4 7 3 2 2" xfId="29578"/>
    <cellStyle name="Normal 4 6 4 7 3 3" xfId="21353"/>
    <cellStyle name="Normal 4 6 4 7 3 4" xfId="37807"/>
    <cellStyle name="Normal 4 6 4 7 4" xfId="6548"/>
    <cellStyle name="Normal 4 6 4 7 4 2" xfId="14773"/>
    <cellStyle name="Normal 4 6 4 7 4 2 2" xfId="31223"/>
    <cellStyle name="Normal 4 6 4 7 4 3" xfId="22998"/>
    <cellStyle name="Normal 4 6 4 7 4 4" xfId="39452"/>
    <cellStyle name="Normal 4 6 4 7 5" xfId="8193"/>
    <cellStyle name="Normal 4 6 4 7 5 2" xfId="16418"/>
    <cellStyle name="Normal 4 6 4 7 5 2 2" xfId="32868"/>
    <cellStyle name="Normal 4 6 4 7 5 3" xfId="24643"/>
    <cellStyle name="Normal 4 6 4 7 5 4" xfId="41097"/>
    <cellStyle name="Normal 4 6 4 7 6" xfId="9838"/>
    <cellStyle name="Normal 4 6 4 7 6 2" xfId="26288"/>
    <cellStyle name="Normal 4 6 4 7 7" xfId="18062"/>
    <cellStyle name="Normal 4 6 4 7 8" xfId="34516"/>
    <cellStyle name="Normal 4 6 4 8" xfId="1843"/>
    <cellStyle name="Normal 4 6 4 8 2" xfId="10073"/>
    <cellStyle name="Normal 4 6 4 8 2 2" xfId="26523"/>
    <cellStyle name="Normal 4 6 4 8 3" xfId="18297"/>
    <cellStyle name="Normal 4 6 4 8 4" xfId="34751"/>
    <cellStyle name="Normal 4 6 4 9" xfId="3493"/>
    <cellStyle name="Normal 4 6 4 9 2" xfId="11718"/>
    <cellStyle name="Normal 4 6 4 9 2 2" xfId="28168"/>
    <cellStyle name="Normal 4 6 4 9 3" xfId="19943"/>
    <cellStyle name="Normal 4 6 4 9 4" xfId="36397"/>
    <cellStyle name="Normal 4 6 5" xfId="166"/>
    <cellStyle name="Normal 4 6 5 10" xfId="5165"/>
    <cellStyle name="Normal 4 6 5 10 2" xfId="13390"/>
    <cellStyle name="Normal 4 6 5 10 2 2" xfId="29840"/>
    <cellStyle name="Normal 4 6 5 10 3" xfId="21615"/>
    <cellStyle name="Normal 4 6 5 10 4" xfId="38069"/>
    <cellStyle name="Normal 4 6 5 11" xfId="6810"/>
    <cellStyle name="Normal 4 6 5 11 2" xfId="15035"/>
    <cellStyle name="Normal 4 6 5 11 2 2" xfId="31485"/>
    <cellStyle name="Normal 4 6 5 11 3" xfId="23260"/>
    <cellStyle name="Normal 4 6 5 11 4" xfId="39714"/>
    <cellStyle name="Normal 4 6 5 12" xfId="8455"/>
    <cellStyle name="Normal 4 6 5 12 2" xfId="24905"/>
    <cellStyle name="Normal 4 6 5 13" xfId="16679"/>
    <cellStyle name="Normal 4 6 5 14" xfId="33132"/>
    <cellStyle name="Normal 4 6 5 15" xfId="41360"/>
    <cellStyle name="Normal 4 6 5 2" xfId="409"/>
    <cellStyle name="Normal 4 6 5 2 2" xfId="2108"/>
    <cellStyle name="Normal 4 6 5 2 2 2" xfId="10335"/>
    <cellStyle name="Normal 4 6 5 2 2 2 2" xfId="26785"/>
    <cellStyle name="Normal 4 6 5 2 2 3" xfId="18560"/>
    <cellStyle name="Normal 4 6 5 2 2 4" xfId="35014"/>
    <cellStyle name="Normal 4 6 5 2 3" xfId="3755"/>
    <cellStyle name="Normal 4 6 5 2 3 2" xfId="11980"/>
    <cellStyle name="Normal 4 6 5 2 3 2 2" xfId="28430"/>
    <cellStyle name="Normal 4 6 5 2 3 3" xfId="20205"/>
    <cellStyle name="Normal 4 6 5 2 3 4" xfId="36659"/>
    <cellStyle name="Normal 4 6 5 2 4" xfId="5400"/>
    <cellStyle name="Normal 4 6 5 2 4 2" xfId="13625"/>
    <cellStyle name="Normal 4 6 5 2 4 2 2" xfId="30075"/>
    <cellStyle name="Normal 4 6 5 2 4 3" xfId="21850"/>
    <cellStyle name="Normal 4 6 5 2 4 4" xfId="38304"/>
    <cellStyle name="Normal 4 6 5 2 5" xfId="7045"/>
    <cellStyle name="Normal 4 6 5 2 5 2" xfId="15270"/>
    <cellStyle name="Normal 4 6 5 2 5 2 2" xfId="31720"/>
    <cellStyle name="Normal 4 6 5 2 5 3" xfId="23495"/>
    <cellStyle name="Normal 4 6 5 2 5 4" xfId="39949"/>
    <cellStyle name="Normal 4 6 5 2 6" xfId="8690"/>
    <cellStyle name="Normal 4 6 5 2 6 2" xfId="25140"/>
    <cellStyle name="Normal 4 6 5 2 7" xfId="16914"/>
    <cellStyle name="Normal 4 6 5 2 8" xfId="33368"/>
    <cellStyle name="Normal 4 6 5 2 9" xfId="41595"/>
    <cellStyle name="Normal 4 6 5 3" xfId="650"/>
    <cellStyle name="Normal 4 6 5 3 2" xfId="2345"/>
    <cellStyle name="Normal 4 6 5 3 2 2" xfId="10570"/>
    <cellStyle name="Normal 4 6 5 3 2 2 2" xfId="27020"/>
    <cellStyle name="Normal 4 6 5 3 2 3" xfId="18795"/>
    <cellStyle name="Normal 4 6 5 3 2 4" xfId="35249"/>
    <cellStyle name="Normal 4 6 5 3 3" xfId="3990"/>
    <cellStyle name="Normal 4 6 5 3 3 2" xfId="12215"/>
    <cellStyle name="Normal 4 6 5 3 3 2 2" xfId="28665"/>
    <cellStyle name="Normal 4 6 5 3 3 3" xfId="20440"/>
    <cellStyle name="Normal 4 6 5 3 3 4" xfId="36894"/>
    <cellStyle name="Normal 4 6 5 3 4" xfId="5635"/>
    <cellStyle name="Normal 4 6 5 3 4 2" xfId="13860"/>
    <cellStyle name="Normal 4 6 5 3 4 2 2" xfId="30310"/>
    <cellStyle name="Normal 4 6 5 3 4 3" xfId="22085"/>
    <cellStyle name="Normal 4 6 5 3 4 4" xfId="38539"/>
    <cellStyle name="Normal 4 6 5 3 5" xfId="7280"/>
    <cellStyle name="Normal 4 6 5 3 5 2" xfId="15505"/>
    <cellStyle name="Normal 4 6 5 3 5 2 2" xfId="31955"/>
    <cellStyle name="Normal 4 6 5 3 5 3" xfId="23730"/>
    <cellStyle name="Normal 4 6 5 3 5 4" xfId="40184"/>
    <cellStyle name="Normal 4 6 5 3 6" xfId="8925"/>
    <cellStyle name="Normal 4 6 5 3 6 2" xfId="25375"/>
    <cellStyle name="Normal 4 6 5 3 7" xfId="17149"/>
    <cellStyle name="Normal 4 6 5 3 8" xfId="33603"/>
    <cellStyle name="Normal 4 6 5 3 9" xfId="41830"/>
    <cellStyle name="Normal 4 6 5 4" xfId="885"/>
    <cellStyle name="Normal 4 6 5 4 2" xfId="2580"/>
    <cellStyle name="Normal 4 6 5 4 2 2" xfId="10805"/>
    <cellStyle name="Normal 4 6 5 4 2 2 2" xfId="27255"/>
    <cellStyle name="Normal 4 6 5 4 2 3" xfId="19030"/>
    <cellStyle name="Normal 4 6 5 4 2 4" xfId="35484"/>
    <cellStyle name="Normal 4 6 5 4 3" xfId="4225"/>
    <cellStyle name="Normal 4 6 5 4 3 2" xfId="12450"/>
    <cellStyle name="Normal 4 6 5 4 3 2 2" xfId="28900"/>
    <cellStyle name="Normal 4 6 5 4 3 3" xfId="20675"/>
    <cellStyle name="Normal 4 6 5 4 3 4" xfId="37129"/>
    <cellStyle name="Normal 4 6 5 4 4" xfId="5870"/>
    <cellStyle name="Normal 4 6 5 4 4 2" xfId="14095"/>
    <cellStyle name="Normal 4 6 5 4 4 2 2" xfId="30545"/>
    <cellStyle name="Normal 4 6 5 4 4 3" xfId="22320"/>
    <cellStyle name="Normal 4 6 5 4 4 4" xfId="38774"/>
    <cellStyle name="Normal 4 6 5 4 5" xfId="7515"/>
    <cellStyle name="Normal 4 6 5 4 5 2" xfId="15740"/>
    <cellStyle name="Normal 4 6 5 4 5 2 2" xfId="32190"/>
    <cellStyle name="Normal 4 6 5 4 5 3" xfId="23965"/>
    <cellStyle name="Normal 4 6 5 4 5 4" xfId="40419"/>
    <cellStyle name="Normal 4 6 5 4 6" xfId="9160"/>
    <cellStyle name="Normal 4 6 5 4 6 2" xfId="25610"/>
    <cellStyle name="Normal 4 6 5 4 7" xfId="17384"/>
    <cellStyle name="Normal 4 6 5 4 8" xfId="33838"/>
    <cellStyle name="Normal 4 6 5 4 9" xfId="42065"/>
    <cellStyle name="Normal 4 6 5 5" xfId="1120"/>
    <cellStyle name="Normal 4 6 5 5 2" xfId="2815"/>
    <cellStyle name="Normal 4 6 5 5 2 2" xfId="11040"/>
    <cellStyle name="Normal 4 6 5 5 2 2 2" xfId="27490"/>
    <cellStyle name="Normal 4 6 5 5 2 3" xfId="19265"/>
    <cellStyle name="Normal 4 6 5 5 2 4" xfId="35719"/>
    <cellStyle name="Normal 4 6 5 5 3" xfId="4460"/>
    <cellStyle name="Normal 4 6 5 5 3 2" xfId="12685"/>
    <cellStyle name="Normal 4 6 5 5 3 2 2" xfId="29135"/>
    <cellStyle name="Normal 4 6 5 5 3 3" xfId="20910"/>
    <cellStyle name="Normal 4 6 5 5 3 4" xfId="37364"/>
    <cellStyle name="Normal 4 6 5 5 4" xfId="6105"/>
    <cellStyle name="Normal 4 6 5 5 4 2" xfId="14330"/>
    <cellStyle name="Normal 4 6 5 5 4 2 2" xfId="30780"/>
    <cellStyle name="Normal 4 6 5 5 4 3" xfId="22555"/>
    <cellStyle name="Normal 4 6 5 5 4 4" xfId="39009"/>
    <cellStyle name="Normal 4 6 5 5 5" xfId="7750"/>
    <cellStyle name="Normal 4 6 5 5 5 2" xfId="15975"/>
    <cellStyle name="Normal 4 6 5 5 5 2 2" xfId="32425"/>
    <cellStyle name="Normal 4 6 5 5 5 3" xfId="24200"/>
    <cellStyle name="Normal 4 6 5 5 5 4" xfId="40654"/>
    <cellStyle name="Normal 4 6 5 5 6" xfId="9395"/>
    <cellStyle name="Normal 4 6 5 5 6 2" xfId="25845"/>
    <cellStyle name="Normal 4 6 5 5 7" xfId="17619"/>
    <cellStyle name="Normal 4 6 5 5 8" xfId="34073"/>
    <cellStyle name="Normal 4 6 5 5 9" xfId="42300"/>
    <cellStyle name="Normal 4 6 5 6" xfId="1400"/>
    <cellStyle name="Normal 4 6 5 6 2" xfId="3050"/>
    <cellStyle name="Normal 4 6 5 6 2 2" xfId="11275"/>
    <cellStyle name="Normal 4 6 5 6 2 2 2" xfId="27725"/>
    <cellStyle name="Normal 4 6 5 6 2 3" xfId="19500"/>
    <cellStyle name="Normal 4 6 5 6 2 4" xfId="35954"/>
    <cellStyle name="Normal 4 6 5 6 3" xfId="4695"/>
    <cellStyle name="Normal 4 6 5 6 3 2" xfId="12920"/>
    <cellStyle name="Normal 4 6 5 6 3 2 2" xfId="29370"/>
    <cellStyle name="Normal 4 6 5 6 3 3" xfId="21145"/>
    <cellStyle name="Normal 4 6 5 6 3 4" xfId="37599"/>
    <cellStyle name="Normal 4 6 5 6 4" xfId="6340"/>
    <cellStyle name="Normal 4 6 5 6 4 2" xfId="14565"/>
    <cellStyle name="Normal 4 6 5 6 4 2 2" xfId="31015"/>
    <cellStyle name="Normal 4 6 5 6 4 3" xfId="22790"/>
    <cellStyle name="Normal 4 6 5 6 4 4" xfId="39244"/>
    <cellStyle name="Normal 4 6 5 6 5" xfId="7985"/>
    <cellStyle name="Normal 4 6 5 6 5 2" xfId="16210"/>
    <cellStyle name="Normal 4 6 5 6 5 2 2" xfId="32660"/>
    <cellStyle name="Normal 4 6 5 6 5 3" xfId="24435"/>
    <cellStyle name="Normal 4 6 5 6 5 4" xfId="40889"/>
    <cellStyle name="Normal 4 6 5 6 6" xfId="9630"/>
    <cellStyle name="Normal 4 6 5 6 6 2" xfId="26080"/>
    <cellStyle name="Normal 4 6 5 6 7" xfId="17854"/>
    <cellStyle name="Normal 4 6 5 6 8" xfId="34308"/>
    <cellStyle name="Normal 4 6 5 7" xfId="1635"/>
    <cellStyle name="Normal 4 6 5 7 2" xfId="3285"/>
    <cellStyle name="Normal 4 6 5 7 2 2" xfId="11510"/>
    <cellStyle name="Normal 4 6 5 7 2 2 2" xfId="27960"/>
    <cellStyle name="Normal 4 6 5 7 2 3" xfId="19735"/>
    <cellStyle name="Normal 4 6 5 7 2 4" xfId="36189"/>
    <cellStyle name="Normal 4 6 5 7 3" xfId="4930"/>
    <cellStyle name="Normal 4 6 5 7 3 2" xfId="13155"/>
    <cellStyle name="Normal 4 6 5 7 3 2 2" xfId="29605"/>
    <cellStyle name="Normal 4 6 5 7 3 3" xfId="21380"/>
    <cellStyle name="Normal 4 6 5 7 3 4" xfId="37834"/>
    <cellStyle name="Normal 4 6 5 7 4" xfId="6575"/>
    <cellStyle name="Normal 4 6 5 7 4 2" xfId="14800"/>
    <cellStyle name="Normal 4 6 5 7 4 2 2" xfId="31250"/>
    <cellStyle name="Normal 4 6 5 7 4 3" xfId="23025"/>
    <cellStyle name="Normal 4 6 5 7 4 4" xfId="39479"/>
    <cellStyle name="Normal 4 6 5 7 5" xfId="8220"/>
    <cellStyle name="Normal 4 6 5 7 5 2" xfId="16445"/>
    <cellStyle name="Normal 4 6 5 7 5 2 2" xfId="32895"/>
    <cellStyle name="Normal 4 6 5 7 5 3" xfId="24670"/>
    <cellStyle name="Normal 4 6 5 7 5 4" xfId="41124"/>
    <cellStyle name="Normal 4 6 5 7 6" xfId="9865"/>
    <cellStyle name="Normal 4 6 5 7 6 2" xfId="26315"/>
    <cellStyle name="Normal 4 6 5 7 7" xfId="18089"/>
    <cellStyle name="Normal 4 6 5 7 8" xfId="34543"/>
    <cellStyle name="Normal 4 6 5 8" xfId="1870"/>
    <cellStyle name="Normal 4 6 5 8 2" xfId="10100"/>
    <cellStyle name="Normal 4 6 5 8 2 2" xfId="26550"/>
    <cellStyle name="Normal 4 6 5 8 3" xfId="18324"/>
    <cellStyle name="Normal 4 6 5 8 4" xfId="34778"/>
    <cellStyle name="Normal 4 6 5 9" xfId="3520"/>
    <cellStyle name="Normal 4 6 5 9 2" xfId="11745"/>
    <cellStyle name="Normal 4 6 5 9 2 2" xfId="28195"/>
    <cellStyle name="Normal 4 6 5 9 3" xfId="19970"/>
    <cellStyle name="Normal 4 6 5 9 4" xfId="36424"/>
    <cellStyle name="Normal 4 6 6" xfId="195"/>
    <cellStyle name="Normal 4 6 6 10" xfId="5192"/>
    <cellStyle name="Normal 4 6 6 10 2" xfId="13417"/>
    <cellStyle name="Normal 4 6 6 10 2 2" xfId="29867"/>
    <cellStyle name="Normal 4 6 6 10 3" xfId="21642"/>
    <cellStyle name="Normal 4 6 6 10 4" xfId="38096"/>
    <cellStyle name="Normal 4 6 6 11" xfId="6837"/>
    <cellStyle name="Normal 4 6 6 11 2" xfId="15062"/>
    <cellStyle name="Normal 4 6 6 11 2 2" xfId="31512"/>
    <cellStyle name="Normal 4 6 6 11 3" xfId="23287"/>
    <cellStyle name="Normal 4 6 6 11 4" xfId="39741"/>
    <cellStyle name="Normal 4 6 6 12" xfId="8482"/>
    <cellStyle name="Normal 4 6 6 12 2" xfId="24932"/>
    <cellStyle name="Normal 4 6 6 13" xfId="16706"/>
    <cellStyle name="Normal 4 6 6 14" xfId="33159"/>
    <cellStyle name="Normal 4 6 6 15" xfId="41387"/>
    <cellStyle name="Normal 4 6 6 2" xfId="438"/>
    <cellStyle name="Normal 4 6 6 2 2" xfId="2135"/>
    <cellStyle name="Normal 4 6 6 2 2 2" xfId="10362"/>
    <cellStyle name="Normal 4 6 6 2 2 2 2" xfId="26812"/>
    <cellStyle name="Normal 4 6 6 2 2 3" xfId="18587"/>
    <cellStyle name="Normal 4 6 6 2 2 4" xfId="35041"/>
    <cellStyle name="Normal 4 6 6 2 3" xfId="3782"/>
    <cellStyle name="Normal 4 6 6 2 3 2" xfId="12007"/>
    <cellStyle name="Normal 4 6 6 2 3 2 2" xfId="28457"/>
    <cellStyle name="Normal 4 6 6 2 3 3" xfId="20232"/>
    <cellStyle name="Normal 4 6 6 2 3 4" xfId="36686"/>
    <cellStyle name="Normal 4 6 6 2 4" xfId="5427"/>
    <cellStyle name="Normal 4 6 6 2 4 2" xfId="13652"/>
    <cellStyle name="Normal 4 6 6 2 4 2 2" xfId="30102"/>
    <cellStyle name="Normal 4 6 6 2 4 3" xfId="21877"/>
    <cellStyle name="Normal 4 6 6 2 4 4" xfId="38331"/>
    <cellStyle name="Normal 4 6 6 2 5" xfId="7072"/>
    <cellStyle name="Normal 4 6 6 2 5 2" xfId="15297"/>
    <cellStyle name="Normal 4 6 6 2 5 2 2" xfId="31747"/>
    <cellStyle name="Normal 4 6 6 2 5 3" xfId="23522"/>
    <cellStyle name="Normal 4 6 6 2 5 4" xfId="39976"/>
    <cellStyle name="Normal 4 6 6 2 6" xfId="8717"/>
    <cellStyle name="Normal 4 6 6 2 6 2" xfId="25167"/>
    <cellStyle name="Normal 4 6 6 2 7" xfId="16941"/>
    <cellStyle name="Normal 4 6 6 2 8" xfId="33395"/>
    <cellStyle name="Normal 4 6 6 2 9" xfId="41622"/>
    <cellStyle name="Normal 4 6 6 3" xfId="677"/>
    <cellStyle name="Normal 4 6 6 3 2" xfId="2372"/>
    <cellStyle name="Normal 4 6 6 3 2 2" xfId="10597"/>
    <cellStyle name="Normal 4 6 6 3 2 2 2" xfId="27047"/>
    <cellStyle name="Normal 4 6 6 3 2 3" xfId="18822"/>
    <cellStyle name="Normal 4 6 6 3 2 4" xfId="35276"/>
    <cellStyle name="Normal 4 6 6 3 3" xfId="4017"/>
    <cellStyle name="Normal 4 6 6 3 3 2" xfId="12242"/>
    <cellStyle name="Normal 4 6 6 3 3 2 2" xfId="28692"/>
    <cellStyle name="Normal 4 6 6 3 3 3" xfId="20467"/>
    <cellStyle name="Normal 4 6 6 3 3 4" xfId="36921"/>
    <cellStyle name="Normal 4 6 6 3 4" xfId="5662"/>
    <cellStyle name="Normal 4 6 6 3 4 2" xfId="13887"/>
    <cellStyle name="Normal 4 6 6 3 4 2 2" xfId="30337"/>
    <cellStyle name="Normal 4 6 6 3 4 3" xfId="22112"/>
    <cellStyle name="Normal 4 6 6 3 4 4" xfId="38566"/>
    <cellStyle name="Normal 4 6 6 3 5" xfId="7307"/>
    <cellStyle name="Normal 4 6 6 3 5 2" xfId="15532"/>
    <cellStyle name="Normal 4 6 6 3 5 2 2" xfId="31982"/>
    <cellStyle name="Normal 4 6 6 3 5 3" xfId="23757"/>
    <cellStyle name="Normal 4 6 6 3 5 4" xfId="40211"/>
    <cellStyle name="Normal 4 6 6 3 6" xfId="8952"/>
    <cellStyle name="Normal 4 6 6 3 6 2" xfId="25402"/>
    <cellStyle name="Normal 4 6 6 3 7" xfId="17176"/>
    <cellStyle name="Normal 4 6 6 3 8" xfId="33630"/>
    <cellStyle name="Normal 4 6 6 3 9" xfId="41857"/>
    <cellStyle name="Normal 4 6 6 4" xfId="912"/>
    <cellStyle name="Normal 4 6 6 4 2" xfId="2607"/>
    <cellStyle name="Normal 4 6 6 4 2 2" xfId="10832"/>
    <cellStyle name="Normal 4 6 6 4 2 2 2" xfId="27282"/>
    <cellStyle name="Normal 4 6 6 4 2 3" xfId="19057"/>
    <cellStyle name="Normal 4 6 6 4 2 4" xfId="35511"/>
    <cellStyle name="Normal 4 6 6 4 3" xfId="4252"/>
    <cellStyle name="Normal 4 6 6 4 3 2" xfId="12477"/>
    <cellStyle name="Normal 4 6 6 4 3 2 2" xfId="28927"/>
    <cellStyle name="Normal 4 6 6 4 3 3" xfId="20702"/>
    <cellStyle name="Normal 4 6 6 4 3 4" xfId="37156"/>
    <cellStyle name="Normal 4 6 6 4 4" xfId="5897"/>
    <cellStyle name="Normal 4 6 6 4 4 2" xfId="14122"/>
    <cellStyle name="Normal 4 6 6 4 4 2 2" xfId="30572"/>
    <cellStyle name="Normal 4 6 6 4 4 3" xfId="22347"/>
    <cellStyle name="Normal 4 6 6 4 4 4" xfId="38801"/>
    <cellStyle name="Normal 4 6 6 4 5" xfId="7542"/>
    <cellStyle name="Normal 4 6 6 4 5 2" xfId="15767"/>
    <cellStyle name="Normal 4 6 6 4 5 2 2" xfId="32217"/>
    <cellStyle name="Normal 4 6 6 4 5 3" xfId="23992"/>
    <cellStyle name="Normal 4 6 6 4 5 4" xfId="40446"/>
    <cellStyle name="Normal 4 6 6 4 6" xfId="9187"/>
    <cellStyle name="Normal 4 6 6 4 6 2" xfId="25637"/>
    <cellStyle name="Normal 4 6 6 4 7" xfId="17411"/>
    <cellStyle name="Normal 4 6 6 4 8" xfId="33865"/>
    <cellStyle name="Normal 4 6 6 4 9" xfId="42092"/>
    <cellStyle name="Normal 4 6 6 5" xfId="1147"/>
    <cellStyle name="Normal 4 6 6 5 2" xfId="2842"/>
    <cellStyle name="Normal 4 6 6 5 2 2" xfId="11067"/>
    <cellStyle name="Normal 4 6 6 5 2 2 2" xfId="27517"/>
    <cellStyle name="Normal 4 6 6 5 2 3" xfId="19292"/>
    <cellStyle name="Normal 4 6 6 5 2 4" xfId="35746"/>
    <cellStyle name="Normal 4 6 6 5 3" xfId="4487"/>
    <cellStyle name="Normal 4 6 6 5 3 2" xfId="12712"/>
    <cellStyle name="Normal 4 6 6 5 3 2 2" xfId="29162"/>
    <cellStyle name="Normal 4 6 6 5 3 3" xfId="20937"/>
    <cellStyle name="Normal 4 6 6 5 3 4" xfId="37391"/>
    <cellStyle name="Normal 4 6 6 5 4" xfId="6132"/>
    <cellStyle name="Normal 4 6 6 5 4 2" xfId="14357"/>
    <cellStyle name="Normal 4 6 6 5 4 2 2" xfId="30807"/>
    <cellStyle name="Normal 4 6 6 5 4 3" xfId="22582"/>
    <cellStyle name="Normal 4 6 6 5 4 4" xfId="39036"/>
    <cellStyle name="Normal 4 6 6 5 5" xfId="7777"/>
    <cellStyle name="Normal 4 6 6 5 5 2" xfId="16002"/>
    <cellStyle name="Normal 4 6 6 5 5 2 2" xfId="32452"/>
    <cellStyle name="Normal 4 6 6 5 5 3" xfId="24227"/>
    <cellStyle name="Normal 4 6 6 5 5 4" xfId="40681"/>
    <cellStyle name="Normal 4 6 6 5 6" xfId="9422"/>
    <cellStyle name="Normal 4 6 6 5 6 2" xfId="25872"/>
    <cellStyle name="Normal 4 6 6 5 7" xfId="17646"/>
    <cellStyle name="Normal 4 6 6 5 8" xfId="34100"/>
    <cellStyle name="Normal 4 6 6 5 9" xfId="42327"/>
    <cellStyle name="Normal 4 6 6 6" xfId="1427"/>
    <cellStyle name="Normal 4 6 6 6 2" xfId="3077"/>
    <cellStyle name="Normal 4 6 6 6 2 2" xfId="11302"/>
    <cellStyle name="Normal 4 6 6 6 2 2 2" xfId="27752"/>
    <cellStyle name="Normal 4 6 6 6 2 3" xfId="19527"/>
    <cellStyle name="Normal 4 6 6 6 2 4" xfId="35981"/>
    <cellStyle name="Normal 4 6 6 6 3" xfId="4722"/>
    <cellStyle name="Normal 4 6 6 6 3 2" xfId="12947"/>
    <cellStyle name="Normal 4 6 6 6 3 2 2" xfId="29397"/>
    <cellStyle name="Normal 4 6 6 6 3 3" xfId="21172"/>
    <cellStyle name="Normal 4 6 6 6 3 4" xfId="37626"/>
    <cellStyle name="Normal 4 6 6 6 4" xfId="6367"/>
    <cellStyle name="Normal 4 6 6 6 4 2" xfId="14592"/>
    <cellStyle name="Normal 4 6 6 6 4 2 2" xfId="31042"/>
    <cellStyle name="Normal 4 6 6 6 4 3" xfId="22817"/>
    <cellStyle name="Normal 4 6 6 6 4 4" xfId="39271"/>
    <cellStyle name="Normal 4 6 6 6 5" xfId="8012"/>
    <cellStyle name="Normal 4 6 6 6 5 2" xfId="16237"/>
    <cellStyle name="Normal 4 6 6 6 5 2 2" xfId="32687"/>
    <cellStyle name="Normal 4 6 6 6 5 3" xfId="24462"/>
    <cellStyle name="Normal 4 6 6 6 5 4" xfId="40916"/>
    <cellStyle name="Normal 4 6 6 6 6" xfId="9657"/>
    <cellStyle name="Normal 4 6 6 6 6 2" xfId="26107"/>
    <cellStyle name="Normal 4 6 6 6 7" xfId="17881"/>
    <cellStyle name="Normal 4 6 6 6 8" xfId="34335"/>
    <cellStyle name="Normal 4 6 6 7" xfId="1662"/>
    <cellStyle name="Normal 4 6 6 7 2" xfId="3312"/>
    <cellStyle name="Normal 4 6 6 7 2 2" xfId="11537"/>
    <cellStyle name="Normal 4 6 6 7 2 2 2" xfId="27987"/>
    <cellStyle name="Normal 4 6 6 7 2 3" xfId="19762"/>
    <cellStyle name="Normal 4 6 6 7 2 4" xfId="36216"/>
    <cellStyle name="Normal 4 6 6 7 3" xfId="4957"/>
    <cellStyle name="Normal 4 6 6 7 3 2" xfId="13182"/>
    <cellStyle name="Normal 4 6 6 7 3 2 2" xfId="29632"/>
    <cellStyle name="Normal 4 6 6 7 3 3" xfId="21407"/>
    <cellStyle name="Normal 4 6 6 7 3 4" xfId="37861"/>
    <cellStyle name="Normal 4 6 6 7 4" xfId="6602"/>
    <cellStyle name="Normal 4 6 6 7 4 2" xfId="14827"/>
    <cellStyle name="Normal 4 6 6 7 4 2 2" xfId="31277"/>
    <cellStyle name="Normal 4 6 6 7 4 3" xfId="23052"/>
    <cellStyle name="Normal 4 6 6 7 4 4" xfId="39506"/>
    <cellStyle name="Normal 4 6 6 7 5" xfId="8247"/>
    <cellStyle name="Normal 4 6 6 7 5 2" xfId="16472"/>
    <cellStyle name="Normal 4 6 6 7 5 2 2" xfId="32922"/>
    <cellStyle name="Normal 4 6 6 7 5 3" xfId="24697"/>
    <cellStyle name="Normal 4 6 6 7 5 4" xfId="41151"/>
    <cellStyle name="Normal 4 6 6 7 6" xfId="9892"/>
    <cellStyle name="Normal 4 6 6 7 6 2" xfId="26342"/>
    <cellStyle name="Normal 4 6 6 7 7" xfId="18116"/>
    <cellStyle name="Normal 4 6 6 7 8" xfId="34570"/>
    <cellStyle name="Normal 4 6 6 8" xfId="1897"/>
    <cellStyle name="Normal 4 6 6 8 2" xfId="10127"/>
    <cellStyle name="Normal 4 6 6 8 2 2" xfId="26577"/>
    <cellStyle name="Normal 4 6 6 8 3" xfId="18351"/>
    <cellStyle name="Normal 4 6 6 8 4" xfId="34805"/>
    <cellStyle name="Normal 4 6 6 9" xfId="3547"/>
    <cellStyle name="Normal 4 6 6 9 2" xfId="11772"/>
    <cellStyle name="Normal 4 6 6 9 2 2" xfId="28222"/>
    <cellStyle name="Normal 4 6 6 9 3" xfId="19997"/>
    <cellStyle name="Normal 4 6 6 9 4" xfId="36451"/>
    <cellStyle name="Normal 4 6 7" xfId="222"/>
    <cellStyle name="Normal 4 6 7 10" xfId="5219"/>
    <cellStyle name="Normal 4 6 7 10 2" xfId="13444"/>
    <cellStyle name="Normal 4 6 7 10 2 2" xfId="29894"/>
    <cellStyle name="Normal 4 6 7 10 3" xfId="21669"/>
    <cellStyle name="Normal 4 6 7 10 4" xfId="38123"/>
    <cellStyle name="Normal 4 6 7 11" xfId="6864"/>
    <cellStyle name="Normal 4 6 7 11 2" xfId="15089"/>
    <cellStyle name="Normal 4 6 7 11 2 2" xfId="31539"/>
    <cellStyle name="Normal 4 6 7 11 3" xfId="23314"/>
    <cellStyle name="Normal 4 6 7 11 4" xfId="39768"/>
    <cellStyle name="Normal 4 6 7 12" xfId="8509"/>
    <cellStyle name="Normal 4 6 7 12 2" xfId="24959"/>
    <cellStyle name="Normal 4 6 7 13" xfId="16733"/>
    <cellStyle name="Normal 4 6 7 14" xfId="33186"/>
    <cellStyle name="Normal 4 6 7 15" xfId="41414"/>
    <cellStyle name="Normal 4 6 7 2" xfId="465"/>
    <cellStyle name="Normal 4 6 7 2 2" xfId="2162"/>
    <cellStyle name="Normal 4 6 7 2 2 2" xfId="10389"/>
    <cellStyle name="Normal 4 6 7 2 2 2 2" xfId="26839"/>
    <cellStyle name="Normal 4 6 7 2 2 3" xfId="18614"/>
    <cellStyle name="Normal 4 6 7 2 2 4" xfId="35068"/>
    <cellStyle name="Normal 4 6 7 2 3" xfId="3809"/>
    <cellStyle name="Normal 4 6 7 2 3 2" xfId="12034"/>
    <cellStyle name="Normal 4 6 7 2 3 2 2" xfId="28484"/>
    <cellStyle name="Normal 4 6 7 2 3 3" xfId="20259"/>
    <cellStyle name="Normal 4 6 7 2 3 4" xfId="36713"/>
    <cellStyle name="Normal 4 6 7 2 4" xfId="5454"/>
    <cellStyle name="Normal 4 6 7 2 4 2" xfId="13679"/>
    <cellStyle name="Normal 4 6 7 2 4 2 2" xfId="30129"/>
    <cellStyle name="Normal 4 6 7 2 4 3" xfId="21904"/>
    <cellStyle name="Normal 4 6 7 2 4 4" xfId="38358"/>
    <cellStyle name="Normal 4 6 7 2 5" xfId="7099"/>
    <cellStyle name="Normal 4 6 7 2 5 2" xfId="15324"/>
    <cellStyle name="Normal 4 6 7 2 5 2 2" xfId="31774"/>
    <cellStyle name="Normal 4 6 7 2 5 3" xfId="23549"/>
    <cellStyle name="Normal 4 6 7 2 5 4" xfId="40003"/>
    <cellStyle name="Normal 4 6 7 2 6" xfId="8744"/>
    <cellStyle name="Normal 4 6 7 2 6 2" xfId="25194"/>
    <cellStyle name="Normal 4 6 7 2 7" xfId="16968"/>
    <cellStyle name="Normal 4 6 7 2 8" xfId="33422"/>
    <cellStyle name="Normal 4 6 7 2 9" xfId="41649"/>
    <cellStyle name="Normal 4 6 7 3" xfId="704"/>
    <cellStyle name="Normal 4 6 7 3 2" xfId="2399"/>
    <cellStyle name="Normal 4 6 7 3 2 2" xfId="10624"/>
    <cellStyle name="Normal 4 6 7 3 2 2 2" xfId="27074"/>
    <cellStyle name="Normal 4 6 7 3 2 3" xfId="18849"/>
    <cellStyle name="Normal 4 6 7 3 2 4" xfId="35303"/>
    <cellStyle name="Normal 4 6 7 3 3" xfId="4044"/>
    <cellStyle name="Normal 4 6 7 3 3 2" xfId="12269"/>
    <cellStyle name="Normal 4 6 7 3 3 2 2" xfId="28719"/>
    <cellStyle name="Normal 4 6 7 3 3 3" xfId="20494"/>
    <cellStyle name="Normal 4 6 7 3 3 4" xfId="36948"/>
    <cellStyle name="Normal 4 6 7 3 4" xfId="5689"/>
    <cellStyle name="Normal 4 6 7 3 4 2" xfId="13914"/>
    <cellStyle name="Normal 4 6 7 3 4 2 2" xfId="30364"/>
    <cellStyle name="Normal 4 6 7 3 4 3" xfId="22139"/>
    <cellStyle name="Normal 4 6 7 3 4 4" xfId="38593"/>
    <cellStyle name="Normal 4 6 7 3 5" xfId="7334"/>
    <cellStyle name="Normal 4 6 7 3 5 2" xfId="15559"/>
    <cellStyle name="Normal 4 6 7 3 5 2 2" xfId="32009"/>
    <cellStyle name="Normal 4 6 7 3 5 3" xfId="23784"/>
    <cellStyle name="Normal 4 6 7 3 5 4" xfId="40238"/>
    <cellStyle name="Normal 4 6 7 3 6" xfId="8979"/>
    <cellStyle name="Normal 4 6 7 3 6 2" xfId="25429"/>
    <cellStyle name="Normal 4 6 7 3 7" xfId="17203"/>
    <cellStyle name="Normal 4 6 7 3 8" xfId="33657"/>
    <cellStyle name="Normal 4 6 7 3 9" xfId="41884"/>
    <cellStyle name="Normal 4 6 7 4" xfId="939"/>
    <cellStyle name="Normal 4 6 7 4 2" xfId="2634"/>
    <cellStyle name="Normal 4 6 7 4 2 2" xfId="10859"/>
    <cellStyle name="Normal 4 6 7 4 2 2 2" xfId="27309"/>
    <cellStyle name="Normal 4 6 7 4 2 3" xfId="19084"/>
    <cellStyle name="Normal 4 6 7 4 2 4" xfId="35538"/>
    <cellStyle name="Normal 4 6 7 4 3" xfId="4279"/>
    <cellStyle name="Normal 4 6 7 4 3 2" xfId="12504"/>
    <cellStyle name="Normal 4 6 7 4 3 2 2" xfId="28954"/>
    <cellStyle name="Normal 4 6 7 4 3 3" xfId="20729"/>
    <cellStyle name="Normal 4 6 7 4 3 4" xfId="37183"/>
    <cellStyle name="Normal 4 6 7 4 4" xfId="5924"/>
    <cellStyle name="Normal 4 6 7 4 4 2" xfId="14149"/>
    <cellStyle name="Normal 4 6 7 4 4 2 2" xfId="30599"/>
    <cellStyle name="Normal 4 6 7 4 4 3" xfId="22374"/>
    <cellStyle name="Normal 4 6 7 4 4 4" xfId="38828"/>
    <cellStyle name="Normal 4 6 7 4 5" xfId="7569"/>
    <cellStyle name="Normal 4 6 7 4 5 2" xfId="15794"/>
    <cellStyle name="Normal 4 6 7 4 5 2 2" xfId="32244"/>
    <cellStyle name="Normal 4 6 7 4 5 3" xfId="24019"/>
    <cellStyle name="Normal 4 6 7 4 5 4" xfId="40473"/>
    <cellStyle name="Normal 4 6 7 4 6" xfId="9214"/>
    <cellStyle name="Normal 4 6 7 4 6 2" xfId="25664"/>
    <cellStyle name="Normal 4 6 7 4 7" xfId="17438"/>
    <cellStyle name="Normal 4 6 7 4 8" xfId="33892"/>
    <cellStyle name="Normal 4 6 7 4 9" xfId="42119"/>
    <cellStyle name="Normal 4 6 7 5" xfId="1174"/>
    <cellStyle name="Normal 4 6 7 5 2" xfId="2869"/>
    <cellStyle name="Normal 4 6 7 5 2 2" xfId="11094"/>
    <cellStyle name="Normal 4 6 7 5 2 2 2" xfId="27544"/>
    <cellStyle name="Normal 4 6 7 5 2 3" xfId="19319"/>
    <cellStyle name="Normal 4 6 7 5 2 4" xfId="35773"/>
    <cellStyle name="Normal 4 6 7 5 3" xfId="4514"/>
    <cellStyle name="Normal 4 6 7 5 3 2" xfId="12739"/>
    <cellStyle name="Normal 4 6 7 5 3 2 2" xfId="29189"/>
    <cellStyle name="Normal 4 6 7 5 3 3" xfId="20964"/>
    <cellStyle name="Normal 4 6 7 5 3 4" xfId="37418"/>
    <cellStyle name="Normal 4 6 7 5 4" xfId="6159"/>
    <cellStyle name="Normal 4 6 7 5 4 2" xfId="14384"/>
    <cellStyle name="Normal 4 6 7 5 4 2 2" xfId="30834"/>
    <cellStyle name="Normal 4 6 7 5 4 3" xfId="22609"/>
    <cellStyle name="Normal 4 6 7 5 4 4" xfId="39063"/>
    <cellStyle name="Normal 4 6 7 5 5" xfId="7804"/>
    <cellStyle name="Normal 4 6 7 5 5 2" xfId="16029"/>
    <cellStyle name="Normal 4 6 7 5 5 2 2" xfId="32479"/>
    <cellStyle name="Normal 4 6 7 5 5 3" xfId="24254"/>
    <cellStyle name="Normal 4 6 7 5 5 4" xfId="40708"/>
    <cellStyle name="Normal 4 6 7 5 6" xfId="9449"/>
    <cellStyle name="Normal 4 6 7 5 6 2" xfId="25899"/>
    <cellStyle name="Normal 4 6 7 5 7" xfId="17673"/>
    <cellStyle name="Normal 4 6 7 5 8" xfId="34127"/>
    <cellStyle name="Normal 4 6 7 5 9" xfId="42354"/>
    <cellStyle name="Normal 4 6 7 6" xfId="1454"/>
    <cellStyle name="Normal 4 6 7 6 2" xfId="3104"/>
    <cellStyle name="Normal 4 6 7 6 2 2" xfId="11329"/>
    <cellStyle name="Normal 4 6 7 6 2 2 2" xfId="27779"/>
    <cellStyle name="Normal 4 6 7 6 2 3" xfId="19554"/>
    <cellStyle name="Normal 4 6 7 6 2 4" xfId="36008"/>
    <cellStyle name="Normal 4 6 7 6 3" xfId="4749"/>
    <cellStyle name="Normal 4 6 7 6 3 2" xfId="12974"/>
    <cellStyle name="Normal 4 6 7 6 3 2 2" xfId="29424"/>
    <cellStyle name="Normal 4 6 7 6 3 3" xfId="21199"/>
    <cellStyle name="Normal 4 6 7 6 3 4" xfId="37653"/>
    <cellStyle name="Normal 4 6 7 6 4" xfId="6394"/>
    <cellStyle name="Normal 4 6 7 6 4 2" xfId="14619"/>
    <cellStyle name="Normal 4 6 7 6 4 2 2" xfId="31069"/>
    <cellStyle name="Normal 4 6 7 6 4 3" xfId="22844"/>
    <cellStyle name="Normal 4 6 7 6 4 4" xfId="39298"/>
    <cellStyle name="Normal 4 6 7 6 5" xfId="8039"/>
    <cellStyle name="Normal 4 6 7 6 5 2" xfId="16264"/>
    <cellStyle name="Normal 4 6 7 6 5 2 2" xfId="32714"/>
    <cellStyle name="Normal 4 6 7 6 5 3" xfId="24489"/>
    <cellStyle name="Normal 4 6 7 6 5 4" xfId="40943"/>
    <cellStyle name="Normal 4 6 7 6 6" xfId="9684"/>
    <cellStyle name="Normal 4 6 7 6 6 2" xfId="26134"/>
    <cellStyle name="Normal 4 6 7 6 7" xfId="17908"/>
    <cellStyle name="Normal 4 6 7 6 8" xfId="34362"/>
    <cellStyle name="Normal 4 6 7 7" xfId="1689"/>
    <cellStyle name="Normal 4 6 7 7 2" xfId="3339"/>
    <cellStyle name="Normal 4 6 7 7 2 2" xfId="11564"/>
    <cellStyle name="Normal 4 6 7 7 2 2 2" xfId="28014"/>
    <cellStyle name="Normal 4 6 7 7 2 3" xfId="19789"/>
    <cellStyle name="Normal 4 6 7 7 2 4" xfId="36243"/>
    <cellStyle name="Normal 4 6 7 7 3" xfId="4984"/>
    <cellStyle name="Normal 4 6 7 7 3 2" xfId="13209"/>
    <cellStyle name="Normal 4 6 7 7 3 2 2" xfId="29659"/>
    <cellStyle name="Normal 4 6 7 7 3 3" xfId="21434"/>
    <cellStyle name="Normal 4 6 7 7 3 4" xfId="37888"/>
    <cellStyle name="Normal 4 6 7 7 4" xfId="6629"/>
    <cellStyle name="Normal 4 6 7 7 4 2" xfId="14854"/>
    <cellStyle name="Normal 4 6 7 7 4 2 2" xfId="31304"/>
    <cellStyle name="Normal 4 6 7 7 4 3" xfId="23079"/>
    <cellStyle name="Normal 4 6 7 7 4 4" xfId="39533"/>
    <cellStyle name="Normal 4 6 7 7 5" xfId="8274"/>
    <cellStyle name="Normal 4 6 7 7 5 2" xfId="16499"/>
    <cellStyle name="Normal 4 6 7 7 5 2 2" xfId="32949"/>
    <cellStyle name="Normal 4 6 7 7 5 3" xfId="24724"/>
    <cellStyle name="Normal 4 6 7 7 5 4" xfId="41178"/>
    <cellStyle name="Normal 4 6 7 7 6" xfId="9919"/>
    <cellStyle name="Normal 4 6 7 7 6 2" xfId="26369"/>
    <cellStyle name="Normal 4 6 7 7 7" xfId="18143"/>
    <cellStyle name="Normal 4 6 7 7 8" xfId="34597"/>
    <cellStyle name="Normal 4 6 7 8" xfId="1924"/>
    <cellStyle name="Normal 4 6 7 8 2" xfId="10154"/>
    <cellStyle name="Normal 4 6 7 8 2 2" xfId="26604"/>
    <cellStyle name="Normal 4 6 7 8 3" xfId="18378"/>
    <cellStyle name="Normal 4 6 7 8 4" xfId="34832"/>
    <cellStyle name="Normal 4 6 7 9" xfId="3574"/>
    <cellStyle name="Normal 4 6 7 9 2" xfId="11799"/>
    <cellStyle name="Normal 4 6 7 9 2 2" xfId="28249"/>
    <cellStyle name="Normal 4 6 7 9 3" xfId="20024"/>
    <cellStyle name="Normal 4 6 7 9 4" xfId="36478"/>
    <cellStyle name="Normal 4 6 8" xfId="251"/>
    <cellStyle name="Normal 4 6 8 10" xfId="5246"/>
    <cellStyle name="Normal 4 6 8 10 2" xfId="13471"/>
    <cellStyle name="Normal 4 6 8 10 2 2" xfId="29921"/>
    <cellStyle name="Normal 4 6 8 10 3" xfId="21696"/>
    <cellStyle name="Normal 4 6 8 10 4" xfId="38150"/>
    <cellStyle name="Normal 4 6 8 11" xfId="6891"/>
    <cellStyle name="Normal 4 6 8 11 2" xfId="15116"/>
    <cellStyle name="Normal 4 6 8 11 2 2" xfId="31566"/>
    <cellStyle name="Normal 4 6 8 11 3" xfId="23341"/>
    <cellStyle name="Normal 4 6 8 11 4" xfId="39795"/>
    <cellStyle name="Normal 4 6 8 12" xfId="8536"/>
    <cellStyle name="Normal 4 6 8 12 2" xfId="24986"/>
    <cellStyle name="Normal 4 6 8 13" xfId="16760"/>
    <cellStyle name="Normal 4 6 8 14" xfId="33213"/>
    <cellStyle name="Normal 4 6 8 15" xfId="41441"/>
    <cellStyle name="Normal 4 6 8 2" xfId="494"/>
    <cellStyle name="Normal 4 6 8 2 2" xfId="2189"/>
    <cellStyle name="Normal 4 6 8 2 2 2" xfId="10416"/>
    <cellStyle name="Normal 4 6 8 2 2 2 2" xfId="26866"/>
    <cellStyle name="Normal 4 6 8 2 2 3" xfId="18641"/>
    <cellStyle name="Normal 4 6 8 2 2 4" xfId="35095"/>
    <cellStyle name="Normal 4 6 8 2 3" xfId="3836"/>
    <cellStyle name="Normal 4 6 8 2 3 2" xfId="12061"/>
    <cellStyle name="Normal 4 6 8 2 3 2 2" xfId="28511"/>
    <cellStyle name="Normal 4 6 8 2 3 3" xfId="20286"/>
    <cellStyle name="Normal 4 6 8 2 3 4" xfId="36740"/>
    <cellStyle name="Normal 4 6 8 2 4" xfId="5481"/>
    <cellStyle name="Normal 4 6 8 2 4 2" xfId="13706"/>
    <cellStyle name="Normal 4 6 8 2 4 2 2" xfId="30156"/>
    <cellStyle name="Normal 4 6 8 2 4 3" xfId="21931"/>
    <cellStyle name="Normal 4 6 8 2 4 4" xfId="38385"/>
    <cellStyle name="Normal 4 6 8 2 5" xfId="7126"/>
    <cellStyle name="Normal 4 6 8 2 5 2" xfId="15351"/>
    <cellStyle name="Normal 4 6 8 2 5 2 2" xfId="31801"/>
    <cellStyle name="Normal 4 6 8 2 5 3" xfId="23576"/>
    <cellStyle name="Normal 4 6 8 2 5 4" xfId="40030"/>
    <cellStyle name="Normal 4 6 8 2 6" xfId="8771"/>
    <cellStyle name="Normal 4 6 8 2 6 2" xfId="25221"/>
    <cellStyle name="Normal 4 6 8 2 7" xfId="16995"/>
    <cellStyle name="Normal 4 6 8 2 8" xfId="33449"/>
    <cellStyle name="Normal 4 6 8 2 9" xfId="41676"/>
    <cellStyle name="Normal 4 6 8 3" xfId="731"/>
    <cellStyle name="Normal 4 6 8 3 2" xfId="2426"/>
    <cellStyle name="Normal 4 6 8 3 2 2" xfId="10651"/>
    <cellStyle name="Normal 4 6 8 3 2 2 2" xfId="27101"/>
    <cellStyle name="Normal 4 6 8 3 2 3" xfId="18876"/>
    <cellStyle name="Normal 4 6 8 3 2 4" xfId="35330"/>
    <cellStyle name="Normal 4 6 8 3 3" xfId="4071"/>
    <cellStyle name="Normal 4 6 8 3 3 2" xfId="12296"/>
    <cellStyle name="Normal 4 6 8 3 3 2 2" xfId="28746"/>
    <cellStyle name="Normal 4 6 8 3 3 3" xfId="20521"/>
    <cellStyle name="Normal 4 6 8 3 3 4" xfId="36975"/>
    <cellStyle name="Normal 4 6 8 3 4" xfId="5716"/>
    <cellStyle name="Normal 4 6 8 3 4 2" xfId="13941"/>
    <cellStyle name="Normal 4 6 8 3 4 2 2" xfId="30391"/>
    <cellStyle name="Normal 4 6 8 3 4 3" xfId="22166"/>
    <cellStyle name="Normal 4 6 8 3 4 4" xfId="38620"/>
    <cellStyle name="Normal 4 6 8 3 5" xfId="7361"/>
    <cellStyle name="Normal 4 6 8 3 5 2" xfId="15586"/>
    <cellStyle name="Normal 4 6 8 3 5 2 2" xfId="32036"/>
    <cellStyle name="Normal 4 6 8 3 5 3" xfId="23811"/>
    <cellStyle name="Normal 4 6 8 3 5 4" xfId="40265"/>
    <cellStyle name="Normal 4 6 8 3 6" xfId="9006"/>
    <cellStyle name="Normal 4 6 8 3 6 2" xfId="25456"/>
    <cellStyle name="Normal 4 6 8 3 7" xfId="17230"/>
    <cellStyle name="Normal 4 6 8 3 8" xfId="33684"/>
    <cellStyle name="Normal 4 6 8 3 9" xfId="41911"/>
    <cellStyle name="Normal 4 6 8 4" xfId="966"/>
    <cellStyle name="Normal 4 6 8 4 2" xfId="2661"/>
    <cellStyle name="Normal 4 6 8 4 2 2" xfId="10886"/>
    <cellStyle name="Normal 4 6 8 4 2 2 2" xfId="27336"/>
    <cellStyle name="Normal 4 6 8 4 2 3" xfId="19111"/>
    <cellStyle name="Normal 4 6 8 4 2 4" xfId="35565"/>
    <cellStyle name="Normal 4 6 8 4 3" xfId="4306"/>
    <cellStyle name="Normal 4 6 8 4 3 2" xfId="12531"/>
    <cellStyle name="Normal 4 6 8 4 3 2 2" xfId="28981"/>
    <cellStyle name="Normal 4 6 8 4 3 3" xfId="20756"/>
    <cellStyle name="Normal 4 6 8 4 3 4" xfId="37210"/>
    <cellStyle name="Normal 4 6 8 4 4" xfId="5951"/>
    <cellStyle name="Normal 4 6 8 4 4 2" xfId="14176"/>
    <cellStyle name="Normal 4 6 8 4 4 2 2" xfId="30626"/>
    <cellStyle name="Normal 4 6 8 4 4 3" xfId="22401"/>
    <cellStyle name="Normal 4 6 8 4 4 4" xfId="38855"/>
    <cellStyle name="Normal 4 6 8 4 5" xfId="7596"/>
    <cellStyle name="Normal 4 6 8 4 5 2" xfId="15821"/>
    <cellStyle name="Normal 4 6 8 4 5 2 2" xfId="32271"/>
    <cellStyle name="Normal 4 6 8 4 5 3" xfId="24046"/>
    <cellStyle name="Normal 4 6 8 4 5 4" xfId="40500"/>
    <cellStyle name="Normal 4 6 8 4 6" xfId="9241"/>
    <cellStyle name="Normal 4 6 8 4 6 2" xfId="25691"/>
    <cellStyle name="Normal 4 6 8 4 7" xfId="17465"/>
    <cellStyle name="Normal 4 6 8 4 8" xfId="33919"/>
    <cellStyle name="Normal 4 6 8 4 9" xfId="42146"/>
    <cellStyle name="Normal 4 6 8 5" xfId="1201"/>
    <cellStyle name="Normal 4 6 8 5 2" xfId="2896"/>
    <cellStyle name="Normal 4 6 8 5 2 2" xfId="11121"/>
    <cellStyle name="Normal 4 6 8 5 2 2 2" xfId="27571"/>
    <cellStyle name="Normal 4 6 8 5 2 3" xfId="19346"/>
    <cellStyle name="Normal 4 6 8 5 2 4" xfId="35800"/>
    <cellStyle name="Normal 4 6 8 5 3" xfId="4541"/>
    <cellStyle name="Normal 4 6 8 5 3 2" xfId="12766"/>
    <cellStyle name="Normal 4 6 8 5 3 2 2" xfId="29216"/>
    <cellStyle name="Normal 4 6 8 5 3 3" xfId="20991"/>
    <cellStyle name="Normal 4 6 8 5 3 4" xfId="37445"/>
    <cellStyle name="Normal 4 6 8 5 4" xfId="6186"/>
    <cellStyle name="Normal 4 6 8 5 4 2" xfId="14411"/>
    <cellStyle name="Normal 4 6 8 5 4 2 2" xfId="30861"/>
    <cellStyle name="Normal 4 6 8 5 4 3" xfId="22636"/>
    <cellStyle name="Normal 4 6 8 5 4 4" xfId="39090"/>
    <cellStyle name="Normal 4 6 8 5 5" xfId="7831"/>
    <cellStyle name="Normal 4 6 8 5 5 2" xfId="16056"/>
    <cellStyle name="Normal 4 6 8 5 5 2 2" xfId="32506"/>
    <cellStyle name="Normal 4 6 8 5 5 3" xfId="24281"/>
    <cellStyle name="Normal 4 6 8 5 5 4" xfId="40735"/>
    <cellStyle name="Normal 4 6 8 5 6" xfId="9476"/>
    <cellStyle name="Normal 4 6 8 5 6 2" xfId="25926"/>
    <cellStyle name="Normal 4 6 8 5 7" xfId="17700"/>
    <cellStyle name="Normal 4 6 8 5 8" xfId="34154"/>
    <cellStyle name="Normal 4 6 8 5 9" xfId="42381"/>
    <cellStyle name="Normal 4 6 8 6" xfId="1481"/>
    <cellStyle name="Normal 4 6 8 6 2" xfId="3131"/>
    <cellStyle name="Normal 4 6 8 6 2 2" xfId="11356"/>
    <cellStyle name="Normal 4 6 8 6 2 2 2" xfId="27806"/>
    <cellStyle name="Normal 4 6 8 6 2 3" xfId="19581"/>
    <cellStyle name="Normal 4 6 8 6 2 4" xfId="36035"/>
    <cellStyle name="Normal 4 6 8 6 3" xfId="4776"/>
    <cellStyle name="Normal 4 6 8 6 3 2" xfId="13001"/>
    <cellStyle name="Normal 4 6 8 6 3 2 2" xfId="29451"/>
    <cellStyle name="Normal 4 6 8 6 3 3" xfId="21226"/>
    <cellStyle name="Normal 4 6 8 6 3 4" xfId="37680"/>
    <cellStyle name="Normal 4 6 8 6 4" xfId="6421"/>
    <cellStyle name="Normal 4 6 8 6 4 2" xfId="14646"/>
    <cellStyle name="Normal 4 6 8 6 4 2 2" xfId="31096"/>
    <cellStyle name="Normal 4 6 8 6 4 3" xfId="22871"/>
    <cellStyle name="Normal 4 6 8 6 4 4" xfId="39325"/>
    <cellStyle name="Normal 4 6 8 6 5" xfId="8066"/>
    <cellStyle name="Normal 4 6 8 6 5 2" xfId="16291"/>
    <cellStyle name="Normal 4 6 8 6 5 2 2" xfId="32741"/>
    <cellStyle name="Normal 4 6 8 6 5 3" xfId="24516"/>
    <cellStyle name="Normal 4 6 8 6 5 4" xfId="40970"/>
    <cellStyle name="Normal 4 6 8 6 6" xfId="9711"/>
    <cellStyle name="Normal 4 6 8 6 6 2" xfId="26161"/>
    <cellStyle name="Normal 4 6 8 6 7" xfId="17935"/>
    <cellStyle name="Normal 4 6 8 6 8" xfId="34389"/>
    <cellStyle name="Normal 4 6 8 7" xfId="1716"/>
    <cellStyle name="Normal 4 6 8 7 2" xfId="3366"/>
    <cellStyle name="Normal 4 6 8 7 2 2" xfId="11591"/>
    <cellStyle name="Normal 4 6 8 7 2 2 2" xfId="28041"/>
    <cellStyle name="Normal 4 6 8 7 2 3" xfId="19816"/>
    <cellStyle name="Normal 4 6 8 7 2 4" xfId="36270"/>
    <cellStyle name="Normal 4 6 8 7 3" xfId="5011"/>
    <cellStyle name="Normal 4 6 8 7 3 2" xfId="13236"/>
    <cellStyle name="Normal 4 6 8 7 3 2 2" xfId="29686"/>
    <cellStyle name="Normal 4 6 8 7 3 3" xfId="21461"/>
    <cellStyle name="Normal 4 6 8 7 3 4" xfId="37915"/>
    <cellStyle name="Normal 4 6 8 7 4" xfId="6656"/>
    <cellStyle name="Normal 4 6 8 7 4 2" xfId="14881"/>
    <cellStyle name="Normal 4 6 8 7 4 2 2" xfId="31331"/>
    <cellStyle name="Normal 4 6 8 7 4 3" xfId="23106"/>
    <cellStyle name="Normal 4 6 8 7 4 4" xfId="39560"/>
    <cellStyle name="Normal 4 6 8 7 5" xfId="8301"/>
    <cellStyle name="Normal 4 6 8 7 5 2" xfId="16526"/>
    <cellStyle name="Normal 4 6 8 7 5 2 2" xfId="32976"/>
    <cellStyle name="Normal 4 6 8 7 5 3" xfId="24751"/>
    <cellStyle name="Normal 4 6 8 7 5 4" xfId="41205"/>
    <cellStyle name="Normal 4 6 8 7 6" xfId="9946"/>
    <cellStyle name="Normal 4 6 8 7 6 2" xfId="26396"/>
    <cellStyle name="Normal 4 6 8 7 7" xfId="18170"/>
    <cellStyle name="Normal 4 6 8 7 8" xfId="34624"/>
    <cellStyle name="Normal 4 6 8 8" xfId="1951"/>
    <cellStyle name="Normal 4 6 8 8 2" xfId="10181"/>
    <cellStyle name="Normal 4 6 8 8 2 2" xfId="26631"/>
    <cellStyle name="Normal 4 6 8 8 3" xfId="18405"/>
    <cellStyle name="Normal 4 6 8 8 4" xfId="34859"/>
    <cellStyle name="Normal 4 6 8 9" xfId="3601"/>
    <cellStyle name="Normal 4 6 8 9 2" xfId="11826"/>
    <cellStyle name="Normal 4 6 8 9 2 2" xfId="28276"/>
    <cellStyle name="Normal 4 6 8 9 3" xfId="20051"/>
    <cellStyle name="Normal 4 6 8 9 4" xfId="36505"/>
    <cellStyle name="Normal 4 6 9" xfId="280"/>
    <cellStyle name="Normal 4 6 9 2" xfId="1981"/>
    <cellStyle name="Normal 4 6 9 2 2" xfId="10208"/>
    <cellStyle name="Normal 4 6 9 2 2 2" xfId="26658"/>
    <cellStyle name="Normal 4 6 9 2 3" xfId="18433"/>
    <cellStyle name="Normal 4 6 9 2 4" xfId="34887"/>
    <cellStyle name="Normal 4 6 9 3" xfId="3628"/>
    <cellStyle name="Normal 4 6 9 3 2" xfId="11853"/>
    <cellStyle name="Normal 4 6 9 3 2 2" xfId="28303"/>
    <cellStyle name="Normal 4 6 9 3 3" xfId="20078"/>
    <cellStyle name="Normal 4 6 9 3 4" xfId="36532"/>
    <cellStyle name="Normal 4 6 9 4" xfId="5273"/>
    <cellStyle name="Normal 4 6 9 4 2" xfId="13498"/>
    <cellStyle name="Normal 4 6 9 4 2 2" xfId="29948"/>
    <cellStyle name="Normal 4 6 9 4 3" xfId="21723"/>
    <cellStyle name="Normal 4 6 9 4 4" xfId="38177"/>
    <cellStyle name="Normal 4 6 9 5" xfId="6918"/>
    <cellStyle name="Normal 4 6 9 5 2" xfId="15143"/>
    <cellStyle name="Normal 4 6 9 5 2 2" xfId="31593"/>
    <cellStyle name="Normal 4 6 9 5 3" xfId="23368"/>
    <cellStyle name="Normal 4 6 9 5 4" xfId="39822"/>
    <cellStyle name="Normal 4 6 9 6" xfId="8563"/>
    <cellStyle name="Normal 4 6 9 6 2" xfId="25013"/>
    <cellStyle name="Normal 4 6 9 7" xfId="16787"/>
    <cellStyle name="Normal 4 6 9 8" xfId="33241"/>
    <cellStyle name="Normal 4 6 9 9" xfId="41468"/>
    <cellStyle name="Normal 4 7" xfId="47"/>
    <cellStyle name="Normal 4 7 10" xfId="533"/>
    <cellStyle name="Normal 4 7 10 2" xfId="2228"/>
    <cellStyle name="Normal 4 7 10 2 2" xfId="10453"/>
    <cellStyle name="Normal 4 7 10 2 2 2" xfId="26903"/>
    <cellStyle name="Normal 4 7 10 2 3" xfId="18678"/>
    <cellStyle name="Normal 4 7 10 2 4" xfId="35132"/>
    <cellStyle name="Normal 4 7 10 3" xfId="3873"/>
    <cellStyle name="Normal 4 7 10 3 2" xfId="12098"/>
    <cellStyle name="Normal 4 7 10 3 2 2" xfId="28548"/>
    <cellStyle name="Normal 4 7 10 3 3" xfId="20323"/>
    <cellStyle name="Normal 4 7 10 3 4" xfId="36777"/>
    <cellStyle name="Normal 4 7 10 4" xfId="5518"/>
    <cellStyle name="Normal 4 7 10 4 2" xfId="13743"/>
    <cellStyle name="Normal 4 7 10 4 2 2" xfId="30193"/>
    <cellStyle name="Normal 4 7 10 4 3" xfId="21968"/>
    <cellStyle name="Normal 4 7 10 4 4" xfId="38422"/>
    <cellStyle name="Normal 4 7 10 5" xfId="7163"/>
    <cellStyle name="Normal 4 7 10 5 2" xfId="15388"/>
    <cellStyle name="Normal 4 7 10 5 2 2" xfId="31838"/>
    <cellStyle name="Normal 4 7 10 5 3" xfId="23613"/>
    <cellStyle name="Normal 4 7 10 5 4" xfId="40067"/>
    <cellStyle name="Normal 4 7 10 6" xfId="8808"/>
    <cellStyle name="Normal 4 7 10 6 2" xfId="25258"/>
    <cellStyle name="Normal 4 7 10 7" xfId="17032"/>
    <cellStyle name="Normal 4 7 10 8" xfId="33486"/>
    <cellStyle name="Normal 4 7 10 9" xfId="41713"/>
    <cellStyle name="Normal 4 7 11" xfId="768"/>
    <cellStyle name="Normal 4 7 11 2" xfId="2463"/>
    <cellStyle name="Normal 4 7 11 2 2" xfId="10688"/>
    <cellStyle name="Normal 4 7 11 2 2 2" xfId="27138"/>
    <cellStyle name="Normal 4 7 11 2 3" xfId="18913"/>
    <cellStyle name="Normal 4 7 11 2 4" xfId="35367"/>
    <cellStyle name="Normal 4 7 11 3" xfId="4108"/>
    <cellStyle name="Normal 4 7 11 3 2" xfId="12333"/>
    <cellStyle name="Normal 4 7 11 3 2 2" xfId="28783"/>
    <cellStyle name="Normal 4 7 11 3 3" xfId="20558"/>
    <cellStyle name="Normal 4 7 11 3 4" xfId="37012"/>
    <cellStyle name="Normal 4 7 11 4" xfId="5753"/>
    <cellStyle name="Normal 4 7 11 4 2" xfId="13978"/>
    <cellStyle name="Normal 4 7 11 4 2 2" xfId="30428"/>
    <cellStyle name="Normal 4 7 11 4 3" xfId="22203"/>
    <cellStyle name="Normal 4 7 11 4 4" xfId="38657"/>
    <cellStyle name="Normal 4 7 11 5" xfId="7398"/>
    <cellStyle name="Normal 4 7 11 5 2" xfId="15623"/>
    <cellStyle name="Normal 4 7 11 5 2 2" xfId="32073"/>
    <cellStyle name="Normal 4 7 11 5 3" xfId="23848"/>
    <cellStyle name="Normal 4 7 11 5 4" xfId="40302"/>
    <cellStyle name="Normal 4 7 11 6" xfId="9043"/>
    <cellStyle name="Normal 4 7 11 6 2" xfId="25493"/>
    <cellStyle name="Normal 4 7 11 7" xfId="17267"/>
    <cellStyle name="Normal 4 7 11 8" xfId="33721"/>
    <cellStyle name="Normal 4 7 11 9" xfId="41948"/>
    <cellStyle name="Normal 4 7 12" xfId="1003"/>
    <cellStyle name="Normal 4 7 12 2" xfId="2698"/>
    <cellStyle name="Normal 4 7 12 2 2" xfId="10923"/>
    <cellStyle name="Normal 4 7 12 2 2 2" xfId="27373"/>
    <cellStyle name="Normal 4 7 12 2 3" xfId="19148"/>
    <cellStyle name="Normal 4 7 12 2 4" xfId="35602"/>
    <cellStyle name="Normal 4 7 12 3" xfId="4343"/>
    <cellStyle name="Normal 4 7 12 3 2" xfId="12568"/>
    <cellStyle name="Normal 4 7 12 3 2 2" xfId="29018"/>
    <cellStyle name="Normal 4 7 12 3 3" xfId="20793"/>
    <cellStyle name="Normal 4 7 12 3 4" xfId="37247"/>
    <cellStyle name="Normal 4 7 12 4" xfId="5988"/>
    <cellStyle name="Normal 4 7 12 4 2" xfId="14213"/>
    <cellStyle name="Normal 4 7 12 4 2 2" xfId="30663"/>
    <cellStyle name="Normal 4 7 12 4 3" xfId="22438"/>
    <cellStyle name="Normal 4 7 12 4 4" xfId="38892"/>
    <cellStyle name="Normal 4 7 12 5" xfId="7633"/>
    <cellStyle name="Normal 4 7 12 5 2" xfId="15858"/>
    <cellStyle name="Normal 4 7 12 5 2 2" xfId="32308"/>
    <cellStyle name="Normal 4 7 12 5 3" xfId="24083"/>
    <cellStyle name="Normal 4 7 12 5 4" xfId="40537"/>
    <cellStyle name="Normal 4 7 12 6" xfId="9278"/>
    <cellStyle name="Normal 4 7 12 6 2" xfId="25728"/>
    <cellStyle name="Normal 4 7 12 7" xfId="17502"/>
    <cellStyle name="Normal 4 7 12 8" xfId="33956"/>
    <cellStyle name="Normal 4 7 12 9" xfId="42183"/>
    <cellStyle name="Normal 4 7 13" xfId="1283"/>
    <cellStyle name="Normal 4 7 13 2" xfId="2933"/>
    <cellStyle name="Normal 4 7 13 2 2" xfId="11158"/>
    <cellStyle name="Normal 4 7 13 2 2 2" xfId="27608"/>
    <cellStyle name="Normal 4 7 13 2 3" xfId="19383"/>
    <cellStyle name="Normal 4 7 13 2 4" xfId="35837"/>
    <cellStyle name="Normal 4 7 13 3" xfId="4578"/>
    <cellStyle name="Normal 4 7 13 3 2" xfId="12803"/>
    <cellStyle name="Normal 4 7 13 3 2 2" xfId="29253"/>
    <cellStyle name="Normal 4 7 13 3 3" xfId="21028"/>
    <cellStyle name="Normal 4 7 13 3 4" xfId="37482"/>
    <cellStyle name="Normal 4 7 13 4" xfId="6223"/>
    <cellStyle name="Normal 4 7 13 4 2" xfId="14448"/>
    <cellStyle name="Normal 4 7 13 4 2 2" xfId="30898"/>
    <cellStyle name="Normal 4 7 13 4 3" xfId="22673"/>
    <cellStyle name="Normal 4 7 13 4 4" xfId="39127"/>
    <cellStyle name="Normal 4 7 13 5" xfId="7868"/>
    <cellStyle name="Normal 4 7 13 5 2" xfId="16093"/>
    <cellStyle name="Normal 4 7 13 5 2 2" xfId="32543"/>
    <cellStyle name="Normal 4 7 13 5 3" xfId="24318"/>
    <cellStyle name="Normal 4 7 13 5 4" xfId="40772"/>
    <cellStyle name="Normal 4 7 13 6" xfId="9513"/>
    <cellStyle name="Normal 4 7 13 6 2" xfId="25963"/>
    <cellStyle name="Normal 4 7 13 7" xfId="17737"/>
    <cellStyle name="Normal 4 7 13 8" xfId="34191"/>
    <cellStyle name="Normal 4 7 14" xfId="1518"/>
    <cellStyle name="Normal 4 7 14 2" xfId="3168"/>
    <cellStyle name="Normal 4 7 14 2 2" xfId="11393"/>
    <cellStyle name="Normal 4 7 14 2 2 2" xfId="27843"/>
    <cellStyle name="Normal 4 7 14 2 3" xfId="19618"/>
    <cellStyle name="Normal 4 7 14 2 4" xfId="36072"/>
    <cellStyle name="Normal 4 7 14 3" xfId="4813"/>
    <cellStyle name="Normal 4 7 14 3 2" xfId="13038"/>
    <cellStyle name="Normal 4 7 14 3 2 2" xfId="29488"/>
    <cellStyle name="Normal 4 7 14 3 3" xfId="21263"/>
    <cellStyle name="Normal 4 7 14 3 4" xfId="37717"/>
    <cellStyle name="Normal 4 7 14 4" xfId="6458"/>
    <cellStyle name="Normal 4 7 14 4 2" xfId="14683"/>
    <cellStyle name="Normal 4 7 14 4 2 2" xfId="31133"/>
    <cellStyle name="Normal 4 7 14 4 3" xfId="22908"/>
    <cellStyle name="Normal 4 7 14 4 4" xfId="39362"/>
    <cellStyle name="Normal 4 7 14 5" xfId="8103"/>
    <cellStyle name="Normal 4 7 14 5 2" xfId="16328"/>
    <cellStyle name="Normal 4 7 14 5 2 2" xfId="32778"/>
    <cellStyle name="Normal 4 7 14 5 3" xfId="24553"/>
    <cellStyle name="Normal 4 7 14 5 4" xfId="41007"/>
    <cellStyle name="Normal 4 7 14 6" xfId="9748"/>
    <cellStyle name="Normal 4 7 14 6 2" xfId="26198"/>
    <cellStyle name="Normal 4 7 14 7" xfId="17972"/>
    <cellStyle name="Normal 4 7 14 8" xfId="34426"/>
    <cellStyle name="Normal 4 7 15" xfId="1753"/>
    <cellStyle name="Normal 4 7 15 2" xfId="9983"/>
    <cellStyle name="Normal 4 7 15 2 2" xfId="26433"/>
    <cellStyle name="Normal 4 7 15 3" xfId="18207"/>
    <cellStyle name="Normal 4 7 15 4" xfId="34661"/>
    <cellStyle name="Normal 4 7 16" xfId="3403"/>
    <cellStyle name="Normal 4 7 16 2" xfId="11628"/>
    <cellStyle name="Normal 4 7 16 2 2" xfId="28078"/>
    <cellStyle name="Normal 4 7 16 3" xfId="19853"/>
    <cellStyle name="Normal 4 7 16 4" xfId="36307"/>
    <cellStyle name="Normal 4 7 17" xfId="5048"/>
    <cellStyle name="Normal 4 7 17 2" xfId="13273"/>
    <cellStyle name="Normal 4 7 17 2 2" xfId="29723"/>
    <cellStyle name="Normal 4 7 17 3" xfId="21498"/>
    <cellStyle name="Normal 4 7 17 4" xfId="37952"/>
    <cellStyle name="Normal 4 7 18" xfId="6693"/>
    <cellStyle name="Normal 4 7 18 2" xfId="14918"/>
    <cellStyle name="Normal 4 7 18 2 2" xfId="31368"/>
    <cellStyle name="Normal 4 7 18 3" xfId="23143"/>
    <cellStyle name="Normal 4 7 18 4" xfId="39597"/>
    <cellStyle name="Normal 4 7 19" xfId="8338"/>
    <cellStyle name="Normal 4 7 19 2" xfId="24788"/>
    <cellStyle name="Normal 4 7 2" xfId="74"/>
    <cellStyle name="Normal 4 7 2 10" xfId="3428"/>
    <cellStyle name="Normal 4 7 2 10 2" xfId="11653"/>
    <cellStyle name="Normal 4 7 2 10 2 2" xfId="28103"/>
    <cellStyle name="Normal 4 7 2 10 3" xfId="19878"/>
    <cellStyle name="Normal 4 7 2 10 4" xfId="36332"/>
    <cellStyle name="Normal 4 7 2 11" xfId="5073"/>
    <cellStyle name="Normal 4 7 2 11 2" xfId="13298"/>
    <cellStyle name="Normal 4 7 2 11 2 2" xfId="29748"/>
    <cellStyle name="Normal 4 7 2 11 3" xfId="21523"/>
    <cellStyle name="Normal 4 7 2 11 4" xfId="37977"/>
    <cellStyle name="Normal 4 7 2 12" xfId="6718"/>
    <cellStyle name="Normal 4 7 2 12 2" xfId="14943"/>
    <cellStyle name="Normal 4 7 2 12 2 2" xfId="31393"/>
    <cellStyle name="Normal 4 7 2 12 3" xfId="23168"/>
    <cellStyle name="Normal 4 7 2 12 4" xfId="39622"/>
    <cellStyle name="Normal 4 7 2 13" xfId="8363"/>
    <cellStyle name="Normal 4 7 2 13 2" xfId="24813"/>
    <cellStyle name="Normal 4 7 2 14" xfId="16587"/>
    <cellStyle name="Normal 4 7 2 15" xfId="33040"/>
    <cellStyle name="Normal 4 7 2 16" xfId="41268"/>
    <cellStyle name="Normal 4 7 2 2" xfId="124"/>
    <cellStyle name="Normal 4 7 2 2 10" xfId="5123"/>
    <cellStyle name="Normal 4 7 2 2 10 2" xfId="13348"/>
    <cellStyle name="Normal 4 7 2 2 10 2 2" xfId="29798"/>
    <cellStyle name="Normal 4 7 2 2 10 3" xfId="21573"/>
    <cellStyle name="Normal 4 7 2 2 10 4" xfId="38027"/>
    <cellStyle name="Normal 4 7 2 2 11" xfId="6768"/>
    <cellStyle name="Normal 4 7 2 2 11 2" xfId="14993"/>
    <cellStyle name="Normal 4 7 2 2 11 2 2" xfId="31443"/>
    <cellStyle name="Normal 4 7 2 2 11 3" xfId="23218"/>
    <cellStyle name="Normal 4 7 2 2 11 4" xfId="39672"/>
    <cellStyle name="Normal 4 7 2 2 12" xfId="8413"/>
    <cellStyle name="Normal 4 7 2 2 12 2" xfId="24863"/>
    <cellStyle name="Normal 4 7 2 2 13" xfId="16637"/>
    <cellStyle name="Normal 4 7 2 2 14" xfId="33090"/>
    <cellStyle name="Normal 4 7 2 2 15" xfId="41318"/>
    <cellStyle name="Normal 4 7 2 2 2" xfId="367"/>
    <cellStyle name="Normal 4 7 2 2 2 2" xfId="2066"/>
    <cellStyle name="Normal 4 7 2 2 2 2 2" xfId="10293"/>
    <cellStyle name="Normal 4 7 2 2 2 2 2 2" xfId="26743"/>
    <cellStyle name="Normal 4 7 2 2 2 2 3" xfId="18518"/>
    <cellStyle name="Normal 4 7 2 2 2 2 4" xfId="34972"/>
    <cellStyle name="Normal 4 7 2 2 2 3" xfId="3713"/>
    <cellStyle name="Normal 4 7 2 2 2 3 2" xfId="11938"/>
    <cellStyle name="Normal 4 7 2 2 2 3 2 2" xfId="28388"/>
    <cellStyle name="Normal 4 7 2 2 2 3 3" xfId="20163"/>
    <cellStyle name="Normal 4 7 2 2 2 3 4" xfId="36617"/>
    <cellStyle name="Normal 4 7 2 2 2 4" xfId="5358"/>
    <cellStyle name="Normal 4 7 2 2 2 4 2" xfId="13583"/>
    <cellStyle name="Normal 4 7 2 2 2 4 2 2" xfId="30033"/>
    <cellStyle name="Normal 4 7 2 2 2 4 3" xfId="21808"/>
    <cellStyle name="Normal 4 7 2 2 2 4 4" xfId="38262"/>
    <cellStyle name="Normal 4 7 2 2 2 5" xfId="7003"/>
    <cellStyle name="Normal 4 7 2 2 2 5 2" xfId="15228"/>
    <cellStyle name="Normal 4 7 2 2 2 5 2 2" xfId="31678"/>
    <cellStyle name="Normal 4 7 2 2 2 5 3" xfId="23453"/>
    <cellStyle name="Normal 4 7 2 2 2 5 4" xfId="39907"/>
    <cellStyle name="Normal 4 7 2 2 2 6" xfId="8648"/>
    <cellStyle name="Normal 4 7 2 2 2 6 2" xfId="25098"/>
    <cellStyle name="Normal 4 7 2 2 2 7" xfId="16872"/>
    <cellStyle name="Normal 4 7 2 2 2 8" xfId="33326"/>
    <cellStyle name="Normal 4 7 2 2 2 9" xfId="41553"/>
    <cellStyle name="Normal 4 7 2 2 3" xfId="608"/>
    <cellStyle name="Normal 4 7 2 2 3 2" xfId="2303"/>
    <cellStyle name="Normal 4 7 2 2 3 2 2" xfId="10528"/>
    <cellStyle name="Normal 4 7 2 2 3 2 2 2" xfId="26978"/>
    <cellStyle name="Normal 4 7 2 2 3 2 3" xfId="18753"/>
    <cellStyle name="Normal 4 7 2 2 3 2 4" xfId="35207"/>
    <cellStyle name="Normal 4 7 2 2 3 3" xfId="3948"/>
    <cellStyle name="Normal 4 7 2 2 3 3 2" xfId="12173"/>
    <cellStyle name="Normal 4 7 2 2 3 3 2 2" xfId="28623"/>
    <cellStyle name="Normal 4 7 2 2 3 3 3" xfId="20398"/>
    <cellStyle name="Normal 4 7 2 2 3 3 4" xfId="36852"/>
    <cellStyle name="Normal 4 7 2 2 3 4" xfId="5593"/>
    <cellStyle name="Normal 4 7 2 2 3 4 2" xfId="13818"/>
    <cellStyle name="Normal 4 7 2 2 3 4 2 2" xfId="30268"/>
    <cellStyle name="Normal 4 7 2 2 3 4 3" xfId="22043"/>
    <cellStyle name="Normal 4 7 2 2 3 4 4" xfId="38497"/>
    <cellStyle name="Normal 4 7 2 2 3 5" xfId="7238"/>
    <cellStyle name="Normal 4 7 2 2 3 5 2" xfId="15463"/>
    <cellStyle name="Normal 4 7 2 2 3 5 2 2" xfId="31913"/>
    <cellStyle name="Normal 4 7 2 2 3 5 3" xfId="23688"/>
    <cellStyle name="Normal 4 7 2 2 3 5 4" xfId="40142"/>
    <cellStyle name="Normal 4 7 2 2 3 6" xfId="8883"/>
    <cellStyle name="Normal 4 7 2 2 3 6 2" xfId="25333"/>
    <cellStyle name="Normal 4 7 2 2 3 7" xfId="17107"/>
    <cellStyle name="Normal 4 7 2 2 3 8" xfId="33561"/>
    <cellStyle name="Normal 4 7 2 2 3 9" xfId="41788"/>
    <cellStyle name="Normal 4 7 2 2 4" xfId="843"/>
    <cellStyle name="Normal 4 7 2 2 4 2" xfId="2538"/>
    <cellStyle name="Normal 4 7 2 2 4 2 2" xfId="10763"/>
    <cellStyle name="Normal 4 7 2 2 4 2 2 2" xfId="27213"/>
    <cellStyle name="Normal 4 7 2 2 4 2 3" xfId="18988"/>
    <cellStyle name="Normal 4 7 2 2 4 2 4" xfId="35442"/>
    <cellStyle name="Normal 4 7 2 2 4 3" xfId="4183"/>
    <cellStyle name="Normal 4 7 2 2 4 3 2" xfId="12408"/>
    <cellStyle name="Normal 4 7 2 2 4 3 2 2" xfId="28858"/>
    <cellStyle name="Normal 4 7 2 2 4 3 3" xfId="20633"/>
    <cellStyle name="Normal 4 7 2 2 4 3 4" xfId="37087"/>
    <cellStyle name="Normal 4 7 2 2 4 4" xfId="5828"/>
    <cellStyle name="Normal 4 7 2 2 4 4 2" xfId="14053"/>
    <cellStyle name="Normal 4 7 2 2 4 4 2 2" xfId="30503"/>
    <cellStyle name="Normal 4 7 2 2 4 4 3" xfId="22278"/>
    <cellStyle name="Normal 4 7 2 2 4 4 4" xfId="38732"/>
    <cellStyle name="Normal 4 7 2 2 4 5" xfId="7473"/>
    <cellStyle name="Normal 4 7 2 2 4 5 2" xfId="15698"/>
    <cellStyle name="Normal 4 7 2 2 4 5 2 2" xfId="32148"/>
    <cellStyle name="Normal 4 7 2 2 4 5 3" xfId="23923"/>
    <cellStyle name="Normal 4 7 2 2 4 5 4" xfId="40377"/>
    <cellStyle name="Normal 4 7 2 2 4 6" xfId="9118"/>
    <cellStyle name="Normal 4 7 2 2 4 6 2" xfId="25568"/>
    <cellStyle name="Normal 4 7 2 2 4 7" xfId="17342"/>
    <cellStyle name="Normal 4 7 2 2 4 8" xfId="33796"/>
    <cellStyle name="Normal 4 7 2 2 4 9" xfId="42023"/>
    <cellStyle name="Normal 4 7 2 2 5" xfId="1078"/>
    <cellStyle name="Normal 4 7 2 2 5 2" xfId="2773"/>
    <cellStyle name="Normal 4 7 2 2 5 2 2" xfId="10998"/>
    <cellStyle name="Normal 4 7 2 2 5 2 2 2" xfId="27448"/>
    <cellStyle name="Normal 4 7 2 2 5 2 3" xfId="19223"/>
    <cellStyle name="Normal 4 7 2 2 5 2 4" xfId="35677"/>
    <cellStyle name="Normal 4 7 2 2 5 3" xfId="4418"/>
    <cellStyle name="Normal 4 7 2 2 5 3 2" xfId="12643"/>
    <cellStyle name="Normal 4 7 2 2 5 3 2 2" xfId="29093"/>
    <cellStyle name="Normal 4 7 2 2 5 3 3" xfId="20868"/>
    <cellStyle name="Normal 4 7 2 2 5 3 4" xfId="37322"/>
    <cellStyle name="Normal 4 7 2 2 5 4" xfId="6063"/>
    <cellStyle name="Normal 4 7 2 2 5 4 2" xfId="14288"/>
    <cellStyle name="Normal 4 7 2 2 5 4 2 2" xfId="30738"/>
    <cellStyle name="Normal 4 7 2 2 5 4 3" xfId="22513"/>
    <cellStyle name="Normal 4 7 2 2 5 4 4" xfId="38967"/>
    <cellStyle name="Normal 4 7 2 2 5 5" xfId="7708"/>
    <cellStyle name="Normal 4 7 2 2 5 5 2" xfId="15933"/>
    <cellStyle name="Normal 4 7 2 2 5 5 2 2" xfId="32383"/>
    <cellStyle name="Normal 4 7 2 2 5 5 3" xfId="24158"/>
    <cellStyle name="Normal 4 7 2 2 5 5 4" xfId="40612"/>
    <cellStyle name="Normal 4 7 2 2 5 6" xfId="9353"/>
    <cellStyle name="Normal 4 7 2 2 5 6 2" xfId="25803"/>
    <cellStyle name="Normal 4 7 2 2 5 7" xfId="17577"/>
    <cellStyle name="Normal 4 7 2 2 5 8" xfId="34031"/>
    <cellStyle name="Normal 4 7 2 2 5 9" xfId="42258"/>
    <cellStyle name="Normal 4 7 2 2 6" xfId="1358"/>
    <cellStyle name="Normal 4 7 2 2 6 2" xfId="3008"/>
    <cellStyle name="Normal 4 7 2 2 6 2 2" xfId="11233"/>
    <cellStyle name="Normal 4 7 2 2 6 2 2 2" xfId="27683"/>
    <cellStyle name="Normal 4 7 2 2 6 2 3" xfId="19458"/>
    <cellStyle name="Normal 4 7 2 2 6 2 4" xfId="35912"/>
    <cellStyle name="Normal 4 7 2 2 6 3" xfId="4653"/>
    <cellStyle name="Normal 4 7 2 2 6 3 2" xfId="12878"/>
    <cellStyle name="Normal 4 7 2 2 6 3 2 2" xfId="29328"/>
    <cellStyle name="Normal 4 7 2 2 6 3 3" xfId="21103"/>
    <cellStyle name="Normal 4 7 2 2 6 3 4" xfId="37557"/>
    <cellStyle name="Normal 4 7 2 2 6 4" xfId="6298"/>
    <cellStyle name="Normal 4 7 2 2 6 4 2" xfId="14523"/>
    <cellStyle name="Normal 4 7 2 2 6 4 2 2" xfId="30973"/>
    <cellStyle name="Normal 4 7 2 2 6 4 3" xfId="22748"/>
    <cellStyle name="Normal 4 7 2 2 6 4 4" xfId="39202"/>
    <cellStyle name="Normal 4 7 2 2 6 5" xfId="7943"/>
    <cellStyle name="Normal 4 7 2 2 6 5 2" xfId="16168"/>
    <cellStyle name="Normal 4 7 2 2 6 5 2 2" xfId="32618"/>
    <cellStyle name="Normal 4 7 2 2 6 5 3" xfId="24393"/>
    <cellStyle name="Normal 4 7 2 2 6 5 4" xfId="40847"/>
    <cellStyle name="Normal 4 7 2 2 6 6" xfId="9588"/>
    <cellStyle name="Normal 4 7 2 2 6 6 2" xfId="26038"/>
    <cellStyle name="Normal 4 7 2 2 6 7" xfId="17812"/>
    <cellStyle name="Normal 4 7 2 2 6 8" xfId="34266"/>
    <cellStyle name="Normal 4 7 2 2 7" xfId="1593"/>
    <cellStyle name="Normal 4 7 2 2 7 2" xfId="3243"/>
    <cellStyle name="Normal 4 7 2 2 7 2 2" xfId="11468"/>
    <cellStyle name="Normal 4 7 2 2 7 2 2 2" xfId="27918"/>
    <cellStyle name="Normal 4 7 2 2 7 2 3" xfId="19693"/>
    <cellStyle name="Normal 4 7 2 2 7 2 4" xfId="36147"/>
    <cellStyle name="Normal 4 7 2 2 7 3" xfId="4888"/>
    <cellStyle name="Normal 4 7 2 2 7 3 2" xfId="13113"/>
    <cellStyle name="Normal 4 7 2 2 7 3 2 2" xfId="29563"/>
    <cellStyle name="Normal 4 7 2 2 7 3 3" xfId="21338"/>
    <cellStyle name="Normal 4 7 2 2 7 3 4" xfId="37792"/>
    <cellStyle name="Normal 4 7 2 2 7 4" xfId="6533"/>
    <cellStyle name="Normal 4 7 2 2 7 4 2" xfId="14758"/>
    <cellStyle name="Normal 4 7 2 2 7 4 2 2" xfId="31208"/>
    <cellStyle name="Normal 4 7 2 2 7 4 3" xfId="22983"/>
    <cellStyle name="Normal 4 7 2 2 7 4 4" xfId="39437"/>
    <cellStyle name="Normal 4 7 2 2 7 5" xfId="8178"/>
    <cellStyle name="Normal 4 7 2 2 7 5 2" xfId="16403"/>
    <cellStyle name="Normal 4 7 2 2 7 5 2 2" xfId="32853"/>
    <cellStyle name="Normal 4 7 2 2 7 5 3" xfId="24628"/>
    <cellStyle name="Normal 4 7 2 2 7 5 4" xfId="41082"/>
    <cellStyle name="Normal 4 7 2 2 7 6" xfId="9823"/>
    <cellStyle name="Normal 4 7 2 2 7 6 2" xfId="26273"/>
    <cellStyle name="Normal 4 7 2 2 7 7" xfId="18047"/>
    <cellStyle name="Normal 4 7 2 2 7 8" xfId="34501"/>
    <cellStyle name="Normal 4 7 2 2 8" xfId="1828"/>
    <cellStyle name="Normal 4 7 2 2 8 2" xfId="10058"/>
    <cellStyle name="Normal 4 7 2 2 8 2 2" xfId="26508"/>
    <cellStyle name="Normal 4 7 2 2 8 3" xfId="18282"/>
    <cellStyle name="Normal 4 7 2 2 8 4" xfId="34736"/>
    <cellStyle name="Normal 4 7 2 2 9" xfId="3478"/>
    <cellStyle name="Normal 4 7 2 2 9 2" xfId="11703"/>
    <cellStyle name="Normal 4 7 2 2 9 2 2" xfId="28153"/>
    <cellStyle name="Normal 4 7 2 2 9 3" xfId="19928"/>
    <cellStyle name="Normal 4 7 2 2 9 4" xfId="36382"/>
    <cellStyle name="Normal 4 7 2 3" xfId="317"/>
    <cellStyle name="Normal 4 7 2 3 2" xfId="2016"/>
    <cellStyle name="Normal 4 7 2 3 2 2" xfId="10243"/>
    <cellStyle name="Normal 4 7 2 3 2 2 2" xfId="26693"/>
    <cellStyle name="Normal 4 7 2 3 2 3" xfId="18468"/>
    <cellStyle name="Normal 4 7 2 3 2 4" xfId="34922"/>
    <cellStyle name="Normal 4 7 2 3 3" xfId="3663"/>
    <cellStyle name="Normal 4 7 2 3 3 2" xfId="11888"/>
    <cellStyle name="Normal 4 7 2 3 3 2 2" xfId="28338"/>
    <cellStyle name="Normal 4 7 2 3 3 3" xfId="20113"/>
    <cellStyle name="Normal 4 7 2 3 3 4" xfId="36567"/>
    <cellStyle name="Normal 4 7 2 3 4" xfId="5308"/>
    <cellStyle name="Normal 4 7 2 3 4 2" xfId="13533"/>
    <cellStyle name="Normal 4 7 2 3 4 2 2" xfId="29983"/>
    <cellStyle name="Normal 4 7 2 3 4 3" xfId="21758"/>
    <cellStyle name="Normal 4 7 2 3 4 4" xfId="38212"/>
    <cellStyle name="Normal 4 7 2 3 5" xfId="6953"/>
    <cellStyle name="Normal 4 7 2 3 5 2" xfId="15178"/>
    <cellStyle name="Normal 4 7 2 3 5 2 2" xfId="31628"/>
    <cellStyle name="Normal 4 7 2 3 5 3" xfId="23403"/>
    <cellStyle name="Normal 4 7 2 3 5 4" xfId="39857"/>
    <cellStyle name="Normal 4 7 2 3 6" xfId="8598"/>
    <cellStyle name="Normal 4 7 2 3 6 2" xfId="25048"/>
    <cellStyle name="Normal 4 7 2 3 7" xfId="16822"/>
    <cellStyle name="Normal 4 7 2 3 8" xfId="33276"/>
    <cellStyle name="Normal 4 7 2 3 9" xfId="41503"/>
    <cellStyle name="Normal 4 7 2 4" xfId="558"/>
    <cellStyle name="Normal 4 7 2 4 2" xfId="2253"/>
    <cellStyle name="Normal 4 7 2 4 2 2" xfId="10478"/>
    <cellStyle name="Normal 4 7 2 4 2 2 2" xfId="26928"/>
    <cellStyle name="Normal 4 7 2 4 2 3" xfId="18703"/>
    <cellStyle name="Normal 4 7 2 4 2 4" xfId="35157"/>
    <cellStyle name="Normal 4 7 2 4 3" xfId="3898"/>
    <cellStyle name="Normal 4 7 2 4 3 2" xfId="12123"/>
    <cellStyle name="Normal 4 7 2 4 3 2 2" xfId="28573"/>
    <cellStyle name="Normal 4 7 2 4 3 3" xfId="20348"/>
    <cellStyle name="Normal 4 7 2 4 3 4" xfId="36802"/>
    <cellStyle name="Normal 4 7 2 4 4" xfId="5543"/>
    <cellStyle name="Normal 4 7 2 4 4 2" xfId="13768"/>
    <cellStyle name="Normal 4 7 2 4 4 2 2" xfId="30218"/>
    <cellStyle name="Normal 4 7 2 4 4 3" xfId="21993"/>
    <cellStyle name="Normal 4 7 2 4 4 4" xfId="38447"/>
    <cellStyle name="Normal 4 7 2 4 5" xfId="7188"/>
    <cellStyle name="Normal 4 7 2 4 5 2" xfId="15413"/>
    <cellStyle name="Normal 4 7 2 4 5 2 2" xfId="31863"/>
    <cellStyle name="Normal 4 7 2 4 5 3" xfId="23638"/>
    <cellStyle name="Normal 4 7 2 4 5 4" xfId="40092"/>
    <cellStyle name="Normal 4 7 2 4 6" xfId="8833"/>
    <cellStyle name="Normal 4 7 2 4 6 2" xfId="25283"/>
    <cellStyle name="Normal 4 7 2 4 7" xfId="17057"/>
    <cellStyle name="Normal 4 7 2 4 8" xfId="33511"/>
    <cellStyle name="Normal 4 7 2 4 9" xfId="41738"/>
    <cellStyle name="Normal 4 7 2 5" xfId="793"/>
    <cellStyle name="Normal 4 7 2 5 2" xfId="2488"/>
    <cellStyle name="Normal 4 7 2 5 2 2" xfId="10713"/>
    <cellStyle name="Normal 4 7 2 5 2 2 2" xfId="27163"/>
    <cellStyle name="Normal 4 7 2 5 2 3" xfId="18938"/>
    <cellStyle name="Normal 4 7 2 5 2 4" xfId="35392"/>
    <cellStyle name="Normal 4 7 2 5 3" xfId="4133"/>
    <cellStyle name="Normal 4 7 2 5 3 2" xfId="12358"/>
    <cellStyle name="Normal 4 7 2 5 3 2 2" xfId="28808"/>
    <cellStyle name="Normal 4 7 2 5 3 3" xfId="20583"/>
    <cellStyle name="Normal 4 7 2 5 3 4" xfId="37037"/>
    <cellStyle name="Normal 4 7 2 5 4" xfId="5778"/>
    <cellStyle name="Normal 4 7 2 5 4 2" xfId="14003"/>
    <cellStyle name="Normal 4 7 2 5 4 2 2" xfId="30453"/>
    <cellStyle name="Normal 4 7 2 5 4 3" xfId="22228"/>
    <cellStyle name="Normal 4 7 2 5 4 4" xfId="38682"/>
    <cellStyle name="Normal 4 7 2 5 5" xfId="7423"/>
    <cellStyle name="Normal 4 7 2 5 5 2" xfId="15648"/>
    <cellStyle name="Normal 4 7 2 5 5 2 2" xfId="32098"/>
    <cellStyle name="Normal 4 7 2 5 5 3" xfId="23873"/>
    <cellStyle name="Normal 4 7 2 5 5 4" xfId="40327"/>
    <cellStyle name="Normal 4 7 2 5 6" xfId="9068"/>
    <cellStyle name="Normal 4 7 2 5 6 2" xfId="25518"/>
    <cellStyle name="Normal 4 7 2 5 7" xfId="17292"/>
    <cellStyle name="Normal 4 7 2 5 8" xfId="33746"/>
    <cellStyle name="Normal 4 7 2 5 9" xfId="41973"/>
    <cellStyle name="Normal 4 7 2 6" xfId="1028"/>
    <cellStyle name="Normal 4 7 2 6 2" xfId="2723"/>
    <cellStyle name="Normal 4 7 2 6 2 2" xfId="10948"/>
    <cellStyle name="Normal 4 7 2 6 2 2 2" xfId="27398"/>
    <cellStyle name="Normal 4 7 2 6 2 3" xfId="19173"/>
    <cellStyle name="Normal 4 7 2 6 2 4" xfId="35627"/>
    <cellStyle name="Normal 4 7 2 6 3" xfId="4368"/>
    <cellStyle name="Normal 4 7 2 6 3 2" xfId="12593"/>
    <cellStyle name="Normal 4 7 2 6 3 2 2" xfId="29043"/>
    <cellStyle name="Normal 4 7 2 6 3 3" xfId="20818"/>
    <cellStyle name="Normal 4 7 2 6 3 4" xfId="37272"/>
    <cellStyle name="Normal 4 7 2 6 4" xfId="6013"/>
    <cellStyle name="Normal 4 7 2 6 4 2" xfId="14238"/>
    <cellStyle name="Normal 4 7 2 6 4 2 2" xfId="30688"/>
    <cellStyle name="Normal 4 7 2 6 4 3" xfId="22463"/>
    <cellStyle name="Normal 4 7 2 6 4 4" xfId="38917"/>
    <cellStyle name="Normal 4 7 2 6 5" xfId="7658"/>
    <cellStyle name="Normal 4 7 2 6 5 2" xfId="15883"/>
    <cellStyle name="Normal 4 7 2 6 5 2 2" xfId="32333"/>
    <cellStyle name="Normal 4 7 2 6 5 3" xfId="24108"/>
    <cellStyle name="Normal 4 7 2 6 5 4" xfId="40562"/>
    <cellStyle name="Normal 4 7 2 6 6" xfId="9303"/>
    <cellStyle name="Normal 4 7 2 6 6 2" xfId="25753"/>
    <cellStyle name="Normal 4 7 2 6 7" xfId="17527"/>
    <cellStyle name="Normal 4 7 2 6 8" xfId="33981"/>
    <cellStyle name="Normal 4 7 2 6 9" xfId="42208"/>
    <cellStyle name="Normal 4 7 2 7" xfId="1308"/>
    <cellStyle name="Normal 4 7 2 7 2" xfId="2958"/>
    <cellStyle name="Normal 4 7 2 7 2 2" xfId="11183"/>
    <cellStyle name="Normal 4 7 2 7 2 2 2" xfId="27633"/>
    <cellStyle name="Normal 4 7 2 7 2 3" xfId="19408"/>
    <cellStyle name="Normal 4 7 2 7 2 4" xfId="35862"/>
    <cellStyle name="Normal 4 7 2 7 3" xfId="4603"/>
    <cellStyle name="Normal 4 7 2 7 3 2" xfId="12828"/>
    <cellStyle name="Normal 4 7 2 7 3 2 2" xfId="29278"/>
    <cellStyle name="Normal 4 7 2 7 3 3" xfId="21053"/>
    <cellStyle name="Normal 4 7 2 7 3 4" xfId="37507"/>
    <cellStyle name="Normal 4 7 2 7 4" xfId="6248"/>
    <cellStyle name="Normal 4 7 2 7 4 2" xfId="14473"/>
    <cellStyle name="Normal 4 7 2 7 4 2 2" xfId="30923"/>
    <cellStyle name="Normal 4 7 2 7 4 3" xfId="22698"/>
    <cellStyle name="Normal 4 7 2 7 4 4" xfId="39152"/>
    <cellStyle name="Normal 4 7 2 7 5" xfId="7893"/>
    <cellStyle name="Normal 4 7 2 7 5 2" xfId="16118"/>
    <cellStyle name="Normal 4 7 2 7 5 2 2" xfId="32568"/>
    <cellStyle name="Normal 4 7 2 7 5 3" xfId="24343"/>
    <cellStyle name="Normal 4 7 2 7 5 4" xfId="40797"/>
    <cellStyle name="Normal 4 7 2 7 6" xfId="9538"/>
    <cellStyle name="Normal 4 7 2 7 6 2" xfId="25988"/>
    <cellStyle name="Normal 4 7 2 7 7" xfId="17762"/>
    <cellStyle name="Normal 4 7 2 7 8" xfId="34216"/>
    <cellStyle name="Normal 4 7 2 8" xfId="1543"/>
    <cellStyle name="Normal 4 7 2 8 2" xfId="3193"/>
    <cellStyle name="Normal 4 7 2 8 2 2" xfId="11418"/>
    <cellStyle name="Normal 4 7 2 8 2 2 2" xfId="27868"/>
    <cellStyle name="Normal 4 7 2 8 2 3" xfId="19643"/>
    <cellStyle name="Normal 4 7 2 8 2 4" xfId="36097"/>
    <cellStyle name="Normal 4 7 2 8 3" xfId="4838"/>
    <cellStyle name="Normal 4 7 2 8 3 2" xfId="13063"/>
    <cellStyle name="Normal 4 7 2 8 3 2 2" xfId="29513"/>
    <cellStyle name="Normal 4 7 2 8 3 3" xfId="21288"/>
    <cellStyle name="Normal 4 7 2 8 3 4" xfId="37742"/>
    <cellStyle name="Normal 4 7 2 8 4" xfId="6483"/>
    <cellStyle name="Normal 4 7 2 8 4 2" xfId="14708"/>
    <cellStyle name="Normal 4 7 2 8 4 2 2" xfId="31158"/>
    <cellStyle name="Normal 4 7 2 8 4 3" xfId="22933"/>
    <cellStyle name="Normal 4 7 2 8 4 4" xfId="39387"/>
    <cellStyle name="Normal 4 7 2 8 5" xfId="8128"/>
    <cellStyle name="Normal 4 7 2 8 5 2" xfId="16353"/>
    <cellStyle name="Normal 4 7 2 8 5 2 2" xfId="32803"/>
    <cellStyle name="Normal 4 7 2 8 5 3" xfId="24578"/>
    <cellStyle name="Normal 4 7 2 8 5 4" xfId="41032"/>
    <cellStyle name="Normal 4 7 2 8 6" xfId="9773"/>
    <cellStyle name="Normal 4 7 2 8 6 2" xfId="26223"/>
    <cellStyle name="Normal 4 7 2 8 7" xfId="17997"/>
    <cellStyle name="Normal 4 7 2 8 8" xfId="34451"/>
    <cellStyle name="Normal 4 7 2 9" xfId="1778"/>
    <cellStyle name="Normal 4 7 2 9 2" xfId="10008"/>
    <cellStyle name="Normal 4 7 2 9 2 2" xfId="26458"/>
    <cellStyle name="Normal 4 7 2 9 3" xfId="18232"/>
    <cellStyle name="Normal 4 7 2 9 4" xfId="34686"/>
    <cellStyle name="Normal 4 7 20" xfId="16562"/>
    <cellStyle name="Normal 4 7 21" xfId="33015"/>
    <cellStyle name="Normal 4 7 22" xfId="41243"/>
    <cellStyle name="Normal 4 7 3" xfId="99"/>
    <cellStyle name="Normal 4 7 3 10" xfId="5098"/>
    <cellStyle name="Normal 4 7 3 10 2" xfId="13323"/>
    <cellStyle name="Normal 4 7 3 10 2 2" xfId="29773"/>
    <cellStyle name="Normal 4 7 3 10 3" xfId="21548"/>
    <cellStyle name="Normal 4 7 3 10 4" xfId="38002"/>
    <cellStyle name="Normal 4 7 3 11" xfId="6743"/>
    <cellStyle name="Normal 4 7 3 11 2" xfId="14968"/>
    <cellStyle name="Normal 4 7 3 11 2 2" xfId="31418"/>
    <cellStyle name="Normal 4 7 3 11 3" xfId="23193"/>
    <cellStyle name="Normal 4 7 3 11 4" xfId="39647"/>
    <cellStyle name="Normal 4 7 3 12" xfId="8388"/>
    <cellStyle name="Normal 4 7 3 12 2" xfId="24838"/>
    <cellStyle name="Normal 4 7 3 13" xfId="16612"/>
    <cellStyle name="Normal 4 7 3 14" xfId="33065"/>
    <cellStyle name="Normal 4 7 3 15" xfId="41293"/>
    <cellStyle name="Normal 4 7 3 2" xfId="342"/>
    <cellStyle name="Normal 4 7 3 2 2" xfId="2041"/>
    <cellStyle name="Normal 4 7 3 2 2 2" xfId="10268"/>
    <cellStyle name="Normal 4 7 3 2 2 2 2" xfId="26718"/>
    <cellStyle name="Normal 4 7 3 2 2 3" xfId="18493"/>
    <cellStyle name="Normal 4 7 3 2 2 4" xfId="34947"/>
    <cellStyle name="Normal 4 7 3 2 3" xfId="3688"/>
    <cellStyle name="Normal 4 7 3 2 3 2" xfId="11913"/>
    <cellStyle name="Normal 4 7 3 2 3 2 2" xfId="28363"/>
    <cellStyle name="Normal 4 7 3 2 3 3" xfId="20138"/>
    <cellStyle name="Normal 4 7 3 2 3 4" xfId="36592"/>
    <cellStyle name="Normal 4 7 3 2 4" xfId="5333"/>
    <cellStyle name="Normal 4 7 3 2 4 2" xfId="13558"/>
    <cellStyle name="Normal 4 7 3 2 4 2 2" xfId="30008"/>
    <cellStyle name="Normal 4 7 3 2 4 3" xfId="21783"/>
    <cellStyle name="Normal 4 7 3 2 4 4" xfId="38237"/>
    <cellStyle name="Normal 4 7 3 2 5" xfId="6978"/>
    <cellStyle name="Normal 4 7 3 2 5 2" xfId="15203"/>
    <cellStyle name="Normal 4 7 3 2 5 2 2" xfId="31653"/>
    <cellStyle name="Normal 4 7 3 2 5 3" xfId="23428"/>
    <cellStyle name="Normal 4 7 3 2 5 4" xfId="39882"/>
    <cellStyle name="Normal 4 7 3 2 6" xfId="8623"/>
    <cellStyle name="Normal 4 7 3 2 6 2" xfId="25073"/>
    <cellStyle name="Normal 4 7 3 2 7" xfId="16847"/>
    <cellStyle name="Normal 4 7 3 2 8" xfId="33301"/>
    <cellStyle name="Normal 4 7 3 2 9" xfId="41528"/>
    <cellStyle name="Normal 4 7 3 3" xfId="583"/>
    <cellStyle name="Normal 4 7 3 3 2" xfId="2278"/>
    <cellStyle name="Normal 4 7 3 3 2 2" xfId="10503"/>
    <cellStyle name="Normal 4 7 3 3 2 2 2" xfId="26953"/>
    <cellStyle name="Normal 4 7 3 3 2 3" xfId="18728"/>
    <cellStyle name="Normal 4 7 3 3 2 4" xfId="35182"/>
    <cellStyle name="Normal 4 7 3 3 3" xfId="3923"/>
    <cellStyle name="Normal 4 7 3 3 3 2" xfId="12148"/>
    <cellStyle name="Normal 4 7 3 3 3 2 2" xfId="28598"/>
    <cellStyle name="Normal 4 7 3 3 3 3" xfId="20373"/>
    <cellStyle name="Normal 4 7 3 3 3 4" xfId="36827"/>
    <cellStyle name="Normal 4 7 3 3 4" xfId="5568"/>
    <cellStyle name="Normal 4 7 3 3 4 2" xfId="13793"/>
    <cellStyle name="Normal 4 7 3 3 4 2 2" xfId="30243"/>
    <cellStyle name="Normal 4 7 3 3 4 3" xfId="22018"/>
    <cellStyle name="Normal 4 7 3 3 4 4" xfId="38472"/>
    <cellStyle name="Normal 4 7 3 3 5" xfId="7213"/>
    <cellStyle name="Normal 4 7 3 3 5 2" xfId="15438"/>
    <cellStyle name="Normal 4 7 3 3 5 2 2" xfId="31888"/>
    <cellStyle name="Normal 4 7 3 3 5 3" xfId="23663"/>
    <cellStyle name="Normal 4 7 3 3 5 4" xfId="40117"/>
    <cellStyle name="Normal 4 7 3 3 6" xfId="8858"/>
    <cellStyle name="Normal 4 7 3 3 6 2" xfId="25308"/>
    <cellStyle name="Normal 4 7 3 3 7" xfId="17082"/>
    <cellStyle name="Normal 4 7 3 3 8" xfId="33536"/>
    <cellStyle name="Normal 4 7 3 3 9" xfId="41763"/>
    <cellStyle name="Normal 4 7 3 4" xfId="818"/>
    <cellStyle name="Normal 4 7 3 4 2" xfId="2513"/>
    <cellStyle name="Normal 4 7 3 4 2 2" xfId="10738"/>
    <cellStyle name="Normal 4 7 3 4 2 2 2" xfId="27188"/>
    <cellStyle name="Normal 4 7 3 4 2 3" xfId="18963"/>
    <cellStyle name="Normal 4 7 3 4 2 4" xfId="35417"/>
    <cellStyle name="Normal 4 7 3 4 3" xfId="4158"/>
    <cellStyle name="Normal 4 7 3 4 3 2" xfId="12383"/>
    <cellStyle name="Normal 4 7 3 4 3 2 2" xfId="28833"/>
    <cellStyle name="Normal 4 7 3 4 3 3" xfId="20608"/>
    <cellStyle name="Normal 4 7 3 4 3 4" xfId="37062"/>
    <cellStyle name="Normal 4 7 3 4 4" xfId="5803"/>
    <cellStyle name="Normal 4 7 3 4 4 2" xfId="14028"/>
    <cellStyle name="Normal 4 7 3 4 4 2 2" xfId="30478"/>
    <cellStyle name="Normal 4 7 3 4 4 3" xfId="22253"/>
    <cellStyle name="Normal 4 7 3 4 4 4" xfId="38707"/>
    <cellStyle name="Normal 4 7 3 4 5" xfId="7448"/>
    <cellStyle name="Normal 4 7 3 4 5 2" xfId="15673"/>
    <cellStyle name="Normal 4 7 3 4 5 2 2" xfId="32123"/>
    <cellStyle name="Normal 4 7 3 4 5 3" xfId="23898"/>
    <cellStyle name="Normal 4 7 3 4 5 4" xfId="40352"/>
    <cellStyle name="Normal 4 7 3 4 6" xfId="9093"/>
    <cellStyle name="Normal 4 7 3 4 6 2" xfId="25543"/>
    <cellStyle name="Normal 4 7 3 4 7" xfId="17317"/>
    <cellStyle name="Normal 4 7 3 4 8" xfId="33771"/>
    <cellStyle name="Normal 4 7 3 4 9" xfId="41998"/>
    <cellStyle name="Normal 4 7 3 5" xfId="1053"/>
    <cellStyle name="Normal 4 7 3 5 2" xfId="2748"/>
    <cellStyle name="Normal 4 7 3 5 2 2" xfId="10973"/>
    <cellStyle name="Normal 4 7 3 5 2 2 2" xfId="27423"/>
    <cellStyle name="Normal 4 7 3 5 2 3" xfId="19198"/>
    <cellStyle name="Normal 4 7 3 5 2 4" xfId="35652"/>
    <cellStyle name="Normal 4 7 3 5 3" xfId="4393"/>
    <cellStyle name="Normal 4 7 3 5 3 2" xfId="12618"/>
    <cellStyle name="Normal 4 7 3 5 3 2 2" xfId="29068"/>
    <cellStyle name="Normal 4 7 3 5 3 3" xfId="20843"/>
    <cellStyle name="Normal 4 7 3 5 3 4" xfId="37297"/>
    <cellStyle name="Normal 4 7 3 5 4" xfId="6038"/>
    <cellStyle name="Normal 4 7 3 5 4 2" xfId="14263"/>
    <cellStyle name="Normal 4 7 3 5 4 2 2" xfId="30713"/>
    <cellStyle name="Normal 4 7 3 5 4 3" xfId="22488"/>
    <cellStyle name="Normal 4 7 3 5 4 4" xfId="38942"/>
    <cellStyle name="Normal 4 7 3 5 5" xfId="7683"/>
    <cellStyle name="Normal 4 7 3 5 5 2" xfId="15908"/>
    <cellStyle name="Normal 4 7 3 5 5 2 2" xfId="32358"/>
    <cellStyle name="Normal 4 7 3 5 5 3" xfId="24133"/>
    <cellStyle name="Normal 4 7 3 5 5 4" xfId="40587"/>
    <cellStyle name="Normal 4 7 3 5 6" xfId="9328"/>
    <cellStyle name="Normal 4 7 3 5 6 2" xfId="25778"/>
    <cellStyle name="Normal 4 7 3 5 7" xfId="17552"/>
    <cellStyle name="Normal 4 7 3 5 8" xfId="34006"/>
    <cellStyle name="Normal 4 7 3 5 9" xfId="42233"/>
    <cellStyle name="Normal 4 7 3 6" xfId="1333"/>
    <cellStyle name="Normal 4 7 3 6 2" xfId="2983"/>
    <cellStyle name="Normal 4 7 3 6 2 2" xfId="11208"/>
    <cellStyle name="Normal 4 7 3 6 2 2 2" xfId="27658"/>
    <cellStyle name="Normal 4 7 3 6 2 3" xfId="19433"/>
    <cellStyle name="Normal 4 7 3 6 2 4" xfId="35887"/>
    <cellStyle name="Normal 4 7 3 6 3" xfId="4628"/>
    <cellStyle name="Normal 4 7 3 6 3 2" xfId="12853"/>
    <cellStyle name="Normal 4 7 3 6 3 2 2" xfId="29303"/>
    <cellStyle name="Normal 4 7 3 6 3 3" xfId="21078"/>
    <cellStyle name="Normal 4 7 3 6 3 4" xfId="37532"/>
    <cellStyle name="Normal 4 7 3 6 4" xfId="6273"/>
    <cellStyle name="Normal 4 7 3 6 4 2" xfId="14498"/>
    <cellStyle name="Normal 4 7 3 6 4 2 2" xfId="30948"/>
    <cellStyle name="Normal 4 7 3 6 4 3" xfId="22723"/>
    <cellStyle name="Normal 4 7 3 6 4 4" xfId="39177"/>
    <cellStyle name="Normal 4 7 3 6 5" xfId="7918"/>
    <cellStyle name="Normal 4 7 3 6 5 2" xfId="16143"/>
    <cellStyle name="Normal 4 7 3 6 5 2 2" xfId="32593"/>
    <cellStyle name="Normal 4 7 3 6 5 3" xfId="24368"/>
    <cellStyle name="Normal 4 7 3 6 5 4" xfId="40822"/>
    <cellStyle name="Normal 4 7 3 6 6" xfId="9563"/>
    <cellStyle name="Normal 4 7 3 6 6 2" xfId="26013"/>
    <cellStyle name="Normal 4 7 3 6 7" xfId="17787"/>
    <cellStyle name="Normal 4 7 3 6 8" xfId="34241"/>
    <cellStyle name="Normal 4 7 3 7" xfId="1568"/>
    <cellStyle name="Normal 4 7 3 7 2" xfId="3218"/>
    <cellStyle name="Normal 4 7 3 7 2 2" xfId="11443"/>
    <cellStyle name="Normal 4 7 3 7 2 2 2" xfId="27893"/>
    <cellStyle name="Normal 4 7 3 7 2 3" xfId="19668"/>
    <cellStyle name="Normal 4 7 3 7 2 4" xfId="36122"/>
    <cellStyle name="Normal 4 7 3 7 3" xfId="4863"/>
    <cellStyle name="Normal 4 7 3 7 3 2" xfId="13088"/>
    <cellStyle name="Normal 4 7 3 7 3 2 2" xfId="29538"/>
    <cellStyle name="Normal 4 7 3 7 3 3" xfId="21313"/>
    <cellStyle name="Normal 4 7 3 7 3 4" xfId="37767"/>
    <cellStyle name="Normal 4 7 3 7 4" xfId="6508"/>
    <cellStyle name="Normal 4 7 3 7 4 2" xfId="14733"/>
    <cellStyle name="Normal 4 7 3 7 4 2 2" xfId="31183"/>
    <cellStyle name="Normal 4 7 3 7 4 3" xfId="22958"/>
    <cellStyle name="Normal 4 7 3 7 4 4" xfId="39412"/>
    <cellStyle name="Normal 4 7 3 7 5" xfId="8153"/>
    <cellStyle name="Normal 4 7 3 7 5 2" xfId="16378"/>
    <cellStyle name="Normal 4 7 3 7 5 2 2" xfId="32828"/>
    <cellStyle name="Normal 4 7 3 7 5 3" xfId="24603"/>
    <cellStyle name="Normal 4 7 3 7 5 4" xfId="41057"/>
    <cellStyle name="Normal 4 7 3 7 6" xfId="9798"/>
    <cellStyle name="Normal 4 7 3 7 6 2" xfId="26248"/>
    <cellStyle name="Normal 4 7 3 7 7" xfId="18022"/>
    <cellStyle name="Normal 4 7 3 7 8" xfId="34476"/>
    <cellStyle name="Normal 4 7 3 8" xfId="1803"/>
    <cellStyle name="Normal 4 7 3 8 2" xfId="10033"/>
    <cellStyle name="Normal 4 7 3 8 2 2" xfId="26483"/>
    <cellStyle name="Normal 4 7 3 8 3" xfId="18257"/>
    <cellStyle name="Normal 4 7 3 8 4" xfId="34711"/>
    <cellStyle name="Normal 4 7 3 9" xfId="3453"/>
    <cellStyle name="Normal 4 7 3 9 2" xfId="11678"/>
    <cellStyle name="Normal 4 7 3 9 2 2" xfId="28128"/>
    <cellStyle name="Normal 4 7 3 9 3" xfId="19903"/>
    <cellStyle name="Normal 4 7 3 9 4" xfId="36357"/>
    <cellStyle name="Normal 4 7 4" xfId="149"/>
    <cellStyle name="Normal 4 7 4 10" xfId="5148"/>
    <cellStyle name="Normal 4 7 4 10 2" xfId="13373"/>
    <cellStyle name="Normal 4 7 4 10 2 2" xfId="29823"/>
    <cellStyle name="Normal 4 7 4 10 3" xfId="21598"/>
    <cellStyle name="Normal 4 7 4 10 4" xfId="38052"/>
    <cellStyle name="Normal 4 7 4 11" xfId="6793"/>
    <cellStyle name="Normal 4 7 4 11 2" xfId="15018"/>
    <cellStyle name="Normal 4 7 4 11 2 2" xfId="31468"/>
    <cellStyle name="Normal 4 7 4 11 3" xfId="23243"/>
    <cellStyle name="Normal 4 7 4 11 4" xfId="39697"/>
    <cellStyle name="Normal 4 7 4 12" xfId="8438"/>
    <cellStyle name="Normal 4 7 4 12 2" xfId="24888"/>
    <cellStyle name="Normal 4 7 4 13" xfId="16662"/>
    <cellStyle name="Normal 4 7 4 14" xfId="33115"/>
    <cellStyle name="Normal 4 7 4 15" xfId="41343"/>
    <cellStyle name="Normal 4 7 4 2" xfId="392"/>
    <cellStyle name="Normal 4 7 4 2 2" xfId="2091"/>
    <cellStyle name="Normal 4 7 4 2 2 2" xfId="10318"/>
    <cellStyle name="Normal 4 7 4 2 2 2 2" xfId="26768"/>
    <cellStyle name="Normal 4 7 4 2 2 3" xfId="18543"/>
    <cellStyle name="Normal 4 7 4 2 2 4" xfId="34997"/>
    <cellStyle name="Normal 4 7 4 2 3" xfId="3738"/>
    <cellStyle name="Normal 4 7 4 2 3 2" xfId="11963"/>
    <cellStyle name="Normal 4 7 4 2 3 2 2" xfId="28413"/>
    <cellStyle name="Normal 4 7 4 2 3 3" xfId="20188"/>
    <cellStyle name="Normal 4 7 4 2 3 4" xfId="36642"/>
    <cellStyle name="Normal 4 7 4 2 4" xfId="5383"/>
    <cellStyle name="Normal 4 7 4 2 4 2" xfId="13608"/>
    <cellStyle name="Normal 4 7 4 2 4 2 2" xfId="30058"/>
    <cellStyle name="Normal 4 7 4 2 4 3" xfId="21833"/>
    <cellStyle name="Normal 4 7 4 2 4 4" xfId="38287"/>
    <cellStyle name="Normal 4 7 4 2 5" xfId="7028"/>
    <cellStyle name="Normal 4 7 4 2 5 2" xfId="15253"/>
    <cellStyle name="Normal 4 7 4 2 5 2 2" xfId="31703"/>
    <cellStyle name="Normal 4 7 4 2 5 3" xfId="23478"/>
    <cellStyle name="Normal 4 7 4 2 5 4" xfId="39932"/>
    <cellStyle name="Normal 4 7 4 2 6" xfId="8673"/>
    <cellStyle name="Normal 4 7 4 2 6 2" xfId="25123"/>
    <cellStyle name="Normal 4 7 4 2 7" xfId="16897"/>
    <cellStyle name="Normal 4 7 4 2 8" xfId="33351"/>
    <cellStyle name="Normal 4 7 4 2 9" xfId="41578"/>
    <cellStyle name="Normal 4 7 4 3" xfId="633"/>
    <cellStyle name="Normal 4 7 4 3 2" xfId="2328"/>
    <cellStyle name="Normal 4 7 4 3 2 2" xfId="10553"/>
    <cellStyle name="Normal 4 7 4 3 2 2 2" xfId="27003"/>
    <cellStyle name="Normal 4 7 4 3 2 3" xfId="18778"/>
    <cellStyle name="Normal 4 7 4 3 2 4" xfId="35232"/>
    <cellStyle name="Normal 4 7 4 3 3" xfId="3973"/>
    <cellStyle name="Normal 4 7 4 3 3 2" xfId="12198"/>
    <cellStyle name="Normal 4 7 4 3 3 2 2" xfId="28648"/>
    <cellStyle name="Normal 4 7 4 3 3 3" xfId="20423"/>
    <cellStyle name="Normal 4 7 4 3 3 4" xfId="36877"/>
    <cellStyle name="Normal 4 7 4 3 4" xfId="5618"/>
    <cellStyle name="Normal 4 7 4 3 4 2" xfId="13843"/>
    <cellStyle name="Normal 4 7 4 3 4 2 2" xfId="30293"/>
    <cellStyle name="Normal 4 7 4 3 4 3" xfId="22068"/>
    <cellStyle name="Normal 4 7 4 3 4 4" xfId="38522"/>
    <cellStyle name="Normal 4 7 4 3 5" xfId="7263"/>
    <cellStyle name="Normal 4 7 4 3 5 2" xfId="15488"/>
    <cellStyle name="Normal 4 7 4 3 5 2 2" xfId="31938"/>
    <cellStyle name="Normal 4 7 4 3 5 3" xfId="23713"/>
    <cellStyle name="Normal 4 7 4 3 5 4" xfId="40167"/>
    <cellStyle name="Normal 4 7 4 3 6" xfId="8908"/>
    <cellStyle name="Normal 4 7 4 3 6 2" xfId="25358"/>
    <cellStyle name="Normal 4 7 4 3 7" xfId="17132"/>
    <cellStyle name="Normal 4 7 4 3 8" xfId="33586"/>
    <cellStyle name="Normal 4 7 4 3 9" xfId="41813"/>
    <cellStyle name="Normal 4 7 4 4" xfId="868"/>
    <cellStyle name="Normal 4 7 4 4 2" xfId="2563"/>
    <cellStyle name="Normal 4 7 4 4 2 2" xfId="10788"/>
    <cellStyle name="Normal 4 7 4 4 2 2 2" xfId="27238"/>
    <cellStyle name="Normal 4 7 4 4 2 3" xfId="19013"/>
    <cellStyle name="Normal 4 7 4 4 2 4" xfId="35467"/>
    <cellStyle name="Normal 4 7 4 4 3" xfId="4208"/>
    <cellStyle name="Normal 4 7 4 4 3 2" xfId="12433"/>
    <cellStyle name="Normal 4 7 4 4 3 2 2" xfId="28883"/>
    <cellStyle name="Normal 4 7 4 4 3 3" xfId="20658"/>
    <cellStyle name="Normal 4 7 4 4 3 4" xfId="37112"/>
    <cellStyle name="Normal 4 7 4 4 4" xfId="5853"/>
    <cellStyle name="Normal 4 7 4 4 4 2" xfId="14078"/>
    <cellStyle name="Normal 4 7 4 4 4 2 2" xfId="30528"/>
    <cellStyle name="Normal 4 7 4 4 4 3" xfId="22303"/>
    <cellStyle name="Normal 4 7 4 4 4 4" xfId="38757"/>
    <cellStyle name="Normal 4 7 4 4 5" xfId="7498"/>
    <cellStyle name="Normal 4 7 4 4 5 2" xfId="15723"/>
    <cellStyle name="Normal 4 7 4 4 5 2 2" xfId="32173"/>
    <cellStyle name="Normal 4 7 4 4 5 3" xfId="23948"/>
    <cellStyle name="Normal 4 7 4 4 5 4" xfId="40402"/>
    <cellStyle name="Normal 4 7 4 4 6" xfId="9143"/>
    <cellStyle name="Normal 4 7 4 4 6 2" xfId="25593"/>
    <cellStyle name="Normal 4 7 4 4 7" xfId="17367"/>
    <cellStyle name="Normal 4 7 4 4 8" xfId="33821"/>
    <cellStyle name="Normal 4 7 4 4 9" xfId="42048"/>
    <cellStyle name="Normal 4 7 4 5" xfId="1103"/>
    <cellStyle name="Normal 4 7 4 5 2" xfId="2798"/>
    <cellStyle name="Normal 4 7 4 5 2 2" xfId="11023"/>
    <cellStyle name="Normal 4 7 4 5 2 2 2" xfId="27473"/>
    <cellStyle name="Normal 4 7 4 5 2 3" xfId="19248"/>
    <cellStyle name="Normal 4 7 4 5 2 4" xfId="35702"/>
    <cellStyle name="Normal 4 7 4 5 3" xfId="4443"/>
    <cellStyle name="Normal 4 7 4 5 3 2" xfId="12668"/>
    <cellStyle name="Normal 4 7 4 5 3 2 2" xfId="29118"/>
    <cellStyle name="Normal 4 7 4 5 3 3" xfId="20893"/>
    <cellStyle name="Normal 4 7 4 5 3 4" xfId="37347"/>
    <cellStyle name="Normal 4 7 4 5 4" xfId="6088"/>
    <cellStyle name="Normal 4 7 4 5 4 2" xfId="14313"/>
    <cellStyle name="Normal 4 7 4 5 4 2 2" xfId="30763"/>
    <cellStyle name="Normal 4 7 4 5 4 3" xfId="22538"/>
    <cellStyle name="Normal 4 7 4 5 4 4" xfId="38992"/>
    <cellStyle name="Normal 4 7 4 5 5" xfId="7733"/>
    <cellStyle name="Normal 4 7 4 5 5 2" xfId="15958"/>
    <cellStyle name="Normal 4 7 4 5 5 2 2" xfId="32408"/>
    <cellStyle name="Normal 4 7 4 5 5 3" xfId="24183"/>
    <cellStyle name="Normal 4 7 4 5 5 4" xfId="40637"/>
    <cellStyle name="Normal 4 7 4 5 6" xfId="9378"/>
    <cellStyle name="Normal 4 7 4 5 6 2" xfId="25828"/>
    <cellStyle name="Normal 4 7 4 5 7" xfId="17602"/>
    <cellStyle name="Normal 4 7 4 5 8" xfId="34056"/>
    <cellStyle name="Normal 4 7 4 5 9" xfId="42283"/>
    <cellStyle name="Normal 4 7 4 6" xfId="1383"/>
    <cellStyle name="Normal 4 7 4 6 2" xfId="3033"/>
    <cellStyle name="Normal 4 7 4 6 2 2" xfId="11258"/>
    <cellStyle name="Normal 4 7 4 6 2 2 2" xfId="27708"/>
    <cellStyle name="Normal 4 7 4 6 2 3" xfId="19483"/>
    <cellStyle name="Normal 4 7 4 6 2 4" xfId="35937"/>
    <cellStyle name="Normal 4 7 4 6 3" xfId="4678"/>
    <cellStyle name="Normal 4 7 4 6 3 2" xfId="12903"/>
    <cellStyle name="Normal 4 7 4 6 3 2 2" xfId="29353"/>
    <cellStyle name="Normal 4 7 4 6 3 3" xfId="21128"/>
    <cellStyle name="Normal 4 7 4 6 3 4" xfId="37582"/>
    <cellStyle name="Normal 4 7 4 6 4" xfId="6323"/>
    <cellStyle name="Normal 4 7 4 6 4 2" xfId="14548"/>
    <cellStyle name="Normal 4 7 4 6 4 2 2" xfId="30998"/>
    <cellStyle name="Normal 4 7 4 6 4 3" xfId="22773"/>
    <cellStyle name="Normal 4 7 4 6 4 4" xfId="39227"/>
    <cellStyle name="Normal 4 7 4 6 5" xfId="7968"/>
    <cellStyle name="Normal 4 7 4 6 5 2" xfId="16193"/>
    <cellStyle name="Normal 4 7 4 6 5 2 2" xfId="32643"/>
    <cellStyle name="Normal 4 7 4 6 5 3" xfId="24418"/>
    <cellStyle name="Normal 4 7 4 6 5 4" xfId="40872"/>
    <cellStyle name="Normal 4 7 4 6 6" xfId="9613"/>
    <cellStyle name="Normal 4 7 4 6 6 2" xfId="26063"/>
    <cellStyle name="Normal 4 7 4 6 7" xfId="17837"/>
    <cellStyle name="Normal 4 7 4 6 8" xfId="34291"/>
    <cellStyle name="Normal 4 7 4 7" xfId="1618"/>
    <cellStyle name="Normal 4 7 4 7 2" xfId="3268"/>
    <cellStyle name="Normal 4 7 4 7 2 2" xfId="11493"/>
    <cellStyle name="Normal 4 7 4 7 2 2 2" xfId="27943"/>
    <cellStyle name="Normal 4 7 4 7 2 3" xfId="19718"/>
    <cellStyle name="Normal 4 7 4 7 2 4" xfId="36172"/>
    <cellStyle name="Normal 4 7 4 7 3" xfId="4913"/>
    <cellStyle name="Normal 4 7 4 7 3 2" xfId="13138"/>
    <cellStyle name="Normal 4 7 4 7 3 2 2" xfId="29588"/>
    <cellStyle name="Normal 4 7 4 7 3 3" xfId="21363"/>
    <cellStyle name="Normal 4 7 4 7 3 4" xfId="37817"/>
    <cellStyle name="Normal 4 7 4 7 4" xfId="6558"/>
    <cellStyle name="Normal 4 7 4 7 4 2" xfId="14783"/>
    <cellStyle name="Normal 4 7 4 7 4 2 2" xfId="31233"/>
    <cellStyle name="Normal 4 7 4 7 4 3" xfId="23008"/>
    <cellStyle name="Normal 4 7 4 7 4 4" xfId="39462"/>
    <cellStyle name="Normal 4 7 4 7 5" xfId="8203"/>
    <cellStyle name="Normal 4 7 4 7 5 2" xfId="16428"/>
    <cellStyle name="Normal 4 7 4 7 5 2 2" xfId="32878"/>
    <cellStyle name="Normal 4 7 4 7 5 3" xfId="24653"/>
    <cellStyle name="Normal 4 7 4 7 5 4" xfId="41107"/>
    <cellStyle name="Normal 4 7 4 7 6" xfId="9848"/>
    <cellStyle name="Normal 4 7 4 7 6 2" xfId="26298"/>
    <cellStyle name="Normal 4 7 4 7 7" xfId="18072"/>
    <cellStyle name="Normal 4 7 4 7 8" xfId="34526"/>
    <cellStyle name="Normal 4 7 4 8" xfId="1853"/>
    <cellStyle name="Normal 4 7 4 8 2" xfId="10083"/>
    <cellStyle name="Normal 4 7 4 8 2 2" xfId="26533"/>
    <cellStyle name="Normal 4 7 4 8 3" xfId="18307"/>
    <cellStyle name="Normal 4 7 4 8 4" xfId="34761"/>
    <cellStyle name="Normal 4 7 4 9" xfId="3503"/>
    <cellStyle name="Normal 4 7 4 9 2" xfId="11728"/>
    <cellStyle name="Normal 4 7 4 9 2 2" xfId="28178"/>
    <cellStyle name="Normal 4 7 4 9 3" xfId="19953"/>
    <cellStyle name="Normal 4 7 4 9 4" xfId="36407"/>
    <cellStyle name="Normal 4 7 5" xfId="176"/>
    <cellStyle name="Normal 4 7 5 10" xfId="5175"/>
    <cellStyle name="Normal 4 7 5 10 2" xfId="13400"/>
    <cellStyle name="Normal 4 7 5 10 2 2" xfId="29850"/>
    <cellStyle name="Normal 4 7 5 10 3" xfId="21625"/>
    <cellStyle name="Normal 4 7 5 10 4" xfId="38079"/>
    <cellStyle name="Normal 4 7 5 11" xfId="6820"/>
    <cellStyle name="Normal 4 7 5 11 2" xfId="15045"/>
    <cellStyle name="Normal 4 7 5 11 2 2" xfId="31495"/>
    <cellStyle name="Normal 4 7 5 11 3" xfId="23270"/>
    <cellStyle name="Normal 4 7 5 11 4" xfId="39724"/>
    <cellStyle name="Normal 4 7 5 12" xfId="8465"/>
    <cellStyle name="Normal 4 7 5 12 2" xfId="24915"/>
    <cellStyle name="Normal 4 7 5 13" xfId="16689"/>
    <cellStyle name="Normal 4 7 5 14" xfId="33142"/>
    <cellStyle name="Normal 4 7 5 15" xfId="41370"/>
    <cellStyle name="Normal 4 7 5 2" xfId="419"/>
    <cellStyle name="Normal 4 7 5 2 2" xfId="2118"/>
    <cellStyle name="Normal 4 7 5 2 2 2" xfId="10345"/>
    <cellStyle name="Normal 4 7 5 2 2 2 2" xfId="26795"/>
    <cellStyle name="Normal 4 7 5 2 2 3" xfId="18570"/>
    <cellStyle name="Normal 4 7 5 2 2 4" xfId="35024"/>
    <cellStyle name="Normal 4 7 5 2 3" xfId="3765"/>
    <cellStyle name="Normal 4 7 5 2 3 2" xfId="11990"/>
    <cellStyle name="Normal 4 7 5 2 3 2 2" xfId="28440"/>
    <cellStyle name="Normal 4 7 5 2 3 3" xfId="20215"/>
    <cellStyle name="Normal 4 7 5 2 3 4" xfId="36669"/>
    <cellStyle name="Normal 4 7 5 2 4" xfId="5410"/>
    <cellStyle name="Normal 4 7 5 2 4 2" xfId="13635"/>
    <cellStyle name="Normal 4 7 5 2 4 2 2" xfId="30085"/>
    <cellStyle name="Normal 4 7 5 2 4 3" xfId="21860"/>
    <cellStyle name="Normal 4 7 5 2 4 4" xfId="38314"/>
    <cellStyle name="Normal 4 7 5 2 5" xfId="7055"/>
    <cellStyle name="Normal 4 7 5 2 5 2" xfId="15280"/>
    <cellStyle name="Normal 4 7 5 2 5 2 2" xfId="31730"/>
    <cellStyle name="Normal 4 7 5 2 5 3" xfId="23505"/>
    <cellStyle name="Normal 4 7 5 2 5 4" xfId="39959"/>
    <cellStyle name="Normal 4 7 5 2 6" xfId="8700"/>
    <cellStyle name="Normal 4 7 5 2 6 2" xfId="25150"/>
    <cellStyle name="Normal 4 7 5 2 7" xfId="16924"/>
    <cellStyle name="Normal 4 7 5 2 8" xfId="33378"/>
    <cellStyle name="Normal 4 7 5 2 9" xfId="41605"/>
    <cellStyle name="Normal 4 7 5 3" xfId="660"/>
    <cellStyle name="Normal 4 7 5 3 2" xfId="2355"/>
    <cellStyle name="Normal 4 7 5 3 2 2" xfId="10580"/>
    <cellStyle name="Normal 4 7 5 3 2 2 2" xfId="27030"/>
    <cellStyle name="Normal 4 7 5 3 2 3" xfId="18805"/>
    <cellStyle name="Normal 4 7 5 3 2 4" xfId="35259"/>
    <cellStyle name="Normal 4 7 5 3 3" xfId="4000"/>
    <cellStyle name="Normal 4 7 5 3 3 2" xfId="12225"/>
    <cellStyle name="Normal 4 7 5 3 3 2 2" xfId="28675"/>
    <cellStyle name="Normal 4 7 5 3 3 3" xfId="20450"/>
    <cellStyle name="Normal 4 7 5 3 3 4" xfId="36904"/>
    <cellStyle name="Normal 4 7 5 3 4" xfId="5645"/>
    <cellStyle name="Normal 4 7 5 3 4 2" xfId="13870"/>
    <cellStyle name="Normal 4 7 5 3 4 2 2" xfId="30320"/>
    <cellStyle name="Normal 4 7 5 3 4 3" xfId="22095"/>
    <cellStyle name="Normal 4 7 5 3 4 4" xfId="38549"/>
    <cellStyle name="Normal 4 7 5 3 5" xfId="7290"/>
    <cellStyle name="Normal 4 7 5 3 5 2" xfId="15515"/>
    <cellStyle name="Normal 4 7 5 3 5 2 2" xfId="31965"/>
    <cellStyle name="Normal 4 7 5 3 5 3" xfId="23740"/>
    <cellStyle name="Normal 4 7 5 3 5 4" xfId="40194"/>
    <cellStyle name="Normal 4 7 5 3 6" xfId="8935"/>
    <cellStyle name="Normal 4 7 5 3 6 2" xfId="25385"/>
    <cellStyle name="Normal 4 7 5 3 7" xfId="17159"/>
    <cellStyle name="Normal 4 7 5 3 8" xfId="33613"/>
    <cellStyle name="Normal 4 7 5 3 9" xfId="41840"/>
    <cellStyle name="Normal 4 7 5 4" xfId="895"/>
    <cellStyle name="Normal 4 7 5 4 2" xfId="2590"/>
    <cellStyle name="Normal 4 7 5 4 2 2" xfId="10815"/>
    <cellStyle name="Normal 4 7 5 4 2 2 2" xfId="27265"/>
    <cellStyle name="Normal 4 7 5 4 2 3" xfId="19040"/>
    <cellStyle name="Normal 4 7 5 4 2 4" xfId="35494"/>
    <cellStyle name="Normal 4 7 5 4 3" xfId="4235"/>
    <cellStyle name="Normal 4 7 5 4 3 2" xfId="12460"/>
    <cellStyle name="Normal 4 7 5 4 3 2 2" xfId="28910"/>
    <cellStyle name="Normal 4 7 5 4 3 3" xfId="20685"/>
    <cellStyle name="Normal 4 7 5 4 3 4" xfId="37139"/>
    <cellStyle name="Normal 4 7 5 4 4" xfId="5880"/>
    <cellStyle name="Normal 4 7 5 4 4 2" xfId="14105"/>
    <cellStyle name="Normal 4 7 5 4 4 2 2" xfId="30555"/>
    <cellStyle name="Normal 4 7 5 4 4 3" xfId="22330"/>
    <cellStyle name="Normal 4 7 5 4 4 4" xfId="38784"/>
    <cellStyle name="Normal 4 7 5 4 5" xfId="7525"/>
    <cellStyle name="Normal 4 7 5 4 5 2" xfId="15750"/>
    <cellStyle name="Normal 4 7 5 4 5 2 2" xfId="32200"/>
    <cellStyle name="Normal 4 7 5 4 5 3" xfId="23975"/>
    <cellStyle name="Normal 4 7 5 4 5 4" xfId="40429"/>
    <cellStyle name="Normal 4 7 5 4 6" xfId="9170"/>
    <cellStyle name="Normal 4 7 5 4 6 2" xfId="25620"/>
    <cellStyle name="Normal 4 7 5 4 7" xfId="17394"/>
    <cellStyle name="Normal 4 7 5 4 8" xfId="33848"/>
    <cellStyle name="Normal 4 7 5 4 9" xfId="42075"/>
    <cellStyle name="Normal 4 7 5 5" xfId="1130"/>
    <cellStyle name="Normal 4 7 5 5 2" xfId="2825"/>
    <cellStyle name="Normal 4 7 5 5 2 2" xfId="11050"/>
    <cellStyle name="Normal 4 7 5 5 2 2 2" xfId="27500"/>
    <cellStyle name="Normal 4 7 5 5 2 3" xfId="19275"/>
    <cellStyle name="Normal 4 7 5 5 2 4" xfId="35729"/>
    <cellStyle name="Normal 4 7 5 5 3" xfId="4470"/>
    <cellStyle name="Normal 4 7 5 5 3 2" xfId="12695"/>
    <cellStyle name="Normal 4 7 5 5 3 2 2" xfId="29145"/>
    <cellStyle name="Normal 4 7 5 5 3 3" xfId="20920"/>
    <cellStyle name="Normal 4 7 5 5 3 4" xfId="37374"/>
    <cellStyle name="Normal 4 7 5 5 4" xfId="6115"/>
    <cellStyle name="Normal 4 7 5 5 4 2" xfId="14340"/>
    <cellStyle name="Normal 4 7 5 5 4 2 2" xfId="30790"/>
    <cellStyle name="Normal 4 7 5 5 4 3" xfId="22565"/>
    <cellStyle name="Normal 4 7 5 5 4 4" xfId="39019"/>
    <cellStyle name="Normal 4 7 5 5 5" xfId="7760"/>
    <cellStyle name="Normal 4 7 5 5 5 2" xfId="15985"/>
    <cellStyle name="Normal 4 7 5 5 5 2 2" xfId="32435"/>
    <cellStyle name="Normal 4 7 5 5 5 3" xfId="24210"/>
    <cellStyle name="Normal 4 7 5 5 5 4" xfId="40664"/>
    <cellStyle name="Normal 4 7 5 5 6" xfId="9405"/>
    <cellStyle name="Normal 4 7 5 5 6 2" xfId="25855"/>
    <cellStyle name="Normal 4 7 5 5 7" xfId="17629"/>
    <cellStyle name="Normal 4 7 5 5 8" xfId="34083"/>
    <cellStyle name="Normal 4 7 5 5 9" xfId="42310"/>
    <cellStyle name="Normal 4 7 5 6" xfId="1410"/>
    <cellStyle name="Normal 4 7 5 6 2" xfId="3060"/>
    <cellStyle name="Normal 4 7 5 6 2 2" xfId="11285"/>
    <cellStyle name="Normal 4 7 5 6 2 2 2" xfId="27735"/>
    <cellStyle name="Normal 4 7 5 6 2 3" xfId="19510"/>
    <cellStyle name="Normal 4 7 5 6 2 4" xfId="35964"/>
    <cellStyle name="Normal 4 7 5 6 3" xfId="4705"/>
    <cellStyle name="Normal 4 7 5 6 3 2" xfId="12930"/>
    <cellStyle name="Normal 4 7 5 6 3 2 2" xfId="29380"/>
    <cellStyle name="Normal 4 7 5 6 3 3" xfId="21155"/>
    <cellStyle name="Normal 4 7 5 6 3 4" xfId="37609"/>
    <cellStyle name="Normal 4 7 5 6 4" xfId="6350"/>
    <cellStyle name="Normal 4 7 5 6 4 2" xfId="14575"/>
    <cellStyle name="Normal 4 7 5 6 4 2 2" xfId="31025"/>
    <cellStyle name="Normal 4 7 5 6 4 3" xfId="22800"/>
    <cellStyle name="Normal 4 7 5 6 4 4" xfId="39254"/>
    <cellStyle name="Normal 4 7 5 6 5" xfId="7995"/>
    <cellStyle name="Normal 4 7 5 6 5 2" xfId="16220"/>
    <cellStyle name="Normal 4 7 5 6 5 2 2" xfId="32670"/>
    <cellStyle name="Normal 4 7 5 6 5 3" xfId="24445"/>
    <cellStyle name="Normal 4 7 5 6 5 4" xfId="40899"/>
    <cellStyle name="Normal 4 7 5 6 6" xfId="9640"/>
    <cellStyle name="Normal 4 7 5 6 6 2" xfId="26090"/>
    <cellStyle name="Normal 4 7 5 6 7" xfId="17864"/>
    <cellStyle name="Normal 4 7 5 6 8" xfId="34318"/>
    <cellStyle name="Normal 4 7 5 7" xfId="1645"/>
    <cellStyle name="Normal 4 7 5 7 2" xfId="3295"/>
    <cellStyle name="Normal 4 7 5 7 2 2" xfId="11520"/>
    <cellStyle name="Normal 4 7 5 7 2 2 2" xfId="27970"/>
    <cellStyle name="Normal 4 7 5 7 2 3" xfId="19745"/>
    <cellStyle name="Normal 4 7 5 7 2 4" xfId="36199"/>
    <cellStyle name="Normal 4 7 5 7 3" xfId="4940"/>
    <cellStyle name="Normal 4 7 5 7 3 2" xfId="13165"/>
    <cellStyle name="Normal 4 7 5 7 3 2 2" xfId="29615"/>
    <cellStyle name="Normal 4 7 5 7 3 3" xfId="21390"/>
    <cellStyle name="Normal 4 7 5 7 3 4" xfId="37844"/>
    <cellStyle name="Normal 4 7 5 7 4" xfId="6585"/>
    <cellStyle name="Normal 4 7 5 7 4 2" xfId="14810"/>
    <cellStyle name="Normal 4 7 5 7 4 2 2" xfId="31260"/>
    <cellStyle name="Normal 4 7 5 7 4 3" xfId="23035"/>
    <cellStyle name="Normal 4 7 5 7 4 4" xfId="39489"/>
    <cellStyle name="Normal 4 7 5 7 5" xfId="8230"/>
    <cellStyle name="Normal 4 7 5 7 5 2" xfId="16455"/>
    <cellStyle name="Normal 4 7 5 7 5 2 2" xfId="32905"/>
    <cellStyle name="Normal 4 7 5 7 5 3" xfId="24680"/>
    <cellStyle name="Normal 4 7 5 7 5 4" xfId="41134"/>
    <cellStyle name="Normal 4 7 5 7 6" xfId="9875"/>
    <cellStyle name="Normal 4 7 5 7 6 2" xfId="26325"/>
    <cellStyle name="Normal 4 7 5 7 7" xfId="18099"/>
    <cellStyle name="Normal 4 7 5 7 8" xfId="34553"/>
    <cellStyle name="Normal 4 7 5 8" xfId="1880"/>
    <cellStyle name="Normal 4 7 5 8 2" xfId="10110"/>
    <cellStyle name="Normal 4 7 5 8 2 2" xfId="26560"/>
    <cellStyle name="Normal 4 7 5 8 3" xfId="18334"/>
    <cellStyle name="Normal 4 7 5 8 4" xfId="34788"/>
    <cellStyle name="Normal 4 7 5 9" xfId="3530"/>
    <cellStyle name="Normal 4 7 5 9 2" xfId="11755"/>
    <cellStyle name="Normal 4 7 5 9 2 2" xfId="28205"/>
    <cellStyle name="Normal 4 7 5 9 3" xfId="19980"/>
    <cellStyle name="Normal 4 7 5 9 4" xfId="36434"/>
    <cellStyle name="Normal 4 7 6" xfId="205"/>
    <cellStyle name="Normal 4 7 6 10" xfId="5202"/>
    <cellStyle name="Normal 4 7 6 10 2" xfId="13427"/>
    <cellStyle name="Normal 4 7 6 10 2 2" xfId="29877"/>
    <cellStyle name="Normal 4 7 6 10 3" xfId="21652"/>
    <cellStyle name="Normal 4 7 6 10 4" xfId="38106"/>
    <cellStyle name="Normal 4 7 6 11" xfId="6847"/>
    <cellStyle name="Normal 4 7 6 11 2" xfId="15072"/>
    <cellStyle name="Normal 4 7 6 11 2 2" xfId="31522"/>
    <cellStyle name="Normal 4 7 6 11 3" xfId="23297"/>
    <cellStyle name="Normal 4 7 6 11 4" xfId="39751"/>
    <cellStyle name="Normal 4 7 6 12" xfId="8492"/>
    <cellStyle name="Normal 4 7 6 12 2" xfId="24942"/>
    <cellStyle name="Normal 4 7 6 13" xfId="16716"/>
    <cellStyle name="Normal 4 7 6 14" xfId="33169"/>
    <cellStyle name="Normal 4 7 6 15" xfId="41397"/>
    <cellStyle name="Normal 4 7 6 2" xfId="448"/>
    <cellStyle name="Normal 4 7 6 2 2" xfId="2145"/>
    <cellStyle name="Normal 4 7 6 2 2 2" xfId="10372"/>
    <cellStyle name="Normal 4 7 6 2 2 2 2" xfId="26822"/>
    <cellStyle name="Normal 4 7 6 2 2 3" xfId="18597"/>
    <cellStyle name="Normal 4 7 6 2 2 4" xfId="35051"/>
    <cellStyle name="Normal 4 7 6 2 3" xfId="3792"/>
    <cellStyle name="Normal 4 7 6 2 3 2" xfId="12017"/>
    <cellStyle name="Normal 4 7 6 2 3 2 2" xfId="28467"/>
    <cellStyle name="Normal 4 7 6 2 3 3" xfId="20242"/>
    <cellStyle name="Normal 4 7 6 2 3 4" xfId="36696"/>
    <cellStyle name="Normal 4 7 6 2 4" xfId="5437"/>
    <cellStyle name="Normal 4 7 6 2 4 2" xfId="13662"/>
    <cellStyle name="Normal 4 7 6 2 4 2 2" xfId="30112"/>
    <cellStyle name="Normal 4 7 6 2 4 3" xfId="21887"/>
    <cellStyle name="Normal 4 7 6 2 4 4" xfId="38341"/>
    <cellStyle name="Normal 4 7 6 2 5" xfId="7082"/>
    <cellStyle name="Normal 4 7 6 2 5 2" xfId="15307"/>
    <cellStyle name="Normal 4 7 6 2 5 2 2" xfId="31757"/>
    <cellStyle name="Normal 4 7 6 2 5 3" xfId="23532"/>
    <cellStyle name="Normal 4 7 6 2 5 4" xfId="39986"/>
    <cellStyle name="Normal 4 7 6 2 6" xfId="8727"/>
    <cellStyle name="Normal 4 7 6 2 6 2" xfId="25177"/>
    <cellStyle name="Normal 4 7 6 2 7" xfId="16951"/>
    <cellStyle name="Normal 4 7 6 2 8" xfId="33405"/>
    <cellStyle name="Normal 4 7 6 2 9" xfId="41632"/>
    <cellStyle name="Normal 4 7 6 3" xfId="687"/>
    <cellStyle name="Normal 4 7 6 3 2" xfId="2382"/>
    <cellStyle name="Normal 4 7 6 3 2 2" xfId="10607"/>
    <cellStyle name="Normal 4 7 6 3 2 2 2" xfId="27057"/>
    <cellStyle name="Normal 4 7 6 3 2 3" xfId="18832"/>
    <cellStyle name="Normal 4 7 6 3 2 4" xfId="35286"/>
    <cellStyle name="Normal 4 7 6 3 3" xfId="4027"/>
    <cellStyle name="Normal 4 7 6 3 3 2" xfId="12252"/>
    <cellStyle name="Normal 4 7 6 3 3 2 2" xfId="28702"/>
    <cellStyle name="Normal 4 7 6 3 3 3" xfId="20477"/>
    <cellStyle name="Normal 4 7 6 3 3 4" xfId="36931"/>
    <cellStyle name="Normal 4 7 6 3 4" xfId="5672"/>
    <cellStyle name="Normal 4 7 6 3 4 2" xfId="13897"/>
    <cellStyle name="Normal 4 7 6 3 4 2 2" xfId="30347"/>
    <cellStyle name="Normal 4 7 6 3 4 3" xfId="22122"/>
    <cellStyle name="Normal 4 7 6 3 4 4" xfId="38576"/>
    <cellStyle name="Normal 4 7 6 3 5" xfId="7317"/>
    <cellStyle name="Normal 4 7 6 3 5 2" xfId="15542"/>
    <cellStyle name="Normal 4 7 6 3 5 2 2" xfId="31992"/>
    <cellStyle name="Normal 4 7 6 3 5 3" xfId="23767"/>
    <cellStyle name="Normal 4 7 6 3 5 4" xfId="40221"/>
    <cellStyle name="Normal 4 7 6 3 6" xfId="8962"/>
    <cellStyle name="Normal 4 7 6 3 6 2" xfId="25412"/>
    <cellStyle name="Normal 4 7 6 3 7" xfId="17186"/>
    <cellStyle name="Normal 4 7 6 3 8" xfId="33640"/>
    <cellStyle name="Normal 4 7 6 3 9" xfId="41867"/>
    <cellStyle name="Normal 4 7 6 4" xfId="922"/>
    <cellStyle name="Normal 4 7 6 4 2" xfId="2617"/>
    <cellStyle name="Normal 4 7 6 4 2 2" xfId="10842"/>
    <cellStyle name="Normal 4 7 6 4 2 2 2" xfId="27292"/>
    <cellStyle name="Normal 4 7 6 4 2 3" xfId="19067"/>
    <cellStyle name="Normal 4 7 6 4 2 4" xfId="35521"/>
    <cellStyle name="Normal 4 7 6 4 3" xfId="4262"/>
    <cellStyle name="Normal 4 7 6 4 3 2" xfId="12487"/>
    <cellStyle name="Normal 4 7 6 4 3 2 2" xfId="28937"/>
    <cellStyle name="Normal 4 7 6 4 3 3" xfId="20712"/>
    <cellStyle name="Normal 4 7 6 4 3 4" xfId="37166"/>
    <cellStyle name="Normal 4 7 6 4 4" xfId="5907"/>
    <cellStyle name="Normal 4 7 6 4 4 2" xfId="14132"/>
    <cellStyle name="Normal 4 7 6 4 4 2 2" xfId="30582"/>
    <cellStyle name="Normal 4 7 6 4 4 3" xfId="22357"/>
    <cellStyle name="Normal 4 7 6 4 4 4" xfId="38811"/>
    <cellStyle name="Normal 4 7 6 4 5" xfId="7552"/>
    <cellStyle name="Normal 4 7 6 4 5 2" xfId="15777"/>
    <cellStyle name="Normal 4 7 6 4 5 2 2" xfId="32227"/>
    <cellStyle name="Normal 4 7 6 4 5 3" xfId="24002"/>
    <cellStyle name="Normal 4 7 6 4 5 4" xfId="40456"/>
    <cellStyle name="Normal 4 7 6 4 6" xfId="9197"/>
    <cellStyle name="Normal 4 7 6 4 6 2" xfId="25647"/>
    <cellStyle name="Normal 4 7 6 4 7" xfId="17421"/>
    <cellStyle name="Normal 4 7 6 4 8" xfId="33875"/>
    <cellStyle name="Normal 4 7 6 4 9" xfId="42102"/>
    <cellStyle name="Normal 4 7 6 5" xfId="1157"/>
    <cellStyle name="Normal 4 7 6 5 2" xfId="2852"/>
    <cellStyle name="Normal 4 7 6 5 2 2" xfId="11077"/>
    <cellStyle name="Normal 4 7 6 5 2 2 2" xfId="27527"/>
    <cellStyle name="Normal 4 7 6 5 2 3" xfId="19302"/>
    <cellStyle name="Normal 4 7 6 5 2 4" xfId="35756"/>
    <cellStyle name="Normal 4 7 6 5 3" xfId="4497"/>
    <cellStyle name="Normal 4 7 6 5 3 2" xfId="12722"/>
    <cellStyle name="Normal 4 7 6 5 3 2 2" xfId="29172"/>
    <cellStyle name="Normal 4 7 6 5 3 3" xfId="20947"/>
    <cellStyle name="Normal 4 7 6 5 3 4" xfId="37401"/>
    <cellStyle name="Normal 4 7 6 5 4" xfId="6142"/>
    <cellStyle name="Normal 4 7 6 5 4 2" xfId="14367"/>
    <cellStyle name="Normal 4 7 6 5 4 2 2" xfId="30817"/>
    <cellStyle name="Normal 4 7 6 5 4 3" xfId="22592"/>
    <cellStyle name="Normal 4 7 6 5 4 4" xfId="39046"/>
    <cellStyle name="Normal 4 7 6 5 5" xfId="7787"/>
    <cellStyle name="Normal 4 7 6 5 5 2" xfId="16012"/>
    <cellStyle name="Normal 4 7 6 5 5 2 2" xfId="32462"/>
    <cellStyle name="Normal 4 7 6 5 5 3" xfId="24237"/>
    <cellStyle name="Normal 4 7 6 5 5 4" xfId="40691"/>
    <cellStyle name="Normal 4 7 6 5 6" xfId="9432"/>
    <cellStyle name="Normal 4 7 6 5 6 2" xfId="25882"/>
    <cellStyle name="Normal 4 7 6 5 7" xfId="17656"/>
    <cellStyle name="Normal 4 7 6 5 8" xfId="34110"/>
    <cellStyle name="Normal 4 7 6 5 9" xfId="42337"/>
    <cellStyle name="Normal 4 7 6 6" xfId="1437"/>
    <cellStyle name="Normal 4 7 6 6 2" xfId="3087"/>
    <cellStyle name="Normal 4 7 6 6 2 2" xfId="11312"/>
    <cellStyle name="Normal 4 7 6 6 2 2 2" xfId="27762"/>
    <cellStyle name="Normal 4 7 6 6 2 3" xfId="19537"/>
    <cellStyle name="Normal 4 7 6 6 2 4" xfId="35991"/>
    <cellStyle name="Normal 4 7 6 6 3" xfId="4732"/>
    <cellStyle name="Normal 4 7 6 6 3 2" xfId="12957"/>
    <cellStyle name="Normal 4 7 6 6 3 2 2" xfId="29407"/>
    <cellStyle name="Normal 4 7 6 6 3 3" xfId="21182"/>
    <cellStyle name="Normal 4 7 6 6 3 4" xfId="37636"/>
    <cellStyle name="Normal 4 7 6 6 4" xfId="6377"/>
    <cellStyle name="Normal 4 7 6 6 4 2" xfId="14602"/>
    <cellStyle name="Normal 4 7 6 6 4 2 2" xfId="31052"/>
    <cellStyle name="Normal 4 7 6 6 4 3" xfId="22827"/>
    <cellStyle name="Normal 4 7 6 6 4 4" xfId="39281"/>
    <cellStyle name="Normal 4 7 6 6 5" xfId="8022"/>
    <cellStyle name="Normal 4 7 6 6 5 2" xfId="16247"/>
    <cellStyle name="Normal 4 7 6 6 5 2 2" xfId="32697"/>
    <cellStyle name="Normal 4 7 6 6 5 3" xfId="24472"/>
    <cellStyle name="Normal 4 7 6 6 5 4" xfId="40926"/>
    <cellStyle name="Normal 4 7 6 6 6" xfId="9667"/>
    <cellStyle name="Normal 4 7 6 6 6 2" xfId="26117"/>
    <cellStyle name="Normal 4 7 6 6 7" xfId="17891"/>
    <cellStyle name="Normal 4 7 6 6 8" xfId="34345"/>
    <cellStyle name="Normal 4 7 6 7" xfId="1672"/>
    <cellStyle name="Normal 4 7 6 7 2" xfId="3322"/>
    <cellStyle name="Normal 4 7 6 7 2 2" xfId="11547"/>
    <cellStyle name="Normal 4 7 6 7 2 2 2" xfId="27997"/>
    <cellStyle name="Normal 4 7 6 7 2 3" xfId="19772"/>
    <cellStyle name="Normal 4 7 6 7 2 4" xfId="36226"/>
    <cellStyle name="Normal 4 7 6 7 3" xfId="4967"/>
    <cellStyle name="Normal 4 7 6 7 3 2" xfId="13192"/>
    <cellStyle name="Normal 4 7 6 7 3 2 2" xfId="29642"/>
    <cellStyle name="Normal 4 7 6 7 3 3" xfId="21417"/>
    <cellStyle name="Normal 4 7 6 7 3 4" xfId="37871"/>
    <cellStyle name="Normal 4 7 6 7 4" xfId="6612"/>
    <cellStyle name="Normal 4 7 6 7 4 2" xfId="14837"/>
    <cellStyle name="Normal 4 7 6 7 4 2 2" xfId="31287"/>
    <cellStyle name="Normal 4 7 6 7 4 3" xfId="23062"/>
    <cellStyle name="Normal 4 7 6 7 4 4" xfId="39516"/>
    <cellStyle name="Normal 4 7 6 7 5" xfId="8257"/>
    <cellStyle name="Normal 4 7 6 7 5 2" xfId="16482"/>
    <cellStyle name="Normal 4 7 6 7 5 2 2" xfId="32932"/>
    <cellStyle name="Normal 4 7 6 7 5 3" xfId="24707"/>
    <cellStyle name="Normal 4 7 6 7 5 4" xfId="41161"/>
    <cellStyle name="Normal 4 7 6 7 6" xfId="9902"/>
    <cellStyle name="Normal 4 7 6 7 6 2" xfId="26352"/>
    <cellStyle name="Normal 4 7 6 7 7" xfId="18126"/>
    <cellStyle name="Normal 4 7 6 7 8" xfId="34580"/>
    <cellStyle name="Normal 4 7 6 8" xfId="1907"/>
    <cellStyle name="Normal 4 7 6 8 2" xfId="10137"/>
    <cellStyle name="Normal 4 7 6 8 2 2" xfId="26587"/>
    <cellStyle name="Normal 4 7 6 8 3" xfId="18361"/>
    <cellStyle name="Normal 4 7 6 8 4" xfId="34815"/>
    <cellStyle name="Normal 4 7 6 9" xfId="3557"/>
    <cellStyle name="Normal 4 7 6 9 2" xfId="11782"/>
    <cellStyle name="Normal 4 7 6 9 2 2" xfId="28232"/>
    <cellStyle name="Normal 4 7 6 9 3" xfId="20007"/>
    <cellStyle name="Normal 4 7 6 9 4" xfId="36461"/>
    <cellStyle name="Normal 4 7 7" xfId="232"/>
    <cellStyle name="Normal 4 7 7 10" xfId="5229"/>
    <cellStyle name="Normal 4 7 7 10 2" xfId="13454"/>
    <cellStyle name="Normal 4 7 7 10 2 2" xfId="29904"/>
    <cellStyle name="Normal 4 7 7 10 3" xfId="21679"/>
    <cellStyle name="Normal 4 7 7 10 4" xfId="38133"/>
    <cellStyle name="Normal 4 7 7 11" xfId="6874"/>
    <cellStyle name="Normal 4 7 7 11 2" xfId="15099"/>
    <cellStyle name="Normal 4 7 7 11 2 2" xfId="31549"/>
    <cellStyle name="Normal 4 7 7 11 3" xfId="23324"/>
    <cellStyle name="Normal 4 7 7 11 4" xfId="39778"/>
    <cellStyle name="Normal 4 7 7 12" xfId="8519"/>
    <cellStyle name="Normal 4 7 7 12 2" xfId="24969"/>
    <cellStyle name="Normal 4 7 7 13" xfId="16743"/>
    <cellStyle name="Normal 4 7 7 14" xfId="33196"/>
    <cellStyle name="Normal 4 7 7 15" xfId="41424"/>
    <cellStyle name="Normal 4 7 7 2" xfId="475"/>
    <cellStyle name="Normal 4 7 7 2 2" xfId="2172"/>
    <cellStyle name="Normal 4 7 7 2 2 2" xfId="10399"/>
    <cellStyle name="Normal 4 7 7 2 2 2 2" xfId="26849"/>
    <cellStyle name="Normal 4 7 7 2 2 3" xfId="18624"/>
    <cellStyle name="Normal 4 7 7 2 2 4" xfId="35078"/>
    <cellStyle name="Normal 4 7 7 2 3" xfId="3819"/>
    <cellStyle name="Normal 4 7 7 2 3 2" xfId="12044"/>
    <cellStyle name="Normal 4 7 7 2 3 2 2" xfId="28494"/>
    <cellStyle name="Normal 4 7 7 2 3 3" xfId="20269"/>
    <cellStyle name="Normal 4 7 7 2 3 4" xfId="36723"/>
    <cellStyle name="Normal 4 7 7 2 4" xfId="5464"/>
    <cellStyle name="Normal 4 7 7 2 4 2" xfId="13689"/>
    <cellStyle name="Normal 4 7 7 2 4 2 2" xfId="30139"/>
    <cellStyle name="Normal 4 7 7 2 4 3" xfId="21914"/>
    <cellStyle name="Normal 4 7 7 2 4 4" xfId="38368"/>
    <cellStyle name="Normal 4 7 7 2 5" xfId="7109"/>
    <cellStyle name="Normal 4 7 7 2 5 2" xfId="15334"/>
    <cellStyle name="Normal 4 7 7 2 5 2 2" xfId="31784"/>
    <cellStyle name="Normal 4 7 7 2 5 3" xfId="23559"/>
    <cellStyle name="Normal 4 7 7 2 5 4" xfId="40013"/>
    <cellStyle name="Normal 4 7 7 2 6" xfId="8754"/>
    <cellStyle name="Normal 4 7 7 2 6 2" xfId="25204"/>
    <cellStyle name="Normal 4 7 7 2 7" xfId="16978"/>
    <cellStyle name="Normal 4 7 7 2 8" xfId="33432"/>
    <cellStyle name="Normal 4 7 7 2 9" xfId="41659"/>
    <cellStyle name="Normal 4 7 7 3" xfId="714"/>
    <cellStyle name="Normal 4 7 7 3 2" xfId="2409"/>
    <cellStyle name="Normal 4 7 7 3 2 2" xfId="10634"/>
    <cellStyle name="Normal 4 7 7 3 2 2 2" xfId="27084"/>
    <cellStyle name="Normal 4 7 7 3 2 3" xfId="18859"/>
    <cellStyle name="Normal 4 7 7 3 2 4" xfId="35313"/>
    <cellStyle name="Normal 4 7 7 3 3" xfId="4054"/>
    <cellStyle name="Normal 4 7 7 3 3 2" xfId="12279"/>
    <cellStyle name="Normal 4 7 7 3 3 2 2" xfId="28729"/>
    <cellStyle name="Normal 4 7 7 3 3 3" xfId="20504"/>
    <cellStyle name="Normal 4 7 7 3 3 4" xfId="36958"/>
    <cellStyle name="Normal 4 7 7 3 4" xfId="5699"/>
    <cellStyle name="Normal 4 7 7 3 4 2" xfId="13924"/>
    <cellStyle name="Normal 4 7 7 3 4 2 2" xfId="30374"/>
    <cellStyle name="Normal 4 7 7 3 4 3" xfId="22149"/>
    <cellStyle name="Normal 4 7 7 3 4 4" xfId="38603"/>
    <cellStyle name="Normal 4 7 7 3 5" xfId="7344"/>
    <cellStyle name="Normal 4 7 7 3 5 2" xfId="15569"/>
    <cellStyle name="Normal 4 7 7 3 5 2 2" xfId="32019"/>
    <cellStyle name="Normal 4 7 7 3 5 3" xfId="23794"/>
    <cellStyle name="Normal 4 7 7 3 5 4" xfId="40248"/>
    <cellStyle name="Normal 4 7 7 3 6" xfId="8989"/>
    <cellStyle name="Normal 4 7 7 3 6 2" xfId="25439"/>
    <cellStyle name="Normal 4 7 7 3 7" xfId="17213"/>
    <cellStyle name="Normal 4 7 7 3 8" xfId="33667"/>
    <cellStyle name="Normal 4 7 7 3 9" xfId="41894"/>
    <cellStyle name="Normal 4 7 7 4" xfId="949"/>
    <cellStyle name="Normal 4 7 7 4 2" xfId="2644"/>
    <cellStyle name="Normal 4 7 7 4 2 2" xfId="10869"/>
    <cellStyle name="Normal 4 7 7 4 2 2 2" xfId="27319"/>
    <cellStyle name="Normal 4 7 7 4 2 3" xfId="19094"/>
    <cellStyle name="Normal 4 7 7 4 2 4" xfId="35548"/>
    <cellStyle name="Normal 4 7 7 4 3" xfId="4289"/>
    <cellStyle name="Normal 4 7 7 4 3 2" xfId="12514"/>
    <cellStyle name="Normal 4 7 7 4 3 2 2" xfId="28964"/>
    <cellStyle name="Normal 4 7 7 4 3 3" xfId="20739"/>
    <cellStyle name="Normal 4 7 7 4 3 4" xfId="37193"/>
    <cellStyle name="Normal 4 7 7 4 4" xfId="5934"/>
    <cellStyle name="Normal 4 7 7 4 4 2" xfId="14159"/>
    <cellStyle name="Normal 4 7 7 4 4 2 2" xfId="30609"/>
    <cellStyle name="Normal 4 7 7 4 4 3" xfId="22384"/>
    <cellStyle name="Normal 4 7 7 4 4 4" xfId="38838"/>
    <cellStyle name="Normal 4 7 7 4 5" xfId="7579"/>
    <cellStyle name="Normal 4 7 7 4 5 2" xfId="15804"/>
    <cellStyle name="Normal 4 7 7 4 5 2 2" xfId="32254"/>
    <cellStyle name="Normal 4 7 7 4 5 3" xfId="24029"/>
    <cellStyle name="Normal 4 7 7 4 5 4" xfId="40483"/>
    <cellStyle name="Normal 4 7 7 4 6" xfId="9224"/>
    <cellStyle name="Normal 4 7 7 4 6 2" xfId="25674"/>
    <cellStyle name="Normal 4 7 7 4 7" xfId="17448"/>
    <cellStyle name="Normal 4 7 7 4 8" xfId="33902"/>
    <cellStyle name="Normal 4 7 7 4 9" xfId="42129"/>
    <cellStyle name="Normal 4 7 7 5" xfId="1184"/>
    <cellStyle name="Normal 4 7 7 5 2" xfId="2879"/>
    <cellStyle name="Normal 4 7 7 5 2 2" xfId="11104"/>
    <cellStyle name="Normal 4 7 7 5 2 2 2" xfId="27554"/>
    <cellStyle name="Normal 4 7 7 5 2 3" xfId="19329"/>
    <cellStyle name="Normal 4 7 7 5 2 4" xfId="35783"/>
    <cellStyle name="Normal 4 7 7 5 3" xfId="4524"/>
    <cellStyle name="Normal 4 7 7 5 3 2" xfId="12749"/>
    <cellStyle name="Normal 4 7 7 5 3 2 2" xfId="29199"/>
    <cellStyle name="Normal 4 7 7 5 3 3" xfId="20974"/>
    <cellStyle name="Normal 4 7 7 5 3 4" xfId="37428"/>
    <cellStyle name="Normal 4 7 7 5 4" xfId="6169"/>
    <cellStyle name="Normal 4 7 7 5 4 2" xfId="14394"/>
    <cellStyle name="Normal 4 7 7 5 4 2 2" xfId="30844"/>
    <cellStyle name="Normal 4 7 7 5 4 3" xfId="22619"/>
    <cellStyle name="Normal 4 7 7 5 4 4" xfId="39073"/>
    <cellStyle name="Normal 4 7 7 5 5" xfId="7814"/>
    <cellStyle name="Normal 4 7 7 5 5 2" xfId="16039"/>
    <cellStyle name="Normal 4 7 7 5 5 2 2" xfId="32489"/>
    <cellStyle name="Normal 4 7 7 5 5 3" xfId="24264"/>
    <cellStyle name="Normal 4 7 7 5 5 4" xfId="40718"/>
    <cellStyle name="Normal 4 7 7 5 6" xfId="9459"/>
    <cellStyle name="Normal 4 7 7 5 6 2" xfId="25909"/>
    <cellStyle name="Normal 4 7 7 5 7" xfId="17683"/>
    <cellStyle name="Normal 4 7 7 5 8" xfId="34137"/>
    <cellStyle name="Normal 4 7 7 5 9" xfId="42364"/>
    <cellStyle name="Normal 4 7 7 6" xfId="1464"/>
    <cellStyle name="Normal 4 7 7 6 2" xfId="3114"/>
    <cellStyle name="Normal 4 7 7 6 2 2" xfId="11339"/>
    <cellStyle name="Normal 4 7 7 6 2 2 2" xfId="27789"/>
    <cellStyle name="Normal 4 7 7 6 2 3" xfId="19564"/>
    <cellStyle name="Normal 4 7 7 6 2 4" xfId="36018"/>
    <cellStyle name="Normal 4 7 7 6 3" xfId="4759"/>
    <cellStyle name="Normal 4 7 7 6 3 2" xfId="12984"/>
    <cellStyle name="Normal 4 7 7 6 3 2 2" xfId="29434"/>
    <cellStyle name="Normal 4 7 7 6 3 3" xfId="21209"/>
    <cellStyle name="Normal 4 7 7 6 3 4" xfId="37663"/>
    <cellStyle name="Normal 4 7 7 6 4" xfId="6404"/>
    <cellStyle name="Normal 4 7 7 6 4 2" xfId="14629"/>
    <cellStyle name="Normal 4 7 7 6 4 2 2" xfId="31079"/>
    <cellStyle name="Normal 4 7 7 6 4 3" xfId="22854"/>
    <cellStyle name="Normal 4 7 7 6 4 4" xfId="39308"/>
    <cellStyle name="Normal 4 7 7 6 5" xfId="8049"/>
    <cellStyle name="Normal 4 7 7 6 5 2" xfId="16274"/>
    <cellStyle name="Normal 4 7 7 6 5 2 2" xfId="32724"/>
    <cellStyle name="Normal 4 7 7 6 5 3" xfId="24499"/>
    <cellStyle name="Normal 4 7 7 6 5 4" xfId="40953"/>
    <cellStyle name="Normal 4 7 7 6 6" xfId="9694"/>
    <cellStyle name="Normal 4 7 7 6 6 2" xfId="26144"/>
    <cellStyle name="Normal 4 7 7 6 7" xfId="17918"/>
    <cellStyle name="Normal 4 7 7 6 8" xfId="34372"/>
    <cellStyle name="Normal 4 7 7 7" xfId="1699"/>
    <cellStyle name="Normal 4 7 7 7 2" xfId="3349"/>
    <cellStyle name="Normal 4 7 7 7 2 2" xfId="11574"/>
    <cellStyle name="Normal 4 7 7 7 2 2 2" xfId="28024"/>
    <cellStyle name="Normal 4 7 7 7 2 3" xfId="19799"/>
    <cellStyle name="Normal 4 7 7 7 2 4" xfId="36253"/>
    <cellStyle name="Normal 4 7 7 7 3" xfId="4994"/>
    <cellStyle name="Normal 4 7 7 7 3 2" xfId="13219"/>
    <cellStyle name="Normal 4 7 7 7 3 2 2" xfId="29669"/>
    <cellStyle name="Normal 4 7 7 7 3 3" xfId="21444"/>
    <cellStyle name="Normal 4 7 7 7 3 4" xfId="37898"/>
    <cellStyle name="Normal 4 7 7 7 4" xfId="6639"/>
    <cellStyle name="Normal 4 7 7 7 4 2" xfId="14864"/>
    <cellStyle name="Normal 4 7 7 7 4 2 2" xfId="31314"/>
    <cellStyle name="Normal 4 7 7 7 4 3" xfId="23089"/>
    <cellStyle name="Normal 4 7 7 7 4 4" xfId="39543"/>
    <cellStyle name="Normal 4 7 7 7 5" xfId="8284"/>
    <cellStyle name="Normal 4 7 7 7 5 2" xfId="16509"/>
    <cellStyle name="Normal 4 7 7 7 5 2 2" xfId="32959"/>
    <cellStyle name="Normal 4 7 7 7 5 3" xfId="24734"/>
    <cellStyle name="Normal 4 7 7 7 5 4" xfId="41188"/>
    <cellStyle name="Normal 4 7 7 7 6" xfId="9929"/>
    <cellStyle name="Normal 4 7 7 7 6 2" xfId="26379"/>
    <cellStyle name="Normal 4 7 7 7 7" xfId="18153"/>
    <cellStyle name="Normal 4 7 7 7 8" xfId="34607"/>
    <cellStyle name="Normal 4 7 7 8" xfId="1934"/>
    <cellStyle name="Normal 4 7 7 8 2" xfId="10164"/>
    <cellStyle name="Normal 4 7 7 8 2 2" xfId="26614"/>
    <cellStyle name="Normal 4 7 7 8 3" xfId="18388"/>
    <cellStyle name="Normal 4 7 7 8 4" xfId="34842"/>
    <cellStyle name="Normal 4 7 7 9" xfId="3584"/>
    <cellStyle name="Normal 4 7 7 9 2" xfId="11809"/>
    <cellStyle name="Normal 4 7 7 9 2 2" xfId="28259"/>
    <cellStyle name="Normal 4 7 7 9 3" xfId="20034"/>
    <cellStyle name="Normal 4 7 7 9 4" xfId="36488"/>
    <cellStyle name="Normal 4 7 8" xfId="261"/>
    <cellStyle name="Normal 4 7 8 10" xfId="5256"/>
    <cellStyle name="Normal 4 7 8 10 2" xfId="13481"/>
    <cellStyle name="Normal 4 7 8 10 2 2" xfId="29931"/>
    <cellStyle name="Normal 4 7 8 10 3" xfId="21706"/>
    <cellStyle name="Normal 4 7 8 10 4" xfId="38160"/>
    <cellStyle name="Normal 4 7 8 11" xfId="6901"/>
    <cellStyle name="Normal 4 7 8 11 2" xfId="15126"/>
    <cellStyle name="Normal 4 7 8 11 2 2" xfId="31576"/>
    <cellStyle name="Normal 4 7 8 11 3" xfId="23351"/>
    <cellStyle name="Normal 4 7 8 11 4" xfId="39805"/>
    <cellStyle name="Normal 4 7 8 12" xfId="8546"/>
    <cellStyle name="Normal 4 7 8 12 2" xfId="24996"/>
    <cellStyle name="Normal 4 7 8 13" xfId="16770"/>
    <cellStyle name="Normal 4 7 8 14" xfId="33223"/>
    <cellStyle name="Normal 4 7 8 15" xfId="41451"/>
    <cellStyle name="Normal 4 7 8 2" xfId="504"/>
    <cellStyle name="Normal 4 7 8 2 2" xfId="2199"/>
    <cellStyle name="Normal 4 7 8 2 2 2" xfId="10426"/>
    <cellStyle name="Normal 4 7 8 2 2 2 2" xfId="26876"/>
    <cellStyle name="Normal 4 7 8 2 2 3" xfId="18651"/>
    <cellStyle name="Normal 4 7 8 2 2 4" xfId="35105"/>
    <cellStyle name="Normal 4 7 8 2 3" xfId="3846"/>
    <cellStyle name="Normal 4 7 8 2 3 2" xfId="12071"/>
    <cellStyle name="Normal 4 7 8 2 3 2 2" xfId="28521"/>
    <cellStyle name="Normal 4 7 8 2 3 3" xfId="20296"/>
    <cellStyle name="Normal 4 7 8 2 3 4" xfId="36750"/>
    <cellStyle name="Normal 4 7 8 2 4" xfId="5491"/>
    <cellStyle name="Normal 4 7 8 2 4 2" xfId="13716"/>
    <cellStyle name="Normal 4 7 8 2 4 2 2" xfId="30166"/>
    <cellStyle name="Normal 4 7 8 2 4 3" xfId="21941"/>
    <cellStyle name="Normal 4 7 8 2 4 4" xfId="38395"/>
    <cellStyle name="Normal 4 7 8 2 5" xfId="7136"/>
    <cellStyle name="Normal 4 7 8 2 5 2" xfId="15361"/>
    <cellStyle name="Normal 4 7 8 2 5 2 2" xfId="31811"/>
    <cellStyle name="Normal 4 7 8 2 5 3" xfId="23586"/>
    <cellStyle name="Normal 4 7 8 2 5 4" xfId="40040"/>
    <cellStyle name="Normal 4 7 8 2 6" xfId="8781"/>
    <cellStyle name="Normal 4 7 8 2 6 2" xfId="25231"/>
    <cellStyle name="Normal 4 7 8 2 7" xfId="17005"/>
    <cellStyle name="Normal 4 7 8 2 8" xfId="33459"/>
    <cellStyle name="Normal 4 7 8 2 9" xfId="41686"/>
    <cellStyle name="Normal 4 7 8 3" xfId="741"/>
    <cellStyle name="Normal 4 7 8 3 2" xfId="2436"/>
    <cellStyle name="Normal 4 7 8 3 2 2" xfId="10661"/>
    <cellStyle name="Normal 4 7 8 3 2 2 2" xfId="27111"/>
    <cellStyle name="Normal 4 7 8 3 2 3" xfId="18886"/>
    <cellStyle name="Normal 4 7 8 3 2 4" xfId="35340"/>
    <cellStyle name="Normal 4 7 8 3 3" xfId="4081"/>
    <cellStyle name="Normal 4 7 8 3 3 2" xfId="12306"/>
    <cellStyle name="Normal 4 7 8 3 3 2 2" xfId="28756"/>
    <cellStyle name="Normal 4 7 8 3 3 3" xfId="20531"/>
    <cellStyle name="Normal 4 7 8 3 3 4" xfId="36985"/>
    <cellStyle name="Normal 4 7 8 3 4" xfId="5726"/>
    <cellStyle name="Normal 4 7 8 3 4 2" xfId="13951"/>
    <cellStyle name="Normal 4 7 8 3 4 2 2" xfId="30401"/>
    <cellStyle name="Normal 4 7 8 3 4 3" xfId="22176"/>
    <cellStyle name="Normal 4 7 8 3 4 4" xfId="38630"/>
    <cellStyle name="Normal 4 7 8 3 5" xfId="7371"/>
    <cellStyle name="Normal 4 7 8 3 5 2" xfId="15596"/>
    <cellStyle name="Normal 4 7 8 3 5 2 2" xfId="32046"/>
    <cellStyle name="Normal 4 7 8 3 5 3" xfId="23821"/>
    <cellStyle name="Normal 4 7 8 3 5 4" xfId="40275"/>
    <cellStyle name="Normal 4 7 8 3 6" xfId="9016"/>
    <cellStyle name="Normal 4 7 8 3 6 2" xfId="25466"/>
    <cellStyle name="Normal 4 7 8 3 7" xfId="17240"/>
    <cellStyle name="Normal 4 7 8 3 8" xfId="33694"/>
    <cellStyle name="Normal 4 7 8 3 9" xfId="41921"/>
    <cellStyle name="Normal 4 7 8 4" xfId="976"/>
    <cellStyle name="Normal 4 7 8 4 2" xfId="2671"/>
    <cellStyle name="Normal 4 7 8 4 2 2" xfId="10896"/>
    <cellStyle name="Normal 4 7 8 4 2 2 2" xfId="27346"/>
    <cellStyle name="Normal 4 7 8 4 2 3" xfId="19121"/>
    <cellStyle name="Normal 4 7 8 4 2 4" xfId="35575"/>
    <cellStyle name="Normal 4 7 8 4 3" xfId="4316"/>
    <cellStyle name="Normal 4 7 8 4 3 2" xfId="12541"/>
    <cellStyle name="Normal 4 7 8 4 3 2 2" xfId="28991"/>
    <cellStyle name="Normal 4 7 8 4 3 3" xfId="20766"/>
    <cellStyle name="Normal 4 7 8 4 3 4" xfId="37220"/>
    <cellStyle name="Normal 4 7 8 4 4" xfId="5961"/>
    <cellStyle name="Normal 4 7 8 4 4 2" xfId="14186"/>
    <cellStyle name="Normal 4 7 8 4 4 2 2" xfId="30636"/>
    <cellStyle name="Normal 4 7 8 4 4 3" xfId="22411"/>
    <cellStyle name="Normal 4 7 8 4 4 4" xfId="38865"/>
    <cellStyle name="Normal 4 7 8 4 5" xfId="7606"/>
    <cellStyle name="Normal 4 7 8 4 5 2" xfId="15831"/>
    <cellStyle name="Normal 4 7 8 4 5 2 2" xfId="32281"/>
    <cellStyle name="Normal 4 7 8 4 5 3" xfId="24056"/>
    <cellStyle name="Normal 4 7 8 4 5 4" xfId="40510"/>
    <cellStyle name="Normal 4 7 8 4 6" xfId="9251"/>
    <cellStyle name="Normal 4 7 8 4 6 2" xfId="25701"/>
    <cellStyle name="Normal 4 7 8 4 7" xfId="17475"/>
    <cellStyle name="Normal 4 7 8 4 8" xfId="33929"/>
    <cellStyle name="Normal 4 7 8 4 9" xfId="42156"/>
    <cellStyle name="Normal 4 7 8 5" xfId="1211"/>
    <cellStyle name="Normal 4 7 8 5 2" xfId="2906"/>
    <cellStyle name="Normal 4 7 8 5 2 2" xfId="11131"/>
    <cellStyle name="Normal 4 7 8 5 2 2 2" xfId="27581"/>
    <cellStyle name="Normal 4 7 8 5 2 3" xfId="19356"/>
    <cellStyle name="Normal 4 7 8 5 2 4" xfId="35810"/>
    <cellStyle name="Normal 4 7 8 5 3" xfId="4551"/>
    <cellStyle name="Normal 4 7 8 5 3 2" xfId="12776"/>
    <cellStyle name="Normal 4 7 8 5 3 2 2" xfId="29226"/>
    <cellStyle name="Normal 4 7 8 5 3 3" xfId="21001"/>
    <cellStyle name="Normal 4 7 8 5 3 4" xfId="37455"/>
    <cellStyle name="Normal 4 7 8 5 4" xfId="6196"/>
    <cellStyle name="Normal 4 7 8 5 4 2" xfId="14421"/>
    <cellStyle name="Normal 4 7 8 5 4 2 2" xfId="30871"/>
    <cellStyle name="Normal 4 7 8 5 4 3" xfId="22646"/>
    <cellStyle name="Normal 4 7 8 5 4 4" xfId="39100"/>
    <cellStyle name="Normal 4 7 8 5 5" xfId="7841"/>
    <cellStyle name="Normal 4 7 8 5 5 2" xfId="16066"/>
    <cellStyle name="Normal 4 7 8 5 5 2 2" xfId="32516"/>
    <cellStyle name="Normal 4 7 8 5 5 3" xfId="24291"/>
    <cellStyle name="Normal 4 7 8 5 5 4" xfId="40745"/>
    <cellStyle name="Normal 4 7 8 5 6" xfId="9486"/>
    <cellStyle name="Normal 4 7 8 5 6 2" xfId="25936"/>
    <cellStyle name="Normal 4 7 8 5 7" xfId="17710"/>
    <cellStyle name="Normal 4 7 8 5 8" xfId="34164"/>
    <cellStyle name="Normal 4 7 8 5 9" xfId="42391"/>
    <cellStyle name="Normal 4 7 8 6" xfId="1491"/>
    <cellStyle name="Normal 4 7 8 6 2" xfId="3141"/>
    <cellStyle name="Normal 4 7 8 6 2 2" xfId="11366"/>
    <cellStyle name="Normal 4 7 8 6 2 2 2" xfId="27816"/>
    <cellStyle name="Normal 4 7 8 6 2 3" xfId="19591"/>
    <cellStyle name="Normal 4 7 8 6 2 4" xfId="36045"/>
    <cellStyle name="Normal 4 7 8 6 3" xfId="4786"/>
    <cellStyle name="Normal 4 7 8 6 3 2" xfId="13011"/>
    <cellStyle name="Normal 4 7 8 6 3 2 2" xfId="29461"/>
    <cellStyle name="Normal 4 7 8 6 3 3" xfId="21236"/>
    <cellStyle name="Normal 4 7 8 6 3 4" xfId="37690"/>
    <cellStyle name="Normal 4 7 8 6 4" xfId="6431"/>
    <cellStyle name="Normal 4 7 8 6 4 2" xfId="14656"/>
    <cellStyle name="Normal 4 7 8 6 4 2 2" xfId="31106"/>
    <cellStyle name="Normal 4 7 8 6 4 3" xfId="22881"/>
    <cellStyle name="Normal 4 7 8 6 4 4" xfId="39335"/>
    <cellStyle name="Normal 4 7 8 6 5" xfId="8076"/>
    <cellStyle name="Normal 4 7 8 6 5 2" xfId="16301"/>
    <cellStyle name="Normal 4 7 8 6 5 2 2" xfId="32751"/>
    <cellStyle name="Normal 4 7 8 6 5 3" xfId="24526"/>
    <cellStyle name="Normal 4 7 8 6 5 4" xfId="40980"/>
    <cellStyle name="Normal 4 7 8 6 6" xfId="9721"/>
    <cellStyle name="Normal 4 7 8 6 6 2" xfId="26171"/>
    <cellStyle name="Normal 4 7 8 6 7" xfId="17945"/>
    <cellStyle name="Normal 4 7 8 6 8" xfId="34399"/>
    <cellStyle name="Normal 4 7 8 7" xfId="1726"/>
    <cellStyle name="Normal 4 7 8 7 2" xfId="3376"/>
    <cellStyle name="Normal 4 7 8 7 2 2" xfId="11601"/>
    <cellStyle name="Normal 4 7 8 7 2 2 2" xfId="28051"/>
    <cellStyle name="Normal 4 7 8 7 2 3" xfId="19826"/>
    <cellStyle name="Normal 4 7 8 7 2 4" xfId="36280"/>
    <cellStyle name="Normal 4 7 8 7 3" xfId="5021"/>
    <cellStyle name="Normal 4 7 8 7 3 2" xfId="13246"/>
    <cellStyle name="Normal 4 7 8 7 3 2 2" xfId="29696"/>
    <cellStyle name="Normal 4 7 8 7 3 3" xfId="21471"/>
    <cellStyle name="Normal 4 7 8 7 3 4" xfId="37925"/>
    <cellStyle name="Normal 4 7 8 7 4" xfId="6666"/>
    <cellStyle name="Normal 4 7 8 7 4 2" xfId="14891"/>
    <cellStyle name="Normal 4 7 8 7 4 2 2" xfId="31341"/>
    <cellStyle name="Normal 4 7 8 7 4 3" xfId="23116"/>
    <cellStyle name="Normal 4 7 8 7 4 4" xfId="39570"/>
    <cellStyle name="Normal 4 7 8 7 5" xfId="8311"/>
    <cellStyle name="Normal 4 7 8 7 5 2" xfId="16536"/>
    <cellStyle name="Normal 4 7 8 7 5 2 2" xfId="32986"/>
    <cellStyle name="Normal 4 7 8 7 5 3" xfId="24761"/>
    <cellStyle name="Normal 4 7 8 7 5 4" xfId="41215"/>
    <cellStyle name="Normal 4 7 8 7 6" xfId="9956"/>
    <cellStyle name="Normal 4 7 8 7 6 2" xfId="26406"/>
    <cellStyle name="Normal 4 7 8 7 7" xfId="18180"/>
    <cellStyle name="Normal 4 7 8 7 8" xfId="34634"/>
    <cellStyle name="Normal 4 7 8 8" xfId="1961"/>
    <cellStyle name="Normal 4 7 8 8 2" xfId="10191"/>
    <cellStyle name="Normal 4 7 8 8 2 2" xfId="26641"/>
    <cellStyle name="Normal 4 7 8 8 3" xfId="18415"/>
    <cellStyle name="Normal 4 7 8 8 4" xfId="34869"/>
    <cellStyle name="Normal 4 7 8 9" xfId="3611"/>
    <cellStyle name="Normal 4 7 8 9 2" xfId="11836"/>
    <cellStyle name="Normal 4 7 8 9 2 2" xfId="28286"/>
    <cellStyle name="Normal 4 7 8 9 3" xfId="20061"/>
    <cellStyle name="Normal 4 7 8 9 4" xfId="36515"/>
    <cellStyle name="Normal 4 7 9" xfId="290"/>
    <cellStyle name="Normal 4 7 9 2" xfId="1991"/>
    <cellStyle name="Normal 4 7 9 2 2" xfId="10218"/>
    <cellStyle name="Normal 4 7 9 2 2 2" xfId="26668"/>
    <cellStyle name="Normal 4 7 9 2 3" xfId="18443"/>
    <cellStyle name="Normal 4 7 9 2 4" xfId="34897"/>
    <cellStyle name="Normal 4 7 9 3" xfId="3638"/>
    <cellStyle name="Normal 4 7 9 3 2" xfId="11863"/>
    <cellStyle name="Normal 4 7 9 3 2 2" xfId="28313"/>
    <cellStyle name="Normal 4 7 9 3 3" xfId="20088"/>
    <cellStyle name="Normal 4 7 9 3 4" xfId="36542"/>
    <cellStyle name="Normal 4 7 9 4" xfId="5283"/>
    <cellStyle name="Normal 4 7 9 4 2" xfId="13508"/>
    <cellStyle name="Normal 4 7 9 4 2 2" xfId="29958"/>
    <cellStyle name="Normal 4 7 9 4 3" xfId="21733"/>
    <cellStyle name="Normal 4 7 9 4 4" xfId="38187"/>
    <cellStyle name="Normal 4 7 9 5" xfId="6928"/>
    <cellStyle name="Normal 4 7 9 5 2" xfId="15153"/>
    <cellStyle name="Normal 4 7 9 5 2 2" xfId="31603"/>
    <cellStyle name="Normal 4 7 9 5 3" xfId="23378"/>
    <cellStyle name="Normal 4 7 9 5 4" xfId="39832"/>
    <cellStyle name="Normal 4 7 9 6" xfId="8573"/>
    <cellStyle name="Normal 4 7 9 6 2" xfId="25023"/>
    <cellStyle name="Normal 4 7 9 7" xfId="16797"/>
    <cellStyle name="Normal 4 7 9 8" xfId="33251"/>
    <cellStyle name="Normal 4 7 9 9" xfId="41478"/>
    <cellStyle name="Normal 4 8" xfId="49"/>
    <cellStyle name="Normal 4 8 10" xfId="535"/>
    <cellStyle name="Normal 4 8 10 2" xfId="2230"/>
    <cellStyle name="Normal 4 8 10 2 2" xfId="10455"/>
    <cellStyle name="Normal 4 8 10 2 2 2" xfId="26905"/>
    <cellStyle name="Normal 4 8 10 2 3" xfId="18680"/>
    <cellStyle name="Normal 4 8 10 2 4" xfId="35134"/>
    <cellStyle name="Normal 4 8 10 3" xfId="3875"/>
    <cellStyle name="Normal 4 8 10 3 2" xfId="12100"/>
    <cellStyle name="Normal 4 8 10 3 2 2" xfId="28550"/>
    <cellStyle name="Normal 4 8 10 3 3" xfId="20325"/>
    <cellStyle name="Normal 4 8 10 3 4" xfId="36779"/>
    <cellStyle name="Normal 4 8 10 4" xfId="5520"/>
    <cellStyle name="Normal 4 8 10 4 2" xfId="13745"/>
    <cellStyle name="Normal 4 8 10 4 2 2" xfId="30195"/>
    <cellStyle name="Normal 4 8 10 4 3" xfId="21970"/>
    <cellStyle name="Normal 4 8 10 4 4" xfId="38424"/>
    <cellStyle name="Normal 4 8 10 5" xfId="7165"/>
    <cellStyle name="Normal 4 8 10 5 2" xfId="15390"/>
    <cellStyle name="Normal 4 8 10 5 2 2" xfId="31840"/>
    <cellStyle name="Normal 4 8 10 5 3" xfId="23615"/>
    <cellStyle name="Normal 4 8 10 5 4" xfId="40069"/>
    <cellStyle name="Normal 4 8 10 6" xfId="8810"/>
    <cellStyle name="Normal 4 8 10 6 2" xfId="25260"/>
    <cellStyle name="Normal 4 8 10 7" xfId="17034"/>
    <cellStyle name="Normal 4 8 10 8" xfId="33488"/>
    <cellStyle name="Normal 4 8 10 9" xfId="41715"/>
    <cellStyle name="Normal 4 8 11" xfId="770"/>
    <cellStyle name="Normal 4 8 11 2" xfId="2465"/>
    <cellStyle name="Normal 4 8 11 2 2" xfId="10690"/>
    <cellStyle name="Normal 4 8 11 2 2 2" xfId="27140"/>
    <cellStyle name="Normal 4 8 11 2 3" xfId="18915"/>
    <cellStyle name="Normal 4 8 11 2 4" xfId="35369"/>
    <cellStyle name="Normal 4 8 11 3" xfId="4110"/>
    <cellStyle name="Normal 4 8 11 3 2" xfId="12335"/>
    <cellStyle name="Normal 4 8 11 3 2 2" xfId="28785"/>
    <cellStyle name="Normal 4 8 11 3 3" xfId="20560"/>
    <cellStyle name="Normal 4 8 11 3 4" xfId="37014"/>
    <cellStyle name="Normal 4 8 11 4" xfId="5755"/>
    <cellStyle name="Normal 4 8 11 4 2" xfId="13980"/>
    <cellStyle name="Normal 4 8 11 4 2 2" xfId="30430"/>
    <cellStyle name="Normal 4 8 11 4 3" xfId="22205"/>
    <cellStyle name="Normal 4 8 11 4 4" xfId="38659"/>
    <cellStyle name="Normal 4 8 11 5" xfId="7400"/>
    <cellStyle name="Normal 4 8 11 5 2" xfId="15625"/>
    <cellStyle name="Normal 4 8 11 5 2 2" xfId="32075"/>
    <cellStyle name="Normal 4 8 11 5 3" xfId="23850"/>
    <cellStyle name="Normal 4 8 11 5 4" xfId="40304"/>
    <cellStyle name="Normal 4 8 11 6" xfId="9045"/>
    <cellStyle name="Normal 4 8 11 6 2" xfId="25495"/>
    <cellStyle name="Normal 4 8 11 7" xfId="17269"/>
    <cellStyle name="Normal 4 8 11 8" xfId="33723"/>
    <cellStyle name="Normal 4 8 11 9" xfId="41950"/>
    <cellStyle name="Normal 4 8 12" xfId="1005"/>
    <cellStyle name="Normal 4 8 12 2" xfId="2700"/>
    <cellStyle name="Normal 4 8 12 2 2" xfId="10925"/>
    <cellStyle name="Normal 4 8 12 2 2 2" xfId="27375"/>
    <cellStyle name="Normal 4 8 12 2 3" xfId="19150"/>
    <cellStyle name="Normal 4 8 12 2 4" xfId="35604"/>
    <cellStyle name="Normal 4 8 12 3" xfId="4345"/>
    <cellStyle name="Normal 4 8 12 3 2" xfId="12570"/>
    <cellStyle name="Normal 4 8 12 3 2 2" xfId="29020"/>
    <cellStyle name="Normal 4 8 12 3 3" xfId="20795"/>
    <cellStyle name="Normal 4 8 12 3 4" xfId="37249"/>
    <cellStyle name="Normal 4 8 12 4" xfId="5990"/>
    <cellStyle name="Normal 4 8 12 4 2" xfId="14215"/>
    <cellStyle name="Normal 4 8 12 4 2 2" xfId="30665"/>
    <cellStyle name="Normal 4 8 12 4 3" xfId="22440"/>
    <cellStyle name="Normal 4 8 12 4 4" xfId="38894"/>
    <cellStyle name="Normal 4 8 12 5" xfId="7635"/>
    <cellStyle name="Normal 4 8 12 5 2" xfId="15860"/>
    <cellStyle name="Normal 4 8 12 5 2 2" xfId="32310"/>
    <cellStyle name="Normal 4 8 12 5 3" xfId="24085"/>
    <cellStyle name="Normal 4 8 12 5 4" xfId="40539"/>
    <cellStyle name="Normal 4 8 12 6" xfId="9280"/>
    <cellStyle name="Normal 4 8 12 6 2" xfId="25730"/>
    <cellStyle name="Normal 4 8 12 7" xfId="17504"/>
    <cellStyle name="Normal 4 8 12 8" xfId="33958"/>
    <cellStyle name="Normal 4 8 12 9" xfId="42185"/>
    <cellStyle name="Normal 4 8 13" xfId="1285"/>
    <cellStyle name="Normal 4 8 13 2" xfId="2935"/>
    <cellStyle name="Normal 4 8 13 2 2" xfId="11160"/>
    <cellStyle name="Normal 4 8 13 2 2 2" xfId="27610"/>
    <cellStyle name="Normal 4 8 13 2 3" xfId="19385"/>
    <cellStyle name="Normal 4 8 13 2 4" xfId="35839"/>
    <cellStyle name="Normal 4 8 13 3" xfId="4580"/>
    <cellStyle name="Normal 4 8 13 3 2" xfId="12805"/>
    <cellStyle name="Normal 4 8 13 3 2 2" xfId="29255"/>
    <cellStyle name="Normal 4 8 13 3 3" xfId="21030"/>
    <cellStyle name="Normal 4 8 13 3 4" xfId="37484"/>
    <cellStyle name="Normal 4 8 13 4" xfId="6225"/>
    <cellStyle name="Normal 4 8 13 4 2" xfId="14450"/>
    <cellStyle name="Normal 4 8 13 4 2 2" xfId="30900"/>
    <cellStyle name="Normal 4 8 13 4 3" xfId="22675"/>
    <cellStyle name="Normal 4 8 13 4 4" xfId="39129"/>
    <cellStyle name="Normal 4 8 13 5" xfId="7870"/>
    <cellStyle name="Normal 4 8 13 5 2" xfId="16095"/>
    <cellStyle name="Normal 4 8 13 5 2 2" xfId="32545"/>
    <cellStyle name="Normal 4 8 13 5 3" xfId="24320"/>
    <cellStyle name="Normal 4 8 13 5 4" xfId="40774"/>
    <cellStyle name="Normal 4 8 13 6" xfId="9515"/>
    <cellStyle name="Normal 4 8 13 6 2" xfId="25965"/>
    <cellStyle name="Normal 4 8 13 7" xfId="17739"/>
    <cellStyle name="Normal 4 8 13 8" xfId="34193"/>
    <cellStyle name="Normal 4 8 14" xfId="1520"/>
    <cellStyle name="Normal 4 8 14 2" xfId="3170"/>
    <cellStyle name="Normal 4 8 14 2 2" xfId="11395"/>
    <cellStyle name="Normal 4 8 14 2 2 2" xfId="27845"/>
    <cellStyle name="Normal 4 8 14 2 3" xfId="19620"/>
    <cellStyle name="Normal 4 8 14 2 4" xfId="36074"/>
    <cellStyle name="Normal 4 8 14 3" xfId="4815"/>
    <cellStyle name="Normal 4 8 14 3 2" xfId="13040"/>
    <cellStyle name="Normal 4 8 14 3 2 2" xfId="29490"/>
    <cellStyle name="Normal 4 8 14 3 3" xfId="21265"/>
    <cellStyle name="Normal 4 8 14 3 4" xfId="37719"/>
    <cellStyle name="Normal 4 8 14 4" xfId="6460"/>
    <cellStyle name="Normal 4 8 14 4 2" xfId="14685"/>
    <cellStyle name="Normal 4 8 14 4 2 2" xfId="31135"/>
    <cellStyle name="Normal 4 8 14 4 3" xfId="22910"/>
    <cellStyle name="Normal 4 8 14 4 4" xfId="39364"/>
    <cellStyle name="Normal 4 8 14 5" xfId="8105"/>
    <cellStyle name="Normal 4 8 14 5 2" xfId="16330"/>
    <cellStyle name="Normal 4 8 14 5 2 2" xfId="32780"/>
    <cellStyle name="Normal 4 8 14 5 3" xfId="24555"/>
    <cellStyle name="Normal 4 8 14 5 4" xfId="41009"/>
    <cellStyle name="Normal 4 8 14 6" xfId="9750"/>
    <cellStyle name="Normal 4 8 14 6 2" xfId="26200"/>
    <cellStyle name="Normal 4 8 14 7" xfId="17974"/>
    <cellStyle name="Normal 4 8 14 8" xfId="34428"/>
    <cellStyle name="Normal 4 8 15" xfId="1755"/>
    <cellStyle name="Normal 4 8 15 2" xfId="9985"/>
    <cellStyle name="Normal 4 8 15 2 2" xfId="26435"/>
    <cellStyle name="Normal 4 8 15 3" xfId="18209"/>
    <cellStyle name="Normal 4 8 15 4" xfId="34663"/>
    <cellStyle name="Normal 4 8 16" xfId="3405"/>
    <cellStyle name="Normal 4 8 16 2" xfId="11630"/>
    <cellStyle name="Normal 4 8 16 2 2" xfId="28080"/>
    <cellStyle name="Normal 4 8 16 3" xfId="19855"/>
    <cellStyle name="Normal 4 8 16 4" xfId="36309"/>
    <cellStyle name="Normal 4 8 17" xfId="5050"/>
    <cellStyle name="Normal 4 8 17 2" xfId="13275"/>
    <cellStyle name="Normal 4 8 17 2 2" xfId="29725"/>
    <cellStyle name="Normal 4 8 17 3" xfId="21500"/>
    <cellStyle name="Normal 4 8 17 4" xfId="37954"/>
    <cellStyle name="Normal 4 8 18" xfId="6695"/>
    <cellStyle name="Normal 4 8 18 2" xfId="14920"/>
    <cellStyle name="Normal 4 8 18 2 2" xfId="31370"/>
    <cellStyle name="Normal 4 8 18 3" xfId="23145"/>
    <cellStyle name="Normal 4 8 18 4" xfId="39599"/>
    <cellStyle name="Normal 4 8 19" xfId="8340"/>
    <cellStyle name="Normal 4 8 19 2" xfId="24790"/>
    <cellStyle name="Normal 4 8 2" xfId="76"/>
    <cellStyle name="Normal 4 8 2 10" xfId="3430"/>
    <cellStyle name="Normal 4 8 2 10 2" xfId="11655"/>
    <cellStyle name="Normal 4 8 2 10 2 2" xfId="28105"/>
    <cellStyle name="Normal 4 8 2 10 3" xfId="19880"/>
    <cellStyle name="Normal 4 8 2 10 4" xfId="36334"/>
    <cellStyle name="Normal 4 8 2 11" xfId="5075"/>
    <cellStyle name="Normal 4 8 2 11 2" xfId="13300"/>
    <cellStyle name="Normal 4 8 2 11 2 2" xfId="29750"/>
    <cellStyle name="Normal 4 8 2 11 3" xfId="21525"/>
    <cellStyle name="Normal 4 8 2 11 4" xfId="37979"/>
    <cellStyle name="Normal 4 8 2 12" xfId="6720"/>
    <cellStyle name="Normal 4 8 2 12 2" xfId="14945"/>
    <cellStyle name="Normal 4 8 2 12 2 2" xfId="31395"/>
    <cellStyle name="Normal 4 8 2 12 3" xfId="23170"/>
    <cellStyle name="Normal 4 8 2 12 4" xfId="39624"/>
    <cellStyle name="Normal 4 8 2 13" xfId="8365"/>
    <cellStyle name="Normal 4 8 2 13 2" xfId="24815"/>
    <cellStyle name="Normal 4 8 2 14" xfId="16589"/>
    <cellStyle name="Normal 4 8 2 15" xfId="33042"/>
    <cellStyle name="Normal 4 8 2 16" xfId="41270"/>
    <cellStyle name="Normal 4 8 2 2" xfId="126"/>
    <cellStyle name="Normal 4 8 2 2 10" xfId="5125"/>
    <cellStyle name="Normal 4 8 2 2 10 2" xfId="13350"/>
    <cellStyle name="Normal 4 8 2 2 10 2 2" xfId="29800"/>
    <cellStyle name="Normal 4 8 2 2 10 3" xfId="21575"/>
    <cellStyle name="Normal 4 8 2 2 10 4" xfId="38029"/>
    <cellStyle name="Normal 4 8 2 2 11" xfId="6770"/>
    <cellStyle name="Normal 4 8 2 2 11 2" xfId="14995"/>
    <cellStyle name="Normal 4 8 2 2 11 2 2" xfId="31445"/>
    <cellStyle name="Normal 4 8 2 2 11 3" xfId="23220"/>
    <cellStyle name="Normal 4 8 2 2 11 4" xfId="39674"/>
    <cellStyle name="Normal 4 8 2 2 12" xfId="8415"/>
    <cellStyle name="Normal 4 8 2 2 12 2" xfId="24865"/>
    <cellStyle name="Normal 4 8 2 2 13" xfId="16639"/>
    <cellStyle name="Normal 4 8 2 2 14" xfId="33092"/>
    <cellStyle name="Normal 4 8 2 2 15" xfId="41320"/>
    <cellStyle name="Normal 4 8 2 2 2" xfId="369"/>
    <cellStyle name="Normal 4 8 2 2 2 2" xfId="2068"/>
    <cellStyle name="Normal 4 8 2 2 2 2 2" xfId="10295"/>
    <cellStyle name="Normal 4 8 2 2 2 2 2 2" xfId="26745"/>
    <cellStyle name="Normal 4 8 2 2 2 2 3" xfId="18520"/>
    <cellStyle name="Normal 4 8 2 2 2 2 4" xfId="34974"/>
    <cellStyle name="Normal 4 8 2 2 2 3" xfId="3715"/>
    <cellStyle name="Normal 4 8 2 2 2 3 2" xfId="11940"/>
    <cellStyle name="Normal 4 8 2 2 2 3 2 2" xfId="28390"/>
    <cellStyle name="Normal 4 8 2 2 2 3 3" xfId="20165"/>
    <cellStyle name="Normal 4 8 2 2 2 3 4" xfId="36619"/>
    <cellStyle name="Normal 4 8 2 2 2 4" xfId="5360"/>
    <cellStyle name="Normal 4 8 2 2 2 4 2" xfId="13585"/>
    <cellStyle name="Normal 4 8 2 2 2 4 2 2" xfId="30035"/>
    <cellStyle name="Normal 4 8 2 2 2 4 3" xfId="21810"/>
    <cellStyle name="Normal 4 8 2 2 2 4 4" xfId="38264"/>
    <cellStyle name="Normal 4 8 2 2 2 5" xfId="7005"/>
    <cellStyle name="Normal 4 8 2 2 2 5 2" xfId="15230"/>
    <cellStyle name="Normal 4 8 2 2 2 5 2 2" xfId="31680"/>
    <cellStyle name="Normal 4 8 2 2 2 5 3" xfId="23455"/>
    <cellStyle name="Normal 4 8 2 2 2 5 4" xfId="39909"/>
    <cellStyle name="Normal 4 8 2 2 2 6" xfId="8650"/>
    <cellStyle name="Normal 4 8 2 2 2 6 2" xfId="25100"/>
    <cellStyle name="Normal 4 8 2 2 2 7" xfId="16874"/>
    <cellStyle name="Normal 4 8 2 2 2 8" xfId="33328"/>
    <cellStyle name="Normal 4 8 2 2 2 9" xfId="41555"/>
    <cellStyle name="Normal 4 8 2 2 3" xfId="610"/>
    <cellStyle name="Normal 4 8 2 2 3 2" xfId="2305"/>
    <cellStyle name="Normal 4 8 2 2 3 2 2" xfId="10530"/>
    <cellStyle name="Normal 4 8 2 2 3 2 2 2" xfId="26980"/>
    <cellStyle name="Normal 4 8 2 2 3 2 3" xfId="18755"/>
    <cellStyle name="Normal 4 8 2 2 3 2 4" xfId="35209"/>
    <cellStyle name="Normal 4 8 2 2 3 3" xfId="3950"/>
    <cellStyle name="Normal 4 8 2 2 3 3 2" xfId="12175"/>
    <cellStyle name="Normal 4 8 2 2 3 3 2 2" xfId="28625"/>
    <cellStyle name="Normal 4 8 2 2 3 3 3" xfId="20400"/>
    <cellStyle name="Normal 4 8 2 2 3 3 4" xfId="36854"/>
    <cellStyle name="Normal 4 8 2 2 3 4" xfId="5595"/>
    <cellStyle name="Normal 4 8 2 2 3 4 2" xfId="13820"/>
    <cellStyle name="Normal 4 8 2 2 3 4 2 2" xfId="30270"/>
    <cellStyle name="Normal 4 8 2 2 3 4 3" xfId="22045"/>
    <cellStyle name="Normal 4 8 2 2 3 4 4" xfId="38499"/>
    <cellStyle name="Normal 4 8 2 2 3 5" xfId="7240"/>
    <cellStyle name="Normal 4 8 2 2 3 5 2" xfId="15465"/>
    <cellStyle name="Normal 4 8 2 2 3 5 2 2" xfId="31915"/>
    <cellStyle name="Normal 4 8 2 2 3 5 3" xfId="23690"/>
    <cellStyle name="Normal 4 8 2 2 3 5 4" xfId="40144"/>
    <cellStyle name="Normal 4 8 2 2 3 6" xfId="8885"/>
    <cellStyle name="Normal 4 8 2 2 3 6 2" xfId="25335"/>
    <cellStyle name="Normal 4 8 2 2 3 7" xfId="17109"/>
    <cellStyle name="Normal 4 8 2 2 3 8" xfId="33563"/>
    <cellStyle name="Normal 4 8 2 2 3 9" xfId="41790"/>
    <cellStyle name="Normal 4 8 2 2 4" xfId="845"/>
    <cellStyle name="Normal 4 8 2 2 4 2" xfId="2540"/>
    <cellStyle name="Normal 4 8 2 2 4 2 2" xfId="10765"/>
    <cellStyle name="Normal 4 8 2 2 4 2 2 2" xfId="27215"/>
    <cellStyle name="Normal 4 8 2 2 4 2 3" xfId="18990"/>
    <cellStyle name="Normal 4 8 2 2 4 2 4" xfId="35444"/>
    <cellStyle name="Normal 4 8 2 2 4 3" xfId="4185"/>
    <cellStyle name="Normal 4 8 2 2 4 3 2" xfId="12410"/>
    <cellStyle name="Normal 4 8 2 2 4 3 2 2" xfId="28860"/>
    <cellStyle name="Normal 4 8 2 2 4 3 3" xfId="20635"/>
    <cellStyle name="Normal 4 8 2 2 4 3 4" xfId="37089"/>
    <cellStyle name="Normal 4 8 2 2 4 4" xfId="5830"/>
    <cellStyle name="Normal 4 8 2 2 4 4 2" xfId="14055"/>
    <cellStyle name="Normal 4 8 2 2 4 4 2 2" xfId="30505"/>
    <cellStyle name="Normal 4 8 2 2 4 4 3" xfId="22280"/>
    <cellStyle name="Normal 4 8 2 2 4 4 4" xfId="38734"/>
    <cellStyle name="Normal 4 8 2 2 4 5" xfId="7475"/>
    <cellStyle name="Normal 4 8 2 2 4 5 2" xfId="15700"/>
    <cellStyle name="Normal 4 8 2 2 4 5 2 2" xfId="32150"/>
    <cellStyle name="Normal 4 8 2 2 4 5 3" xfId="23925"/>
    <cellStyle name="Normal 4 8 2 2 4 5 4" xfId="40379"/>
    <cellStyle name="Normal 4 8 2 2 4 6" xfId="9120"/>
    <cellStyle name="Normal 4 8 2 2 4 6 2" xfId="25570"/>
    <cellStyle name="Normal 4 8 2 2 4 7" xfId="17344"/>
    <cellStyle name="Normal 4 8 2 2 4 8" xfId="33798"/>
    <cellStyle name="Normal 4 8 2 2 4 9" xfId="42025"/>
    <cellStyle name="Normal 4 8 2 2 5" xfId="1080"/>
    <cellStyle name="Normal 4 8 2 2 5 2" xfId="2775"/>
    <cellStyle name="Normal 4 8 2 2 5 2 2" xfId="11000"/>
    <cellStyle name="Normal 4 8 2 2 5 2 2 2" xfId="27450"/>
    <cellStyle name="Normal 4 8 2 2 5 2 3" xfId="19225"/>
    <cellStyle name="Normal 4 8 2 2 5 2 4" xfId="35679"/>
    <cellStyle name="Normal 4 8 2 2 5 3" xfId="4420"/>
    <cellStyle name="Normal 4 8 2 2 5 3 2" xfId="12645"/>
    <cellStyle name="Normal 4 8 2 2 5 3 2 2" xfId="29095"/>
    <cellStyle name="Normal 4 8 2 2 5 3 3" xfId="20870"/>
    <cellStyle name="Normal 4 8 2 2 5 3 4" xfId="37324"/>
    <cellStyle name="Normal 4 8 2 2 5 4" xfId="6065"/>
    <cellStyle name="Normal 4 8 2 2 5 4 2" xfId="14290"/>
    <cellStyle name="Normal 4 8 2 2 5 4 2 2" xfId="30740"/>
    <cellStyle name="Normal 4 8 2 2 5 4 3" xfId="22515"/>
    <cellStyle name="Normal 4 8 2 2 5 4 4" xfId="38969"/>
    <cellStyle name="Normal 4 8 2 2 5 5" xfId="7710"/>
    <cellStyle name="Normal 4 8 2 2 5 5 2" xfId="15935"/>
    <cellStyle name="Normal 4 8 2 2 5 5 2 2" xfId="32385"/>
    <cellStyle name="Normal 4 8 2 2 5 5 3" xfId="24160"/>
    <cellStyle name="Normal 4 8 2 2 5 5 4" xfId="40614"/>
    <cellStyle name="Normal 4 8 2 2 5 6" xfId="9355"/>
    <cellStyle name="Normal 4 8 2 2 5 6 2" xfId="25805"/>
    <cellStyle name="Normal 4 8 2 2 5 7" xfId="17579"/>
    <cellStyle name="Normal 4 8 2 2 5 8" xfId="34033"/>
    <cellStyle name="Normal 4 8 2 2 5 9" xfId="42260"/>
    <cellStyle name="Normal 4 8 2 2 6" xfId="1360"/>
    <cellStyle name="Normal 4 8 2 2 6 2" xfId="3010"/>
    <cellStyle name="Normal 4 8 2 2 6 2 2" xfId="11235"/>
    <cellStyle name="Normal 4 8 2 2 6 2 2 2" xfId="27685"/>
    <cellStyle name="Normal 4 8 2 2 6 2 3" xfId="19460"/>
    <cellStyle name="Normal 4 8 2 2 6 2 4" xfId="35914"/>
    <cellStyle name="Normal 4 8 2 2 6 3" xfId="4655"/>
    <cellStyle name="Normal 4 8 2 2 6 3 2" xfId="12880"/>
    <cellStyle name="Normal 4 8 2 2 6 3 2 2" xfId="29330"/>
    <cellStyle name="Normal 4 8 2 2 6 3 3" xfId="21105"/>
    <cellStyle name="Normal 4 8 2 2 6 3 4" xfId="37559"/>
    <cellStyle name="Normal 4 8 2 2 6 4" xfId="6300"/>
    <cellStyle name="Normal 4 8 2 2 6 4 2" xfId="14525"/>
    <cellStyle name="Normal 4 8 2 2 6 4 2 2" xfId="30975"/>
    <cellStyle name="Normal 4 8 2 2 6 4 3" xfId="22750"/>
    <cellStyle name="Normal 4 8 2 2 6 4 4" xfId="39204"/>
    <cellStyle name="Normal 4 8 2 2 6 5" xfId="7945"/>
    <cellStyle name="Normal 4 8 2 2 6 5 2" xfId="16170"/>
    <cellStyle name="Normal 4 8 2 2 6 5 2 2" xfId="32620"/>
    <cellStyle name="Normal 4 8 2 2 6 5 3" xfId="24395"/>
    <cellStyle name="Normal 4 8 2 2 6 5 4" xfId="40849"/>
    <cellStyle name="Normal 4 8 2 2 6 6" xfId="9590"/>
    <cellStyle name="Normal 4 8 2 2 6 6 2" xfId="26040"/>
    <cellStyle name="Normal 4 8 2 2 6 7" xfId="17814"/>
    <cellStyle name="Normal 4 8 2 2 6 8" xfId="34268"/>
    <cellStyle name="Normal 4 8 2 2 7" xfId="1595"/>
    <cellStyle name="Normal 4 8 2 2 7 2" xfId="3245"/>
    <cellStyle name="Normal 4 8 2 2 7 2 2" xfId="11470"/>
    <cellStyle name="Normal 4 8 2 2 7 2 2 2" xfId="27920"/>
    <cellStyle name="Normal 4 8 2 2 7 2 3" xfId="19695"/>
    <cellStyle name="Normal 4 8 2 2 7 2 4" xfId="36149"/>
    <cellStyle name="Normal 4 8 2 2 7 3" xfId="4890"/>
    <cellStyle name="Normal 4 8 2 2 7 3 2" xfId="13115"/>
    <cellStyle name="Normal 4 8 2 2 7 3 2 2" xfId="29565"/>
    <cellStyle name="Normal 4 8 2 2 7 3 3" xfId="21340"/>
    <cellStyle name="Normal 4 8 2 2 7 3 4" xfId="37794"/>
    <cellStyle name="Normal 4 8 2 2 7 4" xfId="6535"/>
    <cellStyle name="Normal 4 8 2 2 7 4 2" xfId="14760"/>
    <cellStyle name="Normal 4 8 2 2 7 4 2 2" xfId="31210"/>
    <cellStyle name="Normal 4 8 2 2 7 4 3" xfId="22985"/>
    <cellStyle name="Normal 4 8 2 2 7 4 4" xfId="39439"/>
    <cellStyle name="Normal 4 8 2 2 7 5" xfId="8180"/>
    <cellStyle name="Normal 4 8 2 2 7 5 2" xfId="16405"/>
    <cellStyle name="Normal 4 8 2 2 7 5 2 2" xfId="32855"/>
    <cellStyle name="Normal 4 8 2 2 7 5 3" xfId="24630"/>
    <cellStyle name="Normal 4 8 2 2 7 5 4" xfId="41084"/>
    <cellStyle name="Normal 4 8 2 2 7 6" xfId="9825"/>
    <cellStyle name="Normal 4 8 2 2 7 6 2" xfId="26275"/>
    <cellStyle name="Normal 4 8 2 2 7 7" xfId="18049"/>
    <cellStyle name="Normal 4 8 2 2 7 8" xfId="34503"/>
    <cellStyle name="Normal 4 8 2 2 8" xfId="1830"/>
    <cellStyle name="Normal 4 8 2 2 8 2" xfId="10060"/>
    <cellStyle name="Normal 4 8 2 2 8 2 2" xfId="26510"/>
    <cellStyle name="Normal 4 8 2 2 8 3" xfId="18284"/>
    <cellStyle name="Normal 4 8 2 2 8 4" xfId="34738"/>
    <cellStyle name="Normal 4 8 2 2 9" xfId="3480"/>
    <cellStyle name="Normal 4 8 2 2 9 2" xfId="11705"/>
    <cellStyle name="Normal 4 8 2 2 9 2 2" xfId="28155"/>
    <cellStyle name="Normal 4 8 2 2 9 3" xfId="19930"/>
    <cellStyle name="Normal 4 8 2 2 9 4" xfId="36384"/>
    <cellStyle name="Normal 4 8 2 3" xfId="319"/>
    <cellStyle name="Normal 4 8 2 3 2" xfId="2018"/>
    <cellStyle name="Normal 4 8 2 3 2 2" xfId="10245"/>
    <cellStyle name="Normal 4 8 2 3 2 2 2" xfId="26695"/>
    <cellStyle name="Normal 4 8 2 3 2 3" xfId="18470"/>
    <cellStyle name="Normal 4 8 2 3 2 4" xfId="34924"/>
    <cellStyle name="Normal 4 8 2 3 3" xfId="3665"/>
    <cellStyle name="Normal 4 8 2 3 3 2" xfId="11890"/>
    <cellStyle name="Normal 4 8 2 3 3 2 2" xfId="28340"/>
    <cellStyle name="Normal 4 8 2 3 3 3" xfId="20115"/>
    <cellStyle name="Normal 4 8 2 3 3 4" xfId="36569"/>
    <cellStyle name="Normal 4 8 2 3 4" xfId="5310"/>
    <cellStyle name="Normal 4 8 2 3 4 2" xfId="13535"/>
    <cellStyle name="Normal 4 8 2 3 4 2 2" xfId="29985"/>
    <cellStyle name="Normal 4 8 2 3 4 3" xfId="21760"/>
    <cellStyle name="Normal 4 8 2 3 4 4" xfId="38214"/>
    <cellStyle name="Normal 4 8 2 3 5" xfId="6955"/>
    <cellStyle name="Normal 4 8 2 3 5 2" xfId="15180"/>
    <cellStyle name="Normal 4 8 2 3 5 2 2" xfId="31630"/>
    <cellStyle name="Normal 4 8 2 3 5 3" xfId="23405"/>
    <cellStyle name="Normal 4 8 2 3 5 4" xfId="39859"/>
    <cellStyle name="Normal 4 8 2 3 6" xfId="8600"/>
    <cellStyle name="Normal 4 8 2 3 6 2" xfId="25050"/>
    <cellStyle name="Normal 4 8 2 3 7" xfId="16824"/>
    <cellStyle name="Normal 4 8 2 3 8" xfId="33278"/>
    <cellStyle name="Normal 4 8 2 3 9" xfId="41505"/>
    <cellStyle name="Normal 4 8 2 4" xfId="560"/>
    <cellStyle name="Normal 4 8 2 4 2" xfId="2255"/>
    <cellStyle name="Normal 4 8 2 4 2 2" xfId="10480"/>
    <cellStyle name="Normal 4 8 2 4 2 2 2" xfId="26930"/>
    <cellStyle name="Normal 4 8 2 4 2 3" xfId="18705"/>
    <cellStyle name="Normal 4 8 2 4 2 4" xfId="35159"/>
    <cellStyle name="Normal 4 8 2 4 3" xfId="3900"/>
    <cellStyle name="Normal 4 8 2 4 3 2" xfId="12125"/>
    <cellStyle name="Normal 4 8 2 4 3 2 2" xfId="28575"/>
    <cellStyle name="Normal 4 8 2 4 3 3" xfId="20350"/>
    <cellStyle name="Normal 4 8 2 4 3 4" xfId="36804"/>
    <cellStyle name="Normal 4 8 2 4 4" xfId="5545"/>
    <cellStyle name="Normal 4 8 2 4 4 2" xfId="13770"/>
    <cellStyle name="Normal 4 8 2 4 4 2 2" xfId="30220"/>
    <cellStyle name="Normal 4 8 2 4 4 3" xfId="21995"/>
    <cellStyle name="Normal 4 8 2 4 4 4" xfId="38449"/>
    <cellStyle name="Normal 4 8 2 4 5" xfId="7190"/>
    <cellStyle name="Normal 4 8 2 4 5 2" xfId="15415"/>
    <cellStyle name="Normal 4 8 2 4 5 2 2" xfId="31865"/>
    <cellStyle name="Normal 4 8 2 4 5 3" xfId="23640"/>
    <cellStyle name="Normal 4 8 2 4 5 4" xfId="40094"/>
    <cellStyle name="Normal 4 8 2 4 6" xfId="8835"/>
    <cellStyle name="Normal 4 8 2 4 6 2" xfId="25285"/>
    <cellStyle name="Normal 4 8 2 4 7" xfId="17059"/>
    <cellStyle name="Normal 4 8 2 4 8" xfId="33513"/>
    <cellStyle name="Normal 4 8 2 4 9" xfId="41740"/>
    <cellStyle name="Normal 4 8 2 5" xfId="795"/>
    <cellStyle name="Normal 4 8 2 5 2" xfId="2490"/>
    <cellStyle name="Normal 4 8 2 5 2 2" xfId="10715"/>
    <cellStyle name="Normal 4 8 2 5 2 2 2" xfId="27165"/>
    <cellStyle name="Normal 4 8 2 5 2 3" xfId="18940"/>
    <cellStyle name="Normal 4 8 2 5 2 4" xfId="35394"/>
    <cellStyle name="Normal 4 8 2 5 3" xfId="4135"/>
    <cellStyle name="Normal 4 8 2 5 3 2" xfId="12360"/>
    <cellStyle name="Normal 4 8 2 5 3 2 2" xfId="28810"/>
    <cellStyle name="Normal 4 8 2 5 3 3" xfId="20585"/>
    <cellStyle name="Normal 4 8 2 5 3 4" xfId="37039"/>
    <cellStyle name="Normal 4 8 2 5 4" xfId="5780"/>
    <cellStyle name="Normal 4 8 2 5 4 2" xfId="14005"/>
    <cellStyle name="Normal 4 8 2 5 4 2 2" xfId="30455"/>
    <cellStyle name="Normal 4 8 2 5 4 3" xfId="22230"/>
    <cellStyle name="Normal 4 8 2 5 4 4" xfId="38684"/>
    <cellStyle name="Normal 4 8 2 5 5" xfId="7425"/>
    <cellStyle name="Normal 4 8 2 5 5 2" xfId="15650"/>
    <cellStyle name="Normal 4 8 2 5 5 2 2" xfId="32100"/>
    <cellStyle name="Normal 4 8 2 5 5 3" xfId="23875"/>
    <cellStyle name="Normal 4 8 2 5 5 4" xfId="40329"/>
    <cellStyle name="Normal 4 8 2 5 6" xfId="9070"/>
    <cellStyle name="Normal 4 8 2 5 6 2" xfId="25520"/>
    <cellStyle name="Normal 4 8 2 5 7" xfId="17294"/>
    <cellStyle name="Normal 4 8 2 5 8" xfId="33748"/>
    <cellStyle name="Normal 4 8 2 5 9" xfId="41975"/>
    <cellStyle name="Normal 4 8 2 6" xfId="1030"/>
    <cellStyle name="Normal 4 8 2 6 2" xfId="2725"/>
    <cellStyle name="Normal 4 8 2 6 2 2" xfId="10950"/>
    <cellStyle name="Normal 4 8 2 6 2 2 2" xfId="27400"/>
    <cellStyle name="Normal 4 8 2 6 2 3" xfId="19175"/>
    <cellStyle name="Normal 4 8 2 6 2 4" xfId="35629"/>
    <cellStyle name="Normal 4 8 2 6 3" xfId="4370"/>
    <cellStyle name="Normal 4 8 2 6 3 2" xfId="12595"/>
    <cellStyle name="Normal 4 8 2 6 3 2 2" xfId="29045"/>
    <cellStyle name="Normal 4 8 2 6 3 3" xfId="20820"/>
    <cellStyle name="Normal 4 8 2 6 3 4" xfId="37274"/>
    <cellStyle name="Normal 4 8 2 6 4" xfId="6015"/>
    <cellStyle name="Normal 4 8 2 6 4 2" xfId="14240"/>
    <cellStyle name="Normal 4 8 2 6 4 2 2" xfId="30690"/>
    <cellStyle name="Normal 4 8 2 6 4 3" xfId="22465"/>
    <cellStyle name="Normal 4 8 2 6 4 4" xfId="38919"/>
    <cellStyle name="Normal 4 8 2 6 5" xfId="7660"/>
    <cellStyle name="Normal 4 8 2 6 5 2" xfId="15885"/>
    <cellStyle name="Normal 4 8 2 6 5 2 2" xfId="32335"/>
    <cellStyle name="Normal 4 8 2 6 5 3" xfId="24110"/>
    <cellStyle name="Normal 4 8 2 6 5 4" xfId="40564"/>
    <cellStyle name="Normal 4 8 2 6 6" xfId="9305"/>
    <cellStyle name="Normal 4 8 2 6 6 2" xfId="25755"/>
    <cellStyle name="Normal 4 8 2 6 7" xfId="17529"/>
    <cellStyle name="Normal 4 8 2 6 8" xfId="33983"/>
    <cellStyle name="Normal 4 8 2 6 9" xfId="42210"/>
    <cellStyle name="Normal 4 8 2 7" xfId="1310"/>
    <cellStyle name="Normal 4 8 2 7 2" xfId="2960"/>
    <cellStyle name="Normal 4 8 2 7 2 2" xfId="11185"/>
    <cellStyle name="Normal 4 8 2 7 2 2 2" xfId="27635"/>
    <cellStyle name="Normal 4 8 2 7 2 3" xfId="19410"/>
    <cellStyle name="Normal 4 8 2 7 2 4" xfId="35864"/>
    <cellStyle name="Normal 4 8 2 7 3" xfId="4605"/>
    <cellStyle name="Normal 4 8 2 7 3 2" xfId="12830"/>
    <cellStyle name="Normal 4 8 2 7 3 2 2" xfId="29280"/>
    <cellStyle name="Normal 4 8 2 7 3 3" xfId="21055"/>
    <cellStyle name="Normal 4 8 2 7 3 4" xfId="37509"/>
    <cellStyle name="Normal 4 8 2 7 4" xfId="6250"/>
    <cellStyle name="Normal 4 8 2 7 4 2" xfId="14475"/>
    <cellStyle name="Normal 4 8 2 7 4 2 2" xfId="30925"/>
    <cellStyle name="Normal 4 8 2 7 4 3" xfId="22700"/>
    <cellStyle name="Normal 4 8 2 7 4 4" xfId="39154"/>
    <cellStyle name="Normal 4 8 2 7 5" xfId="7895"/>
    <cellStyle name="Normal 4 8 2 7 5 2" xfId="16120"/>
    <cellStyle name="Normal 4 8 2 7 5 2 2" xfId="32570"/>
    <cellStyle name="Normal 4 8 2 7 5 3" xfId="24345"/>
    <cellStyle name="Normal 4 8 2 7 5 4" xfId="40799"/>
    <cellStyle name="Normal 4 8 2 7 6" xfId="9540"/>
    <cellStyle name="Normal 4 8 2 7 6 2" xfId="25990"/>
    <cellStyle name="Normal 4 8 2 7 7" xfId="17764"/>
    <cellStyle name="Normal 4 8 2 7 8" xfId="34218"/>
    <cellStyle name="Normal 4 8 2 8" xfId="1545"/>
    <cellStyle name="Normal 4 8 2 8 2" xfId="3195"/>
    <cellStyle name="Normal 4 8 2 8 2 2" xfId="11420"/>
    <cellStyle name="Normal 4 8 2 8 2 2 2" xfId="27870"/>
    <cellStyle name="Normal 4 8 2 8 2 3" xfId="19645"/>
    <cellStyle name="Normal 4 8 2 8 2 4" xfId="36099"/>
    <cellStyle name="Normal 4 8 2 8 3" xfId="4840"/>
    <cellStyle name="Normal 4 8 2 8 3 2" xfId="13065"/>
    <cellStyle name="Normal 4 8 2 8 3 2 2" xfId="29515"/>
    <cellStyle name="Normal 4 8 2 8 3 3" xfId="21290"/>
    <cellStyle name="Normal 4 8 2 8 3 4" xfId="37744"/>
    <cellStyle name="Normal 4 8 2 8 4" xfId="6485"/>
    <cellStyle name="Normal 4 8 2 8 4 2" xfId="14710"/>
    <cellStyle name="Normal 4 8 2 8 4 2 2" xfId="31160"/>
    <cellStyle name="Normal 4 8 2 8 4 3" xfId="22935"/>
    <cellStyle name="Normal 4 8 2 8 4 4" xfId="39389"/>
    <cellStyle name="Normal 4 8 2 8 5" xfId="8130"/>
    <cellStyle name="Normal 4 8 2 8 5 2" xfId="16355"/>
    <cellStyle name="Normal 4 8 2 8 5 2 2" xfId="32805"/>
    <cellStyle name="Normal 4 8 2 8 5 3" xfId="24580"/>
    <cellStyle name="Normal 4 8 2 8 5 4" xfId="41034"/>
    <cellStyle name="Normal 4 8 2 8 6" xfId="9775"/>
    <cellStyle name="Normal 4 8 2 8 6 2" xfId="26225"/>
    <cellStyle name="Normal 4 8 2 8 7" xfId="17999"/>
    <cellStyle name="Normal 4 8 2 8 8" xfId="34453"/>
    <cellStyle name="Normal 4 8 2 9" xfId="1780"/>
    <cellStyle name="Normal 4 8 2 9 2" xfId="10010"/>
    <cellStyle name="Normal 4 8 2 9 2 2" xfId="26460"/>
    <cellStyle name="Normal 4 8 2 9 3" xfId="18234"/>
    <cellStyle name="Normal 4 8 2 9 4" xfId="34688"/>
    <cellStyle name="Normal 4 8 20" xfId="16564"/>
    <cellStyle name="Normal 4 8 21" xfId="33017"/>
    <cellStyle name="Normal 4 8 22" xfId="41245"/>
    <cellStyle name="Normal 4 8 3" xfId="101"/>
    <cellStyle name="Normal 4 8 3 10" xfId="5100"/>
    <cellStyle name="Normal 4 8 3 10 2" xfId="13325"/>
    <cellStyle name="Normal 4 8 3 10 2 2" xfId="29775"/>
    <cellStyle name="Normal 4 8 3 10 3" xfId="21550"/>
    <cellStyle name="Normal 4 8 3 10 4" xfId="38004"/>
    <cellStyle name="Normal 4 8 3 11" xfId="6745"/>
    <cellStyle name="Normal 4 8 3 11 2" xfId="14970"/>
    <cellStyle name="Normal 4 8 3 11 2 2" xfId="31420"/>
    <cellStyle name="Normal 4 8 3 11 3" xfId="23195"/>
    <cellStyle name="Normal 4 8 3 11 4" xfId="39649"/>
    <cellStyle name="Normal 4 8 3 12" xfId="8390"/>
    <cellStyle name="Normal 4 8 3 12 2" xfId="24840"/>
    <cellStyle name="Normal 4 8 3 13" xfId="16614"/>
    <cellStyle name="Normal 4 8 3 14" xfId="33067"/>
    <cellStyle name="Normal 4 8 3 15" xfId="41295"/>
    <cellStyle name="Normal 4 8 3 2" xfId="344"/>
    <cellStyle name="Normal 4 8 3 2 2" xfId="2043"/>
    <cellStyle name="Normal 4 8 3 2 2 2" xfId="10270"/>
    <cellStyle name="Normal 4 8 3 2 2 2 2" xfId="26720"/>
    <cellStyle name="Normal 4 8 3 2 2 3" xfId="18495"/>
    <cellStyle name="Normal 4 8 3 2 2 4" xfId="34949"/>
    <cellStyle name="Normal 4 8 3 2 3" xfId="3690"/>
    <cellStyle name="Normal 4 8 3 2 3 2" xfId="11915"/>
    <cellStyle name="Normal 4 8 3 2 3 2 2" xfId="28365"/>
    <cellStyle name="Normal 4 8 3 2 3 3" xfId="20140"/>
    <cellStyle name="Normal 4 8 3 2 3 4" xfId="36594"/>
    <cellStyle name="Normal 4 8 3 2 4" xfId="5335"/>
    <cellStyle name="Normal 4 8 3 2 4 2" xfId="13560"/>
    <cellStyle name="Normal 4 8 3 2 4 2 2" xfId="30010"/>
    <cellStyle name="Normal 4 8 3 2 4 3" xfId="21785"/>
    <cellStyle name="Normal 4 8 3 2 4 4" xfId="38239"/>
    <cellStyle name="Normal 4 8 3 2 5" xfId="6980"/>
    <cellStyle name="Normal 4 8 3 2 5 2" xfId="15205"/>
    <cellStyle name="Normal 4 8 3 2 5 2 2" xfId="31655"/>
    <cellStyle name="Normal 4 8 3 2 5 3" xfId="23430"/>
    <cellStyle name="Normal 4 8 3 2 5 4" xfId="39884"/>
    <cellStyle name="Normal 4 8 3 2 6" xfId="8625"/>
    <cellStyle name="Normal 4 8 3 2 6 2" xfId="25075"/>
    <cellStyle name="Normal 4 8 3 2 7" xfId="16849"/>
    <cellStyle name="Normal 4 8 3 2 8" xfId="33303"/>
    <cellStyle name="Normal 4 8 3 2 9" xfId="41530"/>
    <cellStyle name="Normal 4 8 3 3" xfId="585"/>
    <cellStyle name="Normal 4 8 3 3 2" xfId="2280"/>
    <cellStyle name="Normal 4 8 3 3 2 2" xfId="10505"/>
    <cellStyle name="Normal 4 8 3 3 2 2 2" xfId="26955"/>
    <cellStyle name="Normal 4 8 3 3 2 3" xfId="18730"/>
    <cellStyle name="Normal 4 8 3 3 2 4" xfId="35184"/>
    <cellStyle name="Normal 4 8 3 3 3" xfId="3925"/>
    <cellStyle name="Normal 4 8 3 3 3 2" xfId="12150"/>
    <cellStyle name="Normal 4 8 3 3 3 2 2" xfId="28600"/>
    <cellStyle name="Normal 4 8 3 3 3 3" xfId="20375"/>
    <cellStyle name="Normal 4 8 3 3 3 4" xfId="36829"/>
    <cellStyle name="Normal 4 8 3 3 4" xfId="5570"/>
    <cellStyle name="Normal 4 8 3 3 4 2" xfId="13795"/>
    <cellStyle name="Normal 4 8 3 3 4 2 2" xfId="30245"/>
    <cellStyle name="Normal 4 8 3 3 4 3" xfId="22020"/>
    <cellStyle name="Normal 4 8 3 3 4 4" xfId="38474"/>
    <cellStyle name="Normal 4 8 3 3 5" xfId="7215"/>
    <cellStyle name="Normal 4 8 3 3 5 2" xfId="15440"/>
    <cellStyle name="Normal 4 8 3 3 5 2 2" xfId="31890"/>
    <cellStyle name="Normal 4 8 3 3 5 3" xfId="23665"/>
    <cellStyle name="Normal 4 8 3 3 5 4" xfId="40119"/>
    <cellStyle name="Normal 4 8 3 3 6" xfId="8860"/>
    <cellStyle name="Normal 4 8 3 3 6 2" xfId="25310"/>
    <cellStyle name="Normal 4 8 3 3 7" xfId="17084"/>
    <cellStyle name="Normal 4 8 3 3 8" xfId="33538"/>
    <cellStyle name="Normal 4 8 3 3 9" xfId="41765"/>
    <cellStyle name="Normal 4 8 3 4" xfId="820"/>
    <cellStyle name="Normal 4 8 3 4 2" xfId="2515"/>
    <cellStyle name="Normal 4 8 3 4 2 2" xfId="10740"/>
    <cellStyle name="Normal 4 8 3 4 2 2 2" xfId="27190"/>
    <cellStyle name="Normal 4 8 3 4 2 3" xfId="18965"/>
    <cellStyle name="Normal 4 8 3 4 2 4" xfId="35419"/>
    <cellStyle name="Normal 4 8 3 4 3" xfId="4160"/>
    <cellStyle name="Normal 4 8 3 4 3 2" xfId="12385"/>
    <cellStyle name="Normal 4 8 3 4 3 2 2" xfId="28835"/>
    <cellStyle name="Normal 4 8 3 4 3 3" xfId="20610"/>
    <cellStyle name="Normal 4 8 3 4 3 4" xfId="37064"/>
    <cellStyle name="Normal 4 8 3 4 4" xfId="5805"/>
    <cellStyle name="Normal 4 8 3 4 4 2" xfId="14030"/>
    <cellStyle name="Normal 4 8 3 4 4 2 2" xfId="30480"/>
    <cellStyle name="Normal 4 8 3 4 4 3" xfId="22255"/>
    <cellStyle name="Normal 4 8 3 4 4 4" xfId="38709"/>
    <cellStyle name="Normal 4 8 3 4 5" xfId="7450"/>
    <cellStyle name="Normal 4 8 3 4 5 2" xfId="15675"/>
    <cellStyle name="Normal 4 8 3 4 5 2 2" xfId="32125"/>
    <cellStyle name="Normal 4 8 3 4 5 3" xfId="23900"/>
    <cellStyle name="Normal 4 8 3 4 5 4" xfId="40354"/>
    <cellStyle name="Normal 4 8 3 4 6" xfId="9095"/>
    <cellStyle name="Normal 4 8 3 4 6 2" xfId="25545"/>
    <cellStyle name="Normal 4 8 3 4 7" xfId="17319"/>
    <cellStyle name="Normal 4 8 3 4 8" xfId="33773"/>
    <cellStyle name="Normal 4 8 3 4 9" xfId="42000"/>
    <cellStyle name="Normal 4 8 3 5" xfId="1055"/>
    <cellStyle name="Normal 4 8 3 5 2" xfId="2750"/>
    <cellStyle name="Normal 4 8 3 5 2 2" xfId="10975"/>
    <cellStyle name="Normal 4 8 3 5 2 2 2" xfId="27425"/>
    <cellStyle name="Normal 4 8 3 5 2 3" xfId="19200"/>
    <cellStyle name="Normal 4 8 3 5 2 4" xfId="35654"/>
    <cellStyle name="Normal 4 8 3 5 3" xfId="4395"/>
    <cellStyle name="Normal 4 8 3 5 3 2" xfId="12620"/>
    <cellStyle name="Normal 4 8 3 5 3 2 2" xfId="29070"/>
    <cellStyle name="Normal 4 8 3 5 3 3" xfId="20845"/>
    <cellStyle name="Normal 4 8 3 5 3 4" xfId="37299"/>
    <cellStyle name="Normal 4 8 3 5 4" xfId="6040"/>
    <cellStyle name="Normal 4 8 3 5 4 2" xfId="14265"/>
    <cellStyle name="Normal 4 8 3 5 4 2 2" xfId="30715"/>
    <cellStyle name="Normal 4 8 3 5 4 3" xfId="22490"/>
    <cellStyle name="Normal 4 8 3 5 4 4" xfId="38944"/>
    <cellStyle name="Normal 4 8 3 5 5" xfId="7685"/>
    <cellStyle name="Normal 4 8 3 5 5 2" xfId="15910"/>
    <cellStyle name="Normal 4 8 3 5 5 2 2" xfId="32360"/>
    <cellStyle name="Normal 4 8 3 5 5 3" xfId="24135"/>
    <cellStyle name="Normal 4 8 3 5 5 4" xfId="40589"/>
    <cellStyle name="Normal 4 8 3 5 6" xfId="9330"/>
    <cellStyle name="Normal 4 8 3 5 6 2" xfId="25780"/>
    <cellStyle name="Normal 4 8 3 5 7" xfId="17554"/>
    <cellStyle name="Normal 4 8 3 5 8" xfId="34008"/>
    <cellStyle name="Normal 4 8 3 5 9" xfId="42235"/>
    <cellStyle name="Normal 4 8 3 6" xfId="1335"/>
    <cellStyle name="Normal 4 8 3 6 2" xfId="2985"/>
    <cellStyle name="Normal 4 8 3 6 2 2" xfId="11210"/>
    <cellStyle name="Normal 4 8 3 6 2 2 2" xfId="27660"/>
    <cellStyle name="Normal 4 8 3 6 2 3" xfId="19435"/>
    <cellStyle name="Normal 4 8 3 6 2 4" xfId="35889"/>
    <cellStyle name="Normal 4 8 3 6 3" xfId="4630"/>
    <cellStyle name="Normal 4 8 3 6 3 2" xfId="12855"/>
    <cellStyle name="Normal 4 8 3 6 3 2 2" xfId="29305"/>
    <cellStyle name="Normal 4 8 3 6 3 3" xfId="21080"/>
    <cellStyle name="Normal 4 8 3 6 3 4" xfId="37534"/>
    <cellStyle name="Normal 4 8 3 6 4" xfId="6275"/>
    <cellStyle name="Normal 4 8 3 6 4 2" xfId="14500"/>
    <cellStyle name="Normal 4 8 3 6 4 2 2" xfId="30950"/>
    <cellStyle name="Normal 4 8 3 6 4 3" xfId="22725"/>
    <cellStyle name="Normal 4 8 3 6 4 4" xfId="39179"/>
    <cellStyle name="Normal 4 8 3 6 5" xfId="7920"/>
    <cellStyle name="Normal 4 8 3 6 5 2" xfId="16145"/>
    <cellStyle name="Normal 4 8 3 6 5 2 2" xfId="32595"/>
    <cellStyle name="Normal 4 8 3 6 5 3" xfId="24370"/>
    <cellStyle name="Normal 4 8 3 6 5 4" xfId="40824"/>
    <cellStyle name="Normal 4 8 3 6 6" xfId="9565"/>
    <cellStyle name="Normal 4 8 3 6 6 2" xfId="26015"/>
    <cellStyle name="Normal 4 8 3 6 7" xfId="17789"/>
    <cellStyle name="Normal 4 8 3 6 8" xfId="34243"/>
    <cellStyle name="Normal 4 8 3 7" xfId="1570"/>
    <cellStyle name="Normal 4 8 3 7 2" xfId="3220"/>
    <cellStyle name="Normal 4 8 3 7 2 2" xfId="11445"/>
    <cellStyle name="Normal 4 8 3 7 2 2 2" xfId="27895"/>
    <cellStyle name="Normal 4 8 3 7 2 3" xfId="19670"/>
    <cellStyle name="Normal 4 8 3 7 2 4" xfId="36124"/>
    <cellStyle name="Normal 4 8 3 7 3" xfId="4865"/>
    <cellStyle name="Normal 4 8 3 7 3 2" xfId="13090"/>
    <cellStyle name="Normal 4 8 3 7 3 2 2" xfId="29540"/>
    <cellStyle name="Normal 4 8 3 7 3 3" xfId="21315"/>
    <cellStyle name="Normal 4 8 3 7 3 4" xfId="37769"/>
    <cellStyle name="Normal 4 8 3 7 4" xfId="6510"/>
    <cellStyle name="Normal 4 8 3 7 4 2" xfId="14735"/>
    <cellStyle name="Normal 4 8 3 7 4 2 2" xfId="31185"/>
    <cellStyle name="Normal 4 8 3 7 4 3" xfId="22960"/>
    <cellStyle name="Normal 4 8 3 7 4 4" xfId="39414"/>
    <cellStyle name="Normal 4 8 3 7 5" xfId="8155"/>
    <cellStyle name="Normal 4 8 3 7 5 2" xfId="16380"/>
    <cellStyle name="Normal 4 8 3 7 5 2 2" xfId="32830"/>
    <cellStyle name="Normal 4 8 3 7 5 3" xfId="24605"/>
    <cellStyle name="Normal 4 8 3 7 5 4" xfId="41059"/>
    <cellStyle name="Normal 4 8 3 7 6" xfId="9800"/>
    <cellStyle name="Normal 4 8 3 7 6 2" xfId="26250"/>
    <cellStyle name="Normal 4 8 3 7 7" xfId="18024"/>
    <cellStyle name="Normal 4 8 3 7 8" xfId="34478"/>
    <cellStyle name="Normal 4 8 3 8" xfId="1805"/>
    <cellStyle name="Normal 4 8 3 8 2" xfId="10035"/>
    <cellStyle name="Normal 4 8 3 8 2 2" xfId="26485"/>
    <cellStyle name="Normal 4 8 3 8 3" xfId="18259"/>
    <cellStyle name="Normal 4 8 3 8 4" xfId="34713"/>
    <cellStyle name="Normal 4 8 3 9" xfId="3455"/>
    <cellStyle name="Normal 4 8 3 9 2" xfId="11680"/>
    <cellStyle name="Normal 4 8 3 9 2 2" xfId="28130"/>
    <cellStyle name="Normal 4 8 3 9 3" xfId="19905"/>
    <cellStyle name="Normal 4 8 3 9 4" xfId="36359"/>
    <cellStyle name="Normal 4 8 4" xfId="151"/>
    <cellStyle name="Normal 4 8 4 10" xfId="5150"/>
    <cellStyle name="Normal 4 8 4 10 2" xfId="13375"/>
    <cellStyle name="Normal 4 8 4 10 2 2" xfId="29825"/>
    <cellStyle name="Normal 4 8 4 10 3" xfId="21600"/>
    <cellStyle name="Normal 4 8 4 10 4" xfId="38054"/>
    <cellStyle name="Normal 4 8 4 11" xfId="6795"/>
    <cellStyle name="Normal 4 8 4 11 2" xfId="15020"/>
    <cellStyle name="Normal 4 8 4 11 2 2" xfId="31470"/>
    <cellStyle name="Normal 4 8 4 11 3" xfId="23245"/>
    <cellStyle name="Normal 4 8 4 11 4" xfId="39699"/>
    <cellStyle name="Normal 4 8 4 12" xfId="8440"/>
    <cellStyle name="Normal 4 8 4 12 2" xfId="24890"/>
    <cellStyle name="Normal 4 8 4 13" xfId="16664"/>
    <cellStyle name="Normal 4 8 4 14" xfId="33117"/>
    <cellStyle name="Normal 4 8 4 15" xfId="41345"/>
    <cellStyle name="Normal 4 8 4 2" xfId="394"/>
    <cellStyle name="Normal 4 8 4 2 2" xfId="2093"/>
    <cellStyle name="Normal 4 8 4 2 2 2" xfId="10320"/>
    <cellStyle name="Normal 4 8 4 2 2 2 2" xfId="26770"/>
    <cellStyle name="Normal 4 8 4 2 2 3" xfId="18545"/>
    <cellStyle name="Normal 4 8 4 2 2 4" xfId="34999"/>
    <cellStyle name="Normal 4 8 4 2 3" xfId="3740"/>
    <cellStyle name="Normal 4 8 4 2 3 2" xfId="11965"/>
    <cellStyle name="Normal 4 8 4 2 3 2 2" xfId="28415"/>
    <cellStyle name="Normal 4 8 4 2 3 3" xfId="20190"/>
    <cellStyle name="Normal 4 8 4 2 3 4" xfId="36644"/>
    <cellStyle name="Normal 4 8 4 2 4" xfId="5385"/>
    <cellStyle name="Normal 4 8 4 2 4 2" xfId="13610"/>
    <cellStyle name="Normal 4 8 4 2 4 2 2" xfId="30060"/>
    <cellStyle name="Normal 4 8 4 2 4 3" xfId="21835"/>
    <cellStyle name="Normal 4 8 4 2 4 4" xfId="38289"/>
    <cellStyle name="Normal 4 8 4 2 5" xfId="7030"/>
    <cellStyle name="Normal 4 8 4 2 5 2" xfId="15255"/>
    <cellStyle name="Normal 4 8 4 2 5 2 2" xfId="31705"/>
    <cellStyle name="Normal 4 8 4 2 5 3" xfId="23480"/>
    <cellStyle name="Normal 4 8 4 2 5 4" xfId="39934"/>
    <cellStyle name="Normal 4 8 4 2 6" xfId="8675"/>
    <cellStyle name="Normal 4 8 4 2 6 2" xfId="25125"/>
    <cellStyle name="Normal 4 8 4 2 7" xfId="16899"/>
    <cellStyle name="Normal 4 8 4 2 8" xfId="33353"/>
    <cellStyle name="Normal 4 8 4 2 9" xfId="41580"/>
    <cellStyle name="Normal 4 8 4 3" xfId="635"/>
    <cellStyle name="Normal 4 8 4 3 2" xfId="2330"/>
    <cellStyle name="Normal 4 8 4 3 2 2" xfId="10555"/>
    <cellStyle name="Normal 4 8 4 3 2 2 2" xfId="27005"/>
    <cellStyle name="Normal 4 8 4 3 2 3" xfId="18780"/>
    <cellStyle name="Normal 4 8 4 3 2 4" xfId="35234"/>
    <cellStyle name="Normal 4 8 4 3 3" xfId="3975"/>
    <cellStyle name="Normal 4 8 4 3 3 2" xfId="12200"/>
    <cellStyle name="Normal 4 8 4 3 3 2 2" xfId="28650"/>
    <cellStyle name="Normal 4 8 4 3 3 3" xfId="20425"/>
    <cellStyle name="Normal 4 8 4 3 3 4" xfId="36879"/>
    <cellStyle name="Normal 4 8 4 3 4" xfId="5620"/>
    <cellStyle name="Normal 4 8 4 3 4 2" xfId="13845"/>
    <cellStyle name="Normal 4 8 4 3 4 2 2" xfId="30295"/>
    <cellStyle name="Normal 4 8 4 3 4 3" xfId="22070"/>
    <cellStyle name="Normal 4 8 4 3 4 4" xfId="38524"/>
    <cellStyle name="Normal 4 8 4 3 5" xfId="7265"/>
    <cellStyle name="Normal 4 8 4 3 5 2" xfId="15490"/>
    <cellStyle name="Normal 4 8 4 3 5 2 2" xfId="31940"/>
    <cellStyle name="Normal 4 8 4 3 5 3" xfId="23715"/>
    <cellStyle name="Normal 4 8 4 3 5 4" xfId="40169"/>
    <cellStyle name="Normal 4 8 4 3 6" xfId="8910"/>
    <cellStyle name="Normal 4 8 4 3 6 2" xfId="25360"/>
    <cellStyle name="Normal 4 8 4 3 7" xfId="17134"/>
    <cellStyle name="Normal 4 8 4 3 8" xfId="33588"/>
    <cellStyle name="Normal 4 8 4 3 9" xfId="41815"/>
    <cellStyle name="Normal 4 8 4 4" xfId="870"/>
    <cellStyle name="Normal 4 8 4 4 2" xfId="2565"/>
    <cellStyle name="Normal 4 8 4 4 2 2" xfId="10790"/>
    <cellStyle name="Normal 4 8 4 4 2 2 2" xfId="27240"/>
    <cellStyle name="Normal 4 8 4 4 2 3" xfId="19015"/>
    <cellStyle name="Normal 4 8 4 4 2 4" xfId="35469"/>
    <cellStyle name="Normal 4 8 4 4 3" xfId="4210"/>
    <cellStyle name="Normal 4 8 4 4 3 2" xfId="12435"/>
    <cellStyle name="Normal 4 8 4 4 3 2 2" xfId="28885"/>
    <cellStyle name="Normal 4 8 4 4 3 3" xfId="20660"/>
    <cellStyle name="Normal 4 8 4 4 3 4" xfId="37114"/>
    <cellStyle name="Normal 4 8 4 4 4" xfId="5855"/>
    <cellStyle name="Normal 4 8 4 4 4 2" xfId="14080"/>
    <cellStyle name="Normal 4 8 4 4 4 2 2" xfId="30530"/>
    <cellStyle name="Normal 4 8 4 4 4 3" xfId="22305"/>
    <cellStyle name="Normal 4 8 4 4 4 4" xfId="38759"/>
    <cellStyle name="Normal 4 8 4 4 5" xfId="7500"/>
    <cellStyle name="Normal 4 8 4 4 5 2" xfId="15725"/>
    <cellStyle name="Normal 4 8 4 4 5 2 2" xfId="32175"/>
    <cellStyle name="Normal 4 8 4 4 5 3" xfId="23950"/>
    <cellStyle name="Normal 4 8 4 4 5 4" xfId="40404"/>
    <cellStyle name="Normal 4 8 4 4 6" xfId="9145"/>
    <cellStyle name="Normal 4 8 4 4 6 2" xfId="25595"/>
    <cellStyle name="Normal 4 8 4 4 7" xfId="17369"/>
    <cellStyle name="Normal 4 8 4 4 8" xfId="33823"/>
    <cellStyle name="Normal 4 8 4 4 9" xfId="42050"/>
    <cellStyle name="Normal 4 8 4 5" xfId="1105"/>
    <cellStyle name="Normal 4 8 4 5 2" xfId="2800"/>
    <cellStyle name="Normal 4 8 4 5 2 2" xfId="11025"/>
    <cellStyle name="Normal 4 8 4 5 2 2 2" xfId="27475"/>
    <cellStyle name="Normal 4 8 4 5 2 3" xfId="19250"/>
    <cellStyle name="Normal 4 8 4 5 2 4" xfId="35704"/>
    <cellStyle name="Normal 4 8 4 5 3" xfId="4445"/>
    <cellStyle name="Normal 4 8 4 5 3 2" xfId="12670"/>
    <cellStyle name="Normal 4 8 4 5 3 2 2" xfId="29120"/>
    <cellStyle name="Normal 4 8 4 5 3 3" xfId="20895"/>
    <cellStyle name="Normal 4 8 4 5 3 4" xfId="37349"/>
    <cellStyle name="Normal 4 8 4 5 4" xfId="6090"/>
    <cellStyle name="Normal 4 8 4 5 4 2" xfId="14315"/>
    <cellStyle name="Normal 4 8 4 5 4 2 2" xfId="30765"/>
    <cellStyle name="Normal 4 8 4 5 4 3" xfId="22540"/>
    <cellStyle name="Normal 4 8 4 5 4 4" xfId="38994"/>
    <cellStyle name="Normal 4 8 4 5 5" xfId="7735"/>
    <cellStyle name="Normal 4 8 4 5 5 2" xfId="15960"/>
    <cellStyle name="Normal 4 8 4 5 5 2 2" xfId="32410"/>
    <cellStyle name="Normal 4 8 4 5 5 3" xfId="24185"/>
    <cellStyle name="Normal 4 8 4 5 5 4" xfId="40639"/>
    <cellStyle name="Normal 4 8 4 5 6" xfId="9380"/>
    <cellStyle name="Normal 4 8 4 5 6 2" xfId="25830"/>
    <cellStyle name="Normal 4 8 4 5 7" xfId="17604"/>
    <cellStyle name="Normal 4 8 4 5 8" xfId="34058"/>
    <cellStyle name="Normal 4 8 4 5 9" xfId="42285"/>
    <cellStyle name="Normal 4 8 4 6" xfId="1385"/>
    <cellStyle name="Normal 4 8 4 6 2" xfId="3035"/>
    <cellStyle name="Normal 4 8 4 6 2 2" xfId="11260"/>
    <cellStyle name="Normal 4 8 4 6 2 2 2" xfId="27710"/>
    <cellStyle name="Normal 4 8 4 6 2 3" xfId="19485"/>
    <cellStyle name="Normal 4 8 4 6 2 4" xfId="35939"/>
    <cellStyle name="Normal 4 8 4 6 3" xfId="4680"/>
    <cellStyle name="Normal 4 8 4 6 3 2" xfId="12905"/>
    <cellStyle name="Normal 4 8 4 6 3 2 2" xfId="29355"/>
    <cellStyle name="Normal 4 8 4 6 3 3" xfId="21130"/>
    <cellStyle name="Normal 4 8 4 6 3 4" xfId="37584"/>
    <cellStyle name="Normal 4 8 4 6 4" xfId="6325"/>
    <cellStyle name="Normal 4 8 4 6 4 2" xfId="14550"/>
    <cellStyle name="Normal 4 8 4 6 4 2 2" xfId="31000"/>
    <cellStyle name="Normal 4 8 4 6 4 3" xfId="22775"/>
    <cellStyle name="Normal 4 8 4 6 4 4" xfId="39229"/>
    <cellStyle name="Normal 4 8 4 6 5" xfId="7970"/>
    <cellStyle name="Normal 4 8 4 6 5 2" xfId="16195"/>
    <cellStyle name="Normal 4 8 4 6 5 2 2" xfId="32645"/>
    <cellStyle name="Normal 4 8 4 6 5 3" xfId="24420"/>
    <cellStyle name="Normal 4 8 4 6 5 4" xfId="40874"/>
    <cellStyle name="Normal 4 8 4 6 6" xfId="9615"/>
    <cellStyle name="Normal 4 8 4 6 6 2" xfId="26065"/>
    <cellStyle name="Normal 4 8 4 6 7" xfId="17839"/>
    <cellStyle name="Normal 4 8 4 6 8" xfId="34293"/>
    <cellStyle name="Normal 4 8 4 7" xfId="1620"/>
    <cellStyle name="Normal 4 8 4 7 2" xfId="3270"/>
    <cellStyle name="Normal 4 8 4 7 2 2" xfId="11495"/>
    <cellStyle name="Normal 4 8 4 7 2 2 2" xfId="27945"/>
    <cellStyle name="Normal 4 8 4 7 2 3" xfId="19720"/>
    <cellStyle name="Normal 4 8 4 7 2 4" xfId="36174"/>
    <cellStyle name="Normal 4 8 4 7 3" xfId="4915"/>
    <cellStyle name="Normal 4 8 4 7 3 2" xfId="13140"/>
    <cellStyle name="Normal 4 8 4 7 3 2 2" xfId="29590"/>
    <cellStyle name="Normal 4 8 4 7 3 3" xfId="21365"/>
    <cellStyle name="Normal 4 8 4 7 3 4" xfId="37819"/>
    <cellStyle name="Normal 4 8 4 7 4" xfId="6560"/>
    <cellStyle name="Normal 4 8 4 7 4 2" xfId="14785"/>
    <cellStyle name="Normal 4 8 4 7 4 2 2" xfId="31235"/>
    <cellStyle name="Normal 4 8 4 7 4 3" xfId="23010"/>
    <cellStyle name="Normal 4 8 4 7 4 4" xfId="39464"/>
    <cellStyle name="Normal 4 8 4 7 5" xfId="8205"/>
    <cellStyle name="Normal 4 8 4 7 5 2" xfId="16430"/>
    <cellStyle name="Normal 4 8 4 7 5 2 2" xfId="32880"/>
    <cellStyle name="Normal 4 8 4 7 5 3" xfId="24655"/>
    <cellStyle name="Normal 4 8 4 7 5 4" xfId="41109"/>
    <cellStyle name="Normal 4 8 4 7 6" xfId="9850"/>
    <cellStyle name="Normal 4 8 4 7 6 2" xfId="26300"/>
    <cellStyle name="Normal 4 8 4 7 7" xfId="18074"/>
    <cellStyle name="Normal 4 8 4 7 8" xfId="34528"/>
    <cellStyle name="Normal 4 8 4 8" xfId="1855"/>
    <cellStyle name="Normal 4 8 4 8 2" xfId="10085"/>
    <cellStyle name="Normal 4 8 4 8 2 2" xfId="26535"/>
    <cellStyle name="Normal 4 8 4 8 3" xfId="18309"/>
    <cellStyle name="Normal 4 8 4 8 4" xfId="34763"/>
    <cellStyle name="Normal 4 8 4 9" xfId="3505"/>
    <cellStyle name="Normal 4 8 4 9 2" xfId="11730"/>
    <cellStyle name="Normal 4 8 4 9 2 2" xfId="28180"/>
    <cellStyle name="Normal 4 8 4 9 3" xfId="19955"/>
    <cellStyle name="Normal 4 8 4 9 4" xfId="36409"/>
    <cellStyle name="Normal 4 8 5" xfId="178"/>
    <cellStyle name="Normal 4 8 5 10" xfId="5177"/>
    <cellStyle name="Normal 4 8 5 10 2" xfId="13402"/>
    <cellStyle name="Normal 4 8 5 10 2 2" xfId="29852"/>
    <cellStyle name="Normal 4 8 5 10 3" xfId="21627"/>
    <cellStyle name="Normal 4 8 5 10 4" xfId="38081"/>
    <cellStyle name="Normal 4 8 5 11" xfId="6822"/>
    <cellStyle name="Normal 4 8 5 11 2" xfId="15047"/>
    <cellStyle name="Normal 4 8 5 11 2 2" xfId="31497"/>
    <cellStyle name="Normal 4 8 5 11 3" xfId="23272"/>
    <cellStyle name="Normal 4 8 5 11 4" xfId="39726"/>
    <cellStyle name="Normal 4 8 5 12" xfId="8467"/>
    <cellStyle name="Normal 4 8 5 12 2" xfId="24917"/>
    <cellStyle name="Normal 4 8 5 13" xfId="16691"/>
    <cellStyle name="Normal 4 8 5 14" xfId="33144"/>
    <cellStyle name="Normal 4 8 5 15" xfId="41372"/>
    <cellStyle name="Normal 4 8 5 2" xfId="421"/>
    <cellStyle name="Normal 4 8 5 2 2" xfId="2120"/>
    <cellStyle name="Normal 4 8 5 2 2 2" xfId="10347"/>
    <cellStyle name="Normal 4 8 5 2 2 2 2" xfId="26797"/>
    <cellStyle name="Normal 4 8 5 2 2 3" xfId="18572"/>
    <cellStyle name="Normal 4 8 5 2 2 4" xfId="35026"/>
    <cellStyle name="Normal 4 8 5 2 3" xfId="3767"/>
    <cellStyle name="Normal 4 8 5 2 3 2" xfId="11992"/>
    <cellStyle name="Normal 4 8 5 2 3 2 2" xfId="28442"/>
    <cellStyle name="Normal 4 8 5 2 3 3" xfId="20217"/>
    <cellStyle name="Normal 4 8 5 2 3 4" xfId="36671"/>
    <cellStyle name="Normal 4 8 5 2 4" xfId="5412"/>
    <cellStyle name="Normal 4 8 5 2 4 2" xfId="13637"/>
    <cellStyle name="Normal 4 8 5 2 4 2 2" xfId="30087"/>
    <cellStyle name="Normal 4 8 5 2 4 3" xfId="21862"/>
    <cellStyle name="Normal 4 8 5 2 4 4" xfId="38316"/>
    <cellStyle name="Normal 4 8 5 2 5" xfId="7057"/>
    <cellStyle name="Normal 4 8 5 2 5 2" xfId="15282"/>
    <cellStyle name="Normal 4 8 5 2 5 2 2" xfId="31732"/>
    <cellStyle name="Normal 4 8 5 2 5 3" xfId="23507"/>
    <cellStyle name="Normal 4 8 5 2 5 4" xfId="39961"/>
    <cellStyle name="Normal 4 8 5 2 6" xfId="8702"/>
    <cellStyle name="Normal 4 8 5 2 6 2" xfId="25152"/>
    <cellStyle name="Normal 4 8 5 2 7" xfId="16926"/>
    <cellStyle name="Normal 4 8 5 2 8" xfId="33380"/>
    <cellStyle name="Normal 4 8 5 2 9" xfId="41607"/>
    <cellStyle name="Normal 4 8 5 3" xfId="662"/>
    <cellStyle name="Normal 4 8 5 3 2" xfId="2357"/>
    <cellStyle name="Normal 4 8 5 3 2 2" xfId="10582"/>
    <cellStyle name="Normal 4 8 5 3 2 2 2" xfId="27032"/>
    <cellStyle name="Normal 4 8 5 3 2 3" xfId="18807"/>
    <cellStyle name="Normal 4 8 5 3 2 4" xfId="35261"/>
    <cellStyle name="Normal 4 8 5 3 3" xfId="4002"/>
    <cellStyle name="Normal 4 8 5 3 3 2" xfId="12227"/>
    <cellStyle name="Normal 4 8 5 3 3 2 2" xfId="28677"/>
    <cellStyle name="Normal 4 8 5 3 3 3" xfId="20452"/>
    <cellStyle name="Normal 4 8 5 3 3 4" xfId="36906"/>
    <cellStyle name="Normal 4 8 5 3 4" xfId="5647"/>
    <cellStyle name="Normal 4 8 5 3 4 2" xfId="13872"/>
    <cellStyle name="Normal 4 8 5 3 4 2 2" xfId="30322"/>
    <cellStyle name="Normal 4 8 5 3 4 3" xfId="22097"/>
    <cellStyle name="Normal 4 8 5 3 4 4" xfId="38551"/>
    <cellStyle name="Normal 4 8 5 3 5" xfId="7292"/>
    <cellStyle name="Normal 4 8 5 3 5 2" xfId="15517"/>
    <cellStyle name="Normal 4 8 5 3 5 2 2" xfId="31967"/>
    <cellStyle name="Normal 4 8 5 3 5 3" xfId="23742"/>
    <cellStyle name="Normal 4 8 5 3 5 4" xfId="40196"/>
    <cellStyle name="Normal 4 8 5 3 6" xfId="8937"/>
    <cellStyle name="Normal 4 8 5 3 6 2" xfId="25387"/>
    <cellStyle name="Normal 4 8 5 3 7" xfId="17161"/>
    <cellStyle name="Normal 4 8 5 3 8" xfId="33615"/>
    <cellStyle name="Normal 4 8 5 3 9" xfId="41842"/>
    <cellStyle name="Normal 4 8 5 4" xfId="897"/>
    <cellStyle name="Normal 4 8 5 4 2" xfId="2592"/>
    <cellStyle name="Normal 4 8 5 4 2 2" xfId="10817"/>
    <cellStyle name="Normal 4 8 5 4 2 2 2" xfId="27267"/>
    <cellStyle name="Normal 4 8 5 4 2 3" xfId="19042"/>
    <cellStyle name="Normal 4 8 5 4 2 4" xfId="35496"/>
    <cellStyle name="Normal 4 8 5 4 3" xfId="4237"/>
    <cellStyle name="Normal 4 8 5 4 3 2" xfId="12462"/>
    <cellStyle name="Normal 4 8 5 4 3 2 2" xfId="28912"/>
    <cellStyle name="Normal 4 8 5 4 3 3" xfId="20687"/>
    <cellStyle name="Normal 4 8 5 4 3 4" xfId="37141"/>
    <cellStyle name="Normal 4 8 5 4 4" xfId="5882"/>
    <cellStyle name="Normal 4 8 5 4 4 2" xfId="14107"/>
    <cellStyle name="Normal 4 8 5 4 4 2 2" xfId="30557"/>
    <cellStyle name="Normal 4 8 5 4 4 3" xfId="22332"/>
    <cellStyle name="Normal 4 8 5 4 4 4" xfId="38786"/>
    <cellStyle name="Normal 4 8 5 4 5" xfId="7527"/>
    <cellStyle name="Normal 4 8 5 4 5 2" xfId="15752"/>
    <cellStyle name="Normal 4 8 5 4 5 2 2" xfId="32202"/>
    <cellStyle name="Normal 4 8 5 4 5 3" xfId="23977"/>
    <cellStyle name="Normal 4 8 5 4 5 4" xfId="40431"/>
    <cellStyle name="Normal 4 8 5 4 6" xfId="9172"/>
    <cellStyle name="Normal 4 8 5 4 6 2" xfId="25622"/>
    <cellStyle name="Normal 4 8 5 4 7" xfId="17396"/>
    <cellStyle name="Normal 4 8 5 4 8" xfId="33850"/>
    <cellStyle name="Normal 4 8 5 4 9" xfId="42077"/>
    <cellStyle name="Normal 4 8 5 5" xfId="1132"/>
    <cellStyle name="Normal 4 8 5 5 2" xfId="2827"/>
    <cellStyle name="Normal 4 8 5 5 2 2" xfId="11052"/>
    <cellStyle name="Normal 4 8 5 5 2 2 2" xfId="27502"/>
    <cellStyle name="Normal 4 8 5 5 2 3" xfId="19277"/>
    <cellStyle name="Normal 4 8 5 5 2 4" xfId="35731"/>
    <cellStyle name="Normal 4 8 5 5 3" xfId="4472"/>
    <cellStyle name="Normal 4 8 5 5 3 2" xfId="12697"/>
    <cellStyle name="Normal 4 8 5 5 3 2 2" xfId="29147"/>
    <cellStyle name="Normal 4 8 5 5 3 3" xfId="20922"/>
    <cellStyle name="Normal 4 8 5 5 3 4" xfId="37376"/>
    <cellStyle name="Normal 4 8 5 5 4" xfId="6117"/>
    <cellStyle name="Normal 4 8 5 5 4 2" xfId="14342"/>
    <cellStyle name="Normal 4 8 5 5 4 2 2" xfId="30792"/>
    <cellStyle name="Normal 4 8 5 5 4 3" xfId="22567"/>
    <cellStyle name="Normal 4 8 5 5 4 4" xfId="39021"/>
    <cellStyle name="Normal 4 8 5 5 5" xfId="7762"/>
    <cellStyle name="Normal 4 8 5 5 5 2" xfId="15987"/>
    <cellStyle name="Normal 4 8 5 5 5 2 2" xfId="32437"/>
    <cellStyle name="Normal 4 8 5 5 5 3" xfId="24212"/>
    <cellStyle name="Normal 4 8 5 5 5 4" xfId="40666"/>
    <cellStyle name="Normal 4 8 5 5 6" xfId="9407"/>
    <cellStyle name="Normal 4 8 5 5 6 2" xfId="25857"/>
    <cellStyle name="Normal 4 8 5 5 7" xfId="17631"/>
    <cellStyle name="Normal 4 8 5 5 8" xfId="34085"/>
    <cellStyle name="Normal 4 8 5 5 9" xfId="42312"/>
    <cellStyle name="Normal 4 8 5 6" xfId="1412"/>
    <cellStyle name="Normal 4 8 5 6 2" xfId="3062"/>
    <cellStyle name="Normal 4 8 5 6 2 2" xfId="11287"/>
    <cellStyle name="Normal 4 8 5 6 2 2 2" xfId="27737"/>
    <cellStyle name="Normal 4 8 5 6 2 3" xfId="19512"/>
    <cellStyle name="Normal 4 8 5 6 2 4" xfId="35966"/>
    <cellStyle name="Normal 4 8 5 6 3" xfId="4707"/>
    <cellStyle name="Normal 4 8 5 6 3 2" xfId="12932"/>
    <cellStyle name="Normal 4 8 5 6 3 2 2" xfId="29382"/>
    <cellStyle name="Normal 4 8 5 6 3 3" xfId="21157"/>
    <cellStyle name="Normal 4 8 5 6 3 4" xfId="37611"/>
    <cellStyle name="Normal 4 8 5 6 4" xfId="6352"/>
    <cellStyle name="Normal 4 8 5 6 4 2" xfId="14577"/>
    <cellStyle name="Normal 4 8 5 6 4 2 2" xfId="31027"/>
    <cellStyle name="Normal 4 8 5 6 4 3" xfId="22802"/>
    <cellStyle name="Normal 4 8 5 6 4 4" xfId="39256"/>
    <cellStyle name="Normal 4 8 5 6 5" xfId="7997"/>
    <cellStyle name="Normal 4 8 5 6 5 2" xfId="16222"/>
    <cellStyle name="Normal 4 8 5 6 5 2 2" xfId="32672"/>
    <cellStyle name="Normal 4 8 5 6 5 3" xfId="24447"/>
    <cellStyle name="Normal 4 8 5 6 5 4" xfId="40901"/>
    <cellStyle name="Normal 4 8 5 6 6" xfId="9642"/>
    <cellStyle name="Normal 4 8 5 6 6 2" xfId="26092"/>
    <cellStyle name="Normal 4 8 5 6 7" xfId="17866"/>
    <cellStyle name="Normal 4 8 5 6 8" xfId="34320"/>
    <cellStyle name="Normal 4 8 5 7" xfId="1647"/>
    <cellStyle name="Normal 4 8 5 7 2" xfId="3297"/>
    <cellStyle name="Normal 4 8 5 7 2 2" xfId="11522"/>
    <cellStyle name="Normal 4 8 5 7 2 2 2" xfId="27972"/>
    <cellStyle name="Normal 4 8 5 7 2 3" xfId="19747"/>
    <cellStyle name="Normal 4 8 5 7 2 4" xfId="36201"/>
    <cellStyle name="Normal 4 8 5 7 3" xfId="4942"/>
    <cellStyle name="Normal 4 8 5 7 3 2" xfId="13167"/>
    <cellStyle name="Normal 4 8 5 7 3 2 2" xfId="29617"/>
    <cellStyle name="Normal 4 8 5 7 3 3" xfId="21392"/>
    <cellStyle name="Normal 4 8 5 7 3 4" xfId="37846"/>
    <cellStyle name="Normal 4 8 5 7 4" xfId="6587"/>
    <cellStyle name="Normal 4 8 5 7 4 2" xfId="14812"/>
    <cellStyle name="Normal 4 8 5 7 4 2 2" xfId="31262"/>
    <cellStyle name="Normal 4 8 5 7 4 3" xfId="23037"/>
    <cellStyle name="Normal 4 8 5 7 4 4" xfId="39491"/>
    <cellStyle name="Normal 4 8 5 7 5" xfId="8232"/>
    <cellStyle name="Normal 4 8 5 7 5 2" xfId="16457"/>
    <cellStyle name="Normal 4 8 5 7 5 2 2" xfId="32907"/>
    <cellStyle name="Normal 4 8 5 7 5 3" xfId="24682"/>
    <cellStyle name="Normal 4 8 5 7 5 4" xfId="41136"/>
    <cellStyle name="Normal 4 8 5 7 6" xfId="9877"/>
    <cellStyle name="Normal 4 8 5 7 6 2" xfId="26327"/>
    <cellStyle name="Normal 4 8 5 7 7" xfId="18101"/>
    <cellStyle name="Normal 4 8 5 7 8" xfId="34555"/>
    <cellStyle name="Normal 4 8 5 8" xfId="1882"/>
    <cellStyle name="Normal 4 8 5 8 2" xfId="10112"/>
    <cellStyle name="Normal 4 8 5 8 2 2" xfId="26562"/>
    <cellStyle name="Normal 4 8 5 8 3" xfId="18336"/>
    <cellStyle name="Normal 4 8 5 8 4" xfId="34790"/>
    <cellStyle name="Normal 4 8 5 9" xfId="3532"/>
    <cellStyle name="Normal 4 8 5 9 2" xfId="11757"/>
    <cellStyle name="Normal 4 8 5 9 2 2" xfId="28207"/>
    <cellStyle name="Normal 4 8 5 9 3" xfId="19982"/>
    <cellStyle name="Normal 4 8 5 9 4" xfId="36436"/>
    <cellStyle name="Normal 4 8 6" xfId="207"/>
    <cellStyle name="Normal 4 8 6 10" xfId="5204"/>
    <cellStyle name="Normal 4 8 6 10 2" xfId="13429"/>
    <cellStyle name="Normal 4 8 6 10 2 2" xfId="29879"/>
    <cellStyle name="Normal 4 8 6 10 3" xfId="21654"/>
    <cellStyle name="Normal 4 8 6 10 4" xfId="38108"/>
    <cellStyle name="Normal 4 8 6 11" xfId="6849"/>
    <cellStyle name="Normal 4 8 6 11 2" xfId="15074"/>
    <cellStyle name="Normal 4 8 6 11 2 2" xfId="31524"/>
    <cellStyle name="Normal 4 8 6 11 3" xfId="23299"/>
    <cellStyle name="Normal 4 8 6 11 4" xfId="39753"/>
    <cellStyle name="Normal 4 8 6 12" xfId="8494"/>
    <cellStyle name="Normal 4 8 6 12 2" xfId="24944"/>
    <cellStyle name="Normal 4 8 6 13" xfId="16718"/>
    <cellStyle name="Normal 4 8 6 14" xfId="33171"/>
    <cellStyle name="Normal 4 8 6 15" xfId="41399"/>
    <cellStyle name="Normal 4 8 6 2" xfId="450"/>
    <cellStyle name="Normal 4 8 6 2 2" xfId="2147"/>
    <cellStyle name="Normal 4 8 6 2 2 2" xfId="10374"/>
    <cellStyle name="Normal 4 8 6 2 2 2 2" xfId="26824"/>
    <cellStyle name="Normal 4 8 6 2 2 3" xfId="18599"/>
    <cellStyle name="Normal 4 8 6 2 2 4" xfId="35053"/>
    <cellStyle name="Normal 4 8 6 2 3" xfId="3794"/>
    <cellStyle name="Normal 4 8 6 2 3 2" xfId="12019"/>
    <cellStyle name="Normal 4 8 6 2 3 2 2" xfId="28469"/>
    <cellStyle name="Normal 4 8 6 2 3 3" xfId="20244"/>
    <cellStyle name="Normal 4 8 6 2 3 4" xfId="36698"/>
    <cellStyle name="Normal 4 8 6 2 4" xfId="5439"/>
    <cellStyle name="Normal 4 8 6 2 4 2" xfId="13664"/>
    <cellStyle name="Normal 4 8 6 2 4 2 2" xfId="30114"/>
    <cellStyle name="Normal 4 8 6 2 4 3" xfId="21889"/>
    <cellStyle name="Normal 4 8 6 2 4 4" xfId="38343"/>
    <cellStyle name="Normal 4 8 6 2 5" xfId="7084"/>
    <cellStyle name="Normal 4 8 6 2 5 2" xfId="15309"/>
    <cellStyle name="Normal 4 8 6 2 5 2 2" xfId="31759"/>
    <cellStyle name="Normal 4 8 6 2 5 3" xfId="23534"/>
    <cellStyle name="Normal 4 8 6 2 5 4" xfId="39988"/>
    <cellStyle name="Normal 4 8 6 2 6" xfId="8729"/>
    <cellStyle name="Normal 4 8 6 2 6 2" xfId="25179"/>
    <cellStyle name="Normal 4 8 6 2 7" xfId="16953"/>
    <cellStyle name="Normal 4 8 6 2 8" xfId="33407"/>
    <cellStyle name="Normal 4 8 6 2 9" xfId="41634"/>
    <cellStyle name="Normal 4 8 6 3" xfId="689"/>
    <cellStyle name="Normal 4 8 6 3 2" xfId="2384"/>
    <cellStyle name="Normal 4 8 6 3 2 2" xfId="10609"/>
    <cellStyle name="Normal 4 8 6 3 2 2 2" xfId="27059"/>
    <cellStyle name="Normal 4 8 6 3 2 3" xfId="18834"/>
    <cellStyle name="Normal 4 8 6 3 2 4" xfId="35288"/>
    <cellStyle name="Normal 4 8 6 3 3" xfId="4029"/>
    <cellStyle name="Normal 4 8 6 3 3 2" xfId="12254"/>
    <cellStyle name="Normal 4 8 6 3 3 2 2" xfId="28704"/>
    <cellStyle name="Normal 4 8 6 3 3 3" xfId="20479"/>
    <cellStyle name="Normal 4 8 6 3 3 4" xfId="36933"/>
    <cellStyle name="Normal 4 8 6 3 4" xfId="5674"/>
    <cellStyle name="Normal 4 8 6 3 4 2" xfId="13899"/>
    <cellStyle name="Normal 4 8 6 3 4 2 2" xfId="30349"/>
    <cellStyle name="Normal 4 8 6 3 4 3" xfId="22124"/>
    <cellStyle name="Normal 4 8 6 3 4 4" xfId="38578"/>
    <cellStyle name="Normal 4 8 6 3 5" xfId="7319"/>
    <cellStyle name="Normal 4 8 6 3 5 2" xfId="15544"/>
    <cellStyle name="Normal 4 8 6 3 5 2 2" xfId="31994"/>
    <cellStyle name="Normal 4 8 6 3 5 3" xfId="23769"/>
    <cellStyle name="Normal 4 8 6 3 5 4" xfId="40223"/>
    <cellStyle name="Normal 4 8 6 3 6" xfId="8964"/>
    <cellStyle name="Normal 4 8 6 3 6 2" xfId="25414"/>
    <cellStyle name="Normal 4 8 6 3 7" xfId="17188"/>
    <cellStyle name="Normal 4 8 6 3 8" xfId="33642"/>
    <cellStyle name="Normal 4 8 6 3 9" xfId="41869"/>
    <cellStyle name="Normal 4 8 6 4" xfId="924"/>
    <cellStyle name="Normal 4 8 6 4 2" xfId="2619"/>
    <cellStyle name="Normal 4 8 6 4 2 2" xfId="10844"/>
    <cellStyle name="Normal 4 8 6 4 2 2 2" xfId="27294"/>
    <cellStyle name="Normal 4 8 6 4 2 3" xfId="19069"/>
    <cellStyle name="Normal 4 8 6 4 2 4" xfId="35523"/>
    <cellStyle name="Normal 4 8 6 4 3" xfId="4264"/>
    <cellStyle name="Normal 4 8 6 4 3 2" xfId="12489"/>
    <cellStyle name="Normal 4 8 6 4 3 2 2" xfId="28939"/>
    <cellStyle name="Normal 4 8 6 4 3 3" xfId="20714"/>
    <cellStyle name="Normal 4 8 6 4 3 4" xfId="37168"/>
    <cellStyle name="Normal 4 8 6 4 4" xfId="5909"/>
    <cellStyle name="Normal 4 8 6 4 4 2" xfId="14134"/>
    <cellStyle name="Normal 4 8 6 4 4 2 2" xfId="30584"/>
    <cellStyle name="Normal 4 8 6 4 4 3" xfId="22359"/>
    <cellStyle name="Normal 4 8 6 4 4 4" xfId="38813"/>
    <cellStyle name="Normal 4 8 6 4 5" xfId="7554"/>
    <cellStyle name="Normal 4 8 6 4 5 2" xfId="15779"/>
    <cellStyle name="Normal 4 8 6 4 5 2 2" xfId="32229"/>
    <cellStyle name="Normal 4 8 6 4 5 3" xfId="24004"/>
    <cellStyle name="Normal 4 8 6 4 5 4" xfId="40458"/>
    <cellStyle name="Normal 4 8 6 4 6" xfId="9199"/>
    <cellStyle name="Normal 4 8 6 4 6 2" xfId="25649"/>
    <cellStyle name="Normal 4 8 6 4 7" xfId="17423"/>
    <cellStyle name="Normal 4 8 6 4 8" xfId="33877"/>
    <cellStyle name="Normal 4 8 6 4 9" xfId="42104"/>
    <cellStyle name="Normal 4 8 6 5" xfId="1159"/>
    <cellStyle name="Normal 4 8 6 5 2" xfId="2854"/>
    <cellStyle name="Normal 4 8 6 5 2 2" xfId="11079"/>
    <cellStyle name="Normal 4 8 6 5 2 2 2" xfId="27529"/>
    <cellStyle name="Normal 4 8 6 5 2 3" xfId="19304"/>
    <cellStyle name="Normal 4 8 6 5 2 4" xfId="35758"/>
    <cellStyle name="Normal 4 8 6 5 3" xfId="4499"/>
    <cellStyle name="Normal 4 8 6 5 3 2" xfId="12724"/>
    <cellStyle name="Normal 4 8 6 5 3 2 2" xfId="29174"/>
    <cellStyle name="Normal 4 8 6 5 3 3" xfId="20949"/>
    <cellStyle name="Normal 4 8 6 5 3 4" xfId="37403"/>
    <cellStyle name="Normal 4 8 6 5 4" xfId="6144"/>
    <cellStyle name="Normal 4 8 6 5 4 2" xfId="14369"/>
    <cellStyle name="Normal 4 8 6 5 4 2 2" xfId="30819"/>
    <cellStyle name="Normal 4 8 6 5 4 3" xfId="22594"/>
    <cellStyle name="Normal 4 8 6 5 4 4" xfId="39048"/>
    <cellStyle name="Normal 4 8 6 5 5" xfId="7789"/>
    <cellStyle name="Normal 4 8 6 5 5 2" xfId="16014"/>
    <cellStyle name="Normal 4 8 6 5 5 2 2" xfId="32464"/>
    <cellStyle name="Normal 4 8 6 5 5 3" xfId="24239"/>
    <cellStyle name="Normal 4 8 6 5 5 4" xfId="40693"/>
    <cellStyle name="Normal 4 8 6 5 6" xfId="9434"/>
    <cellStyle name="Normal 4 8 6 5 6 2" xfId="25884"/>
    <cellStyle name="Normal 4 8 6 5 7" xfId="17658"/>
    <cellStyle name="Normal 4 8 6 5 8" xfId="34112"/>
    <cellStyle name="Normal 4 8 6 5 9" xfId="42339"/>
    <cellStyle name="Normal 4 8 6 6" xfId="1439"/>
    <cellStyle name="Normal 4 8 6 6 2" xfId="3089"/>
    <cellStyle name="Normal 4 8 6 6 2 2" xfId="11314"/>
    <cellStyle name="Normal 4 8 6 6 2 2 2" xfId="27764"/>
    <cellStyle name="Normal 4 8 6 6 2 3" xfId="19539"/>
    <cellStyle name="Normal 4 8 6 6 2 4" xfId="35993"/>
    <cellStyle name="Normal 4 8 6 6 3" xfId="4734"/>
    <cellStyle name="Normal 4 8 6 6 3 2" xfId="12959"/>
    <cellStyle name="Normal 4 8 6 6 3 2 2" xfId="29409"/>
    <cellStyle name="Normal 4 8 6 6 3 3" xfId="21184"/>
    <cellStyle name="Normal 4 8 6 6 3 4" xfId="37638"/>
    <cellStyle name="Normal 4 8 6 6 4" xfId="6379"/>
    <cellStyle name="Normal 4 8 6 6 4 2" xfId="14604"/>
    <cellStyle name="Normal 4 8 6 6 4 2 2" xfId="31054"/>
    <cellStyle name="Normal 4 8 6 6 4 3" xfId="22829"/>
    <cellStyle name="Normal 4 8 6 6 4 4" xfId="39283"/>
    <cellStyle name="Normal 4 8 6 6 5" xfId="8024"/>
    <cellStyle name="Normal 4 8 6 6 5 2" xfId="16249"/>
    <cellStyle name="Normal 4 8 6 6 5 2 2" xfId="32699"/>
    <cellStyle name="Normal 4 8 6 6 5 3" xfId="24474"/>
    <cellStyle name="Normal 4 8 6 6 5 4" xfId="40928"/>
    <cellStyle name="Normal 4 8 6 6 6" xfId="9669"/>
    <cellStyle name="Normal 4 8 6 6 6 2" xfId="26119"/>
    <cellStyle name="Normal 4 8 6 6 7" xfId="17893"/>
    <cellStyle name="Normal 4 8 6 6 8" xfId="34347"/>
    <cellStyle name="Normal 4 8 6 7" xfId="1674"/>
    <cellStyle name="Normal 4 8 6 7 2" xfId="3324"/>
    <cellStyle name="Normal 4 8 6 7 2 2" xfId="11549"/>
    <cellStyle name="Normal 4 8 6 7 2 2 2" xfId="27999"/>
    <cellStyle name="Normal 4 8 6 7 2 3" xfId="19774"/>
    <cellStyle name="Normal 4 8 6 7 2 4" xfId="36228"/>
    <cellStyle name="Normal 4 8 6 7 3" xfId="4969"/>
    <cellStyle name="Normal 4 8 6 7 3 2" xfId="13194"/>
    <cellStyle name="Normal 4 8 6 7 3 2 2" xfId="29644"/>
    <cellStyle name="Normal 4 8 6 7 3 3" xfId="21419"/>
    <cellStyle name="Normal 4 8 6 7 3 4" xfId="37873"/>
    <cellStyle name="Normal 4 8 6 7 4" xfId="6614"/>
    <cellStyle name="Normal 4 8 6 7 4 2" xfId="14839"/>
    <cellStyle name="Normal 4 8 6 7 4 2 2" xfId="31289"/>
    <cellStyle name="Normal 4 8 6 7 4 3" xfId="23064"/>
    <cellStyle name="Normal 4 8 6 7 4 4" xfId="39518"/>
    <cellStyle name="Normal 4 8 6 7 5" xfId="8259"/>
    <cellStyle name="Normal 4 8 6 7 5 2" xfId="16484"/>
    <cellStyle name="Normal 4 8 6 7 5 2 2" xfId="32934"/>
    <cellStyle name="Normal 4 8 6 7 5 3" xfId="24709"/>
    <cellStyle name="Normal 4 8 6 7 5 4" xfId="41163"/>
    <cellStyle name="Normal 4 8 6 7 6" xfId="9904"/>
    <cellStyle name="Normal 4 8 6 7 6 2" xfId="26354"/>
    <cellStyle name="Normal 4 8 6 7 7" xfId="18128"/>
    <cellStyle name="Normal 4 8 6 7 8" xfId="34582"/>
    <cellStyle name="Normal 4 8 6 8" xfId="1909"/>
    <cellStyle name="Normal 4 8 6 8 2" xfId="10139"/>
    <cellStyle name="Normal 4 8 6 8 2 2" xfId="26589"/>
    <cellStyle name="Normal 4 8 6 8 3" xfId="18363"/>
    <cellStyle name="Normal 4 8 6 8 4" xfId="34817"/>
    <cellStyle name="Normal 4 8 6 9" xfId="3559"/>
    <cellStyle name="Normal 4 8 6 9 2" xfId="11784"/>
    <cellStyle name="Normal 4 8 6 9 2 2" xfId="28234"/>
    <cellStyle name="Normal 4 8 6 9 3" xfId="20009"/>
    <cellStyle name="Normal 4 8 6 9 4" xfId="36463"/>
    <cellStyle name="Normal 4 8 7" xfId="234"/>
    <cellStyle name="Normal 4 8 7 10" xfId="5231"/>
    <cellStyle name="Normal 4 8 7 10 2" xfId="13456"/>
    <cellStyle name="Normal 4 8 7 10 2 2" xfId="29906"/>
    <cellStyle name="Normal 4 8 7 10 3" xfId="21681"/>
    <cellStyle name="Normal 4 8 7 10 4" xfId="38135"/>
    <cellStyle name="Normal 4 8 7 11" xfId="6876"/>
    <cellStyle name="Normal 4 8 7 11 2" xfId="15101"/>
    <cellStyle name="Normal 4 8 7 11 2 2" xfId="31551"/>
    <cellStyle name="Normal 4 8 7 11 3" xfId="23326"/>
    <cellStyle name="Normal 4 8 7 11 4" xfId="39780"/>
    <cellStyle name="Normal 4 8 7 12" xfId="8521"/>
    <cellStyle name="Normal 4 8 7 12 2" xfId="24971"/>
    <cellStyle name="Normal 4 8 7 13" xfId="16745"/>
    <cellStyle name="Normal 4 8 7 14" xfId="33198"/>
    <cellStyle name="Normal 4 8 7 15" xfId="41426"/>
    <cellStyle name="Normal 4 8 7 2" xfId="477"/>
    <cellStyle name="Normal 4 8 7 2 2" xfId="2174"/>
    <cellStyle name="Normal 4 8 7 2 2 2" xfId="10401"/>
    <cellStyle name="Normal 4 8 7 2 2 2 2" xfId="26851"/>
    <cellStyle name="Normal 4 8 7 2 2 3" xfId="18626"/>
    <cellStyle name="Normal 4 8 7 2 2 4" xfId="35080"/>
    <cellStyle name="Normal 4 8 7 2 3" xfId="3821"/>
    <cellStyle name="Normal 4 8 7 2 3 2" xfId="12046"/>
    <cellStyle name="Normal 4 8 7 2 3 2 2" xfId="28496"/>
    <cellStyle name="Normal 4 8 7 2 3 3" xfId="20271"/>
    <cellStyle name="Normal 4 8 7 2 3 4" xfId="36725"/>
    <cellStyle name="Normal 4 8 7 2 4" xfId="5466"/>
    <cellStyle name="Normal 4 8 7 2 4 2" xfId="13691"/>
    <cellStyle name="Normal 4 8 7 2 4 2 2" xfId="30141"/>
    <cellStyle name="Normal 4 8 7 2 4 3" xfId="21916"/>
    <cellStyle name="Normal 4 8 7 2 4 4" xfId="38370"/>
    <cellStyle name="Normal 4 8 7 2 5" xfId="7111"/>
    <cellStyle name="Normal 4 8 7 2 5 2" xfId="15336"/>
    <cellStyle name="Normal 4 8 7 2 5 2 2" xfId="31786"/>
    <cellStyle name="Normal 4 8 7 2 5 3" xfId="23561"/>
    <cellStyle name="Normal 4 8 7 2 5 4" xfId="40015"/>
    <cellStyle name="Normal 4 8 7 2 6" xfId="8756"/>
    <cellStyle name="Normal 4 8 7 2 6 2" xfId="25206"/>
    <cellStyle name="Normal 4 8 7 2 7" xfId="16980"/>
    <cellStyle name="Normal 4 8 7 2 8" xfId="33434"/>
    <cellStyle name="Normal 4 8 7 2 9" xfId="41661"/>
    <cellStyle name="Normal 4 8 7 3" xfId="716"/>
    <cellStyle name="Normal 4 8 7 3 2" xfId="2411"/>
    <cellStyle name="Normal 4 8 7 3 2 2" xfId="10636"/>
    <cellStyle name="Normal 4 8 7 3 2 2 2" xfId="27086"/>
    <cellStyle name="Normal 4 8 7 3 2 3" xfId="18861"/>
    <cellStyle name="Normal 4 8 7 3 2 4" xfId="35315"/>
    <cellStyle name="Normal 4 8 7 3 3" xfId="4056"/>
    <cellStyle name="Normal 4 8 7 3 3 2" xfId="12281"/>
    <cellStyle name="Normal 4 8 7 3 3 2 2" xfId="28731"/>
    <cellStyle name="Normal 4 8 7 3 3 3" xfId="20506"/>
    <cellStyle name="Normal 4 8 7 3 3 4" xfId="36960"/>
    <cellStyle name="Normal 4 8 7 3 4" xfId="5701"/>
    <cellStyle name="Normal 4 8 7 3 4 2" xfId="13926"/>
    <cellStyle name="Normal 4 8 7 3 4 2 2" xfId="30376"/>
    <cellStyle name="Normal 4 8 7 3 4 3" xfId="22151"/>
    <cellStyle name="Normal 4 8 7 3 4 4" xfId="38605"/>
    <cellStyle name="Normal 4 8 7 3 5" xfId="7346"/>
    <cellStyle name="Normal 4 8 7 3 5 2" xfId="15571"/>
    <cellStyle name="Normal 4 8 7 3 5 2 2" xfId="32021"/>
    <cellStyle name="Normal 4 8 7 3 5 3" xfId="23796"/>
    <cellStyle name="Normal 4 8 7 3 5 4" xfId="40250"/>
    <cellStyle name="Normal 4 8 7 3 6" xfId="8991"/>
    <cellStyle name="Normal 4 8 7 3 6 2" xfId="25441"/>
    <cellStyle name="Normal 4 8 7 3 7" xfId="17215"/>
    <cellStyle name="Normal 4 8 7 3 8" xfId="33669"/>
    <cellStyle name="Normal 4 8 7 3 9" xfId="41896"/>
    <cellStyle name="Normal 4 8 7 4" xfId="951"/>
    <cellStyle name="Normal 4 8 7 4 2" xfId="2646"/>
    <cellStyle name="Normal 4 8 7 4 2 2" xfId="10871"/>
    <cellStyle name="Normal 4 8 7 4 2 2 2" xfId="27321"/>
    <cellStyle name="Normal 4 8 7 4 2 3" xfId="19096"/>
    <cellStyle name="Normal 4 8 7 4 2 4" xfId="35550"/>
    <cellStyle name="Normal 4 8 7 4 3" xfId="4291"/>
    <cellStyle name="Normal 4 8 7 4 3 2" xfId="12516"/>
    <cellStyle name="Normal 4 8 7 4 3 2 2" xfId="28966"/>
    <cellStyle name="Normal 4 8 7 4 3 3" xfId="20741"/>
    <cellStyle name="Normal 4 8 7 4 3 4" xfId="37195"/>
    <cellStyle name="Normal 4 8 7 4 4" xfId="5936"/>
    <cellStyle name="Normal 4 8 7 4 4 2" xfId="14161"/>
    <cellStyle name="Normal 4 8 7 4 4 2 2" xfId="30611"/>
    <cellStyle name="Normal 4 8 7 4 4 3" xfId="22386"/>
    <cellStyle name="Normal 4 8 7 4 4 4" xfId="38840"/>
    <cellStyle name="Normal 4 8 7 4 5" xfId="7581"/>
    <cellStyle name="Normal 4 8 7 4 5 2" xfId="15806"/>
    <cellStyle name="Normal 4 8 7 4 5 2 2" xfId="32256"/>
    <cellStyle name="Normal 4 8 7 4 5 3" xfId="24031"/>
    <cellStyle name="Normal 4 8 7 4 5 4" xfId="40485"/>
    <cellStyle name="Normal 4 8 7 4 6" xfId="9226"/>
    <cellStyle name="Normal 4 8 7 4 6 2" xfId="25676"/>
    <cellStyle name="Normal 4 8 7 4 7" xfId="17450"/>
    <cellStyle name="Normal 4 8 7 4 8" xfId="33904"/>
    <cellStyle name="Normal 4 8 7 4 9" xfId="42131"/>
    <cellStyle name="Normal 4 8 7 5" xfId="1186"/>
    <cellStyle name="Normal 4 8 7 5 2" xfId="2881"/>
    <cellStyle name="Normal 4 8 7 5 2 2" xfId="11106"/>
    <cellStyle name="Normal 4 8 7 5 2 2 2" xfId="27556"/>
    <cellStyle name="Normal 4 8 7 5 2 3" xfId="19331"/>
    <cellStyle name="Normal 4 8 7 5 2 4" xfId="35785"/>
    <cellStyle name="Normal 4 8 7 5 3" xfId="4526"/>
    <cellStyle name="Normal 4 8 7 5 3 2" xfId="12751"/>
    <cellStyle name="Normal 4 8 7 5 3 2 2" xfId="29201"/>
    <cellStyle name="Normal 4 8 7 5 3 3" xfId="20976"/>
    <cellStyle name="Normal 4 8 7 5 3 4" xfId="37430"/>
    <cellStyle name="Normal 4 8 7 5 4" xfId="6171"/>
    <cellStyle name="Normal 4 8 7 5 4 2" xfId="14396"/>
    <cellStyle name="Normal 4 8 7 5 4 2 2" xfId="30846"/>
    <cellStyle name="Normal 4 8 7 5 4 3" xfId="22621"/>
    <cellStyle name="Normal 4 8 7 5 4 4" xfId="39075"/>
    <cellStyle name="Normal 4 8 7 5 5" xfId="7816"/>
    <cellStyle name="Normal 4 8 7 5 5 2" xfId="16041"/>
    <cellStyle name="Normal 4 8 7 5 5 2 2" xfId="32491"/>
    <cellStyle name="Normal 4 8 7 5 5 3" xfId="24266"/>
    <cellStyle name="Normal 4 8 7 5 5 4" xfId="40720"/>
    <cellStyle name="Normal 4 8 7 5 6" xfId="9461"/>
    <cellStyle name="Normal 4 8 7 5 6 2" xfId="25911"/>
    <cellStyle name="Normal 4 8 7 5 7" xfId="17685"/>
    <cellStyle name="Normal 4 8 7 5 8" xfId="34139"/>
    <cellStyle name="Normal 4 8 7 5 9" xfId="42366"/>
    <cellStyle name="Normal 4 8 7 6" xfId="1466"/>
    <cellStyle name="Normal 4 8 7 6 2" xfId="3116"/>
    <cellStyle name="Normal 4 8 7 6 2 2" xfId="11341"/>
    <cellStyle name="Normal 4 8 7 6 2 2 2" xfId="27791"/>
    <cellStyle name="Normal 4 8 7 6 2 3" xfId="19566"/>
    <cellStyle name="Normal 4 8 7 6 2 4" xfId="36020"/>
    <cellStyle name="Normal 4 8 7 6 3" xfId="4761"/>
    <cellStyle name="Normal 4 8 7 6 3 2" xfId="12986"/>
    <cellStyle name="Normal 4 8 7 6 3 2 2" xfId="29436"/>
    <cellStyle name="Normal 4 8 7 6 3 3" xfId="21211"/>
    <cellStyle name="Normal 4 8 7 6 3 4" xfId="37665"/>
    <cellStyle name="Normal 4 8 7 6 4" xfId="6406"/>
    <cellStyle name="Normal 4 8 7 6 4 2" xfId="14631"/>
    <cellStyle name="Normal 4 8 7 6 4 2 2" xfId="31081"/>
    <cellStyle name="Normal 4 8 7 6 4 3" xfId="22856"/>
    <cellStyle name="Normal 4 8 7 6 4 4" xfId="39310"/>
    <cellStyle name="Normal 4 8 7 6 5" xfId="8051"/>
    <cellStyle name="Normal 4 8 7 6 5 2" xfId="16276"/>
    <cellStyle name="Normal 4 8 7 6 5 2 2" xfId="32726"/>
    <cellStyle name="Normal 4 8 7 6 5 3" xfId="24501"/>
    <cellStyle name="Normal 4 8 7 6 5 4" xfId="40955"/>
    <cellStyle name="Normal 4 8 7 6 6" xfId="9696"/>
    <cellStyle name="Normal 4 8 7 6 6 2" xfId="26146"/>
    <cellStyle name="Normal 4 8 7 6 7" xfId="17920"/>
    <cellStyle name="Normal 4 8 7 6 8" xfId="34374"/>
    <cellStyle name="Normal 4 8 7 7" xfId="1701"/>
    <cellStyle name="Normal 4 8 7 7 2" xfId="3351"/>
    <cellStyle name="Normal 4 8 7 7 2 2" xfId="11576"/>
    <cellStyle name="Normal 4 8 7 7 2 2 2" xfId="28026"/>
    <cellStyle name="Normal 4 8 7 7 2 3" xfId="19801"/>
    <cellStyle name="Normal 4 8 7 7 2 4" xfId="36255"/>
    <cellStyle name="Normal 4 8 7 7 3" xfId="4996"/>
    <cellStyle name="Normal 4 8 7 7 3 2" xfId="13221"/>
    <cellStyle name="Normal 4 8 7 7 3 2 2" xfId="29671"/>
    <cellStyle name="Normal 4 8 7 7 3 3" xfId="21446"/>
    <cellStyle name="Normal 4 8 7 7 3 4" xfId="37900"/>
    <cellStyle name="Normal 4 8 7 7 4" xfId="6641"/>
    <cellStyle name="Normal 4 8 7 7 4 2" xfId="14866"/>
    <cellStyle name="Normal 4 8 7 7 4 2 2" xfId="31316"/>
    <cellStyle name="Normal 4 8 7 7 4 3" xfId="23091"/>
    <cellStyle name="Normal 4 8 7 7 4 4" xfId="39545"/>
    <cellStyle name="Normal 4 8 7 7 5" xfId="8286"/>
    <cellStyle name="Normal 4 8 7 7 5 2" xfId="16511"/>
    <cellStyle name="Normal 4 8 7 7 5 2 2" xfId="32961"/>
    <cellStyle name="Normal 4 8 7 7 5 3" xfId="24736"/>
    <cellStyle name="Normal 4 8 7 7 5 4" xfId="41190"/>
    <cellStyle name="Normal 4 8 7 7 6" xfId="9931"/>
    <cellStyle name="Normal 4 8 7 7 6 2" xfId="26381"/>
    <cellStyle name="Normal 4 8 7 7 7" xfId="18155"/>
    <cellStyle name="Normal 4 8 7 7 8" xfId="34609"/>
    <cellStyle name="Normal 4 8 7 8" xfId="1936"/>
    <cellStyle name="Normal 4 8 7 8 2" xfId="10166"/>
    <cellStyle name="Normal 4 8 7 8 2 2" xfId="26616"/>
    <cellStyle name="Normal 4 8 7 8 3" xfId="18390"/>
    <cellStyle name="Normal 4 8 7 8 4" xfId="34844"/>
    <cellStyle name="Normal 4 8 7 9" xfId="3586"/>
    <cellStyle name="Normal 4 8 7 9 2" xfId="11811"/>
    <cellStyle name="Normal 4 8 7 9 2 2" xfId="28261"/>
    <cellStyle name="Normal 4 8 7 9 3" xfId="20036"/>
    <cellStyle name="Normal 4 8 7 9 4" xfId="36490"/>
    <cellStyle name="Normal 4 8 8" xfId="263"/>
    <cellStyle name="Normal 4 8 8 10" xfId="5258"/>
    <cellStyle name="Normal 4 8 8 10 2" xfId="13483"/>
    <cellStyle name="Normal 4 8 8 10 2 2" xfId="29933"/>
    <cellStyle name="Normal 4 8 8 10 3" xfId="21708"/>
    <cellStyle name="Normal 4 8 8 10 4" xfId="38162"/>
    <cellStyle name="Normal 4 8 8 11" xfId="6903"/>
    <cellStyle name="Normal 4 8 8 11 2" xfId="15128"/>
    <cellStyle name="Normal 4 8 8 11 2 2" xfId="31578"/>
    <cellStyle name="Normal 4 8 8 11 3" xfId="23353"/>
    <cellStyle name="Normal 4 8 8 11 4" xfId="39807"/>
    <cellStyle name="Normal 4 8 8 12" xfId="8548"/>
    <cellStyle name="Normal 4 8 8 12 2" xfId="24998"/>
    <cellStyle name="Normal 4 8 8 13" xfId="16772"/>
    <cellStyle name="Normal 4 8 8 14" xfId="33225"/>
    <cellStyle name="Normal 4 8 8 15" xfId="41453"/>
    <cellStyle name="Normal 4 8 8 2" xfId="506"/>
    <cellStyle name="Normal 4 8 8 2 2" xfId="2201"/>
    <cellStyle name="Normal 4 8 8 2 2 2" xfId="10428"/>
    <cellStyle name="Normal 4 8 8 2 2 2 2" xfId="26878"/>
    <cellStyle name="Normal 4 8 8 2 2 3" xfId="18653"/>
    <cellStyle name="Normal 4 8 8 2 2 4" xfId="35107"/>
    <cellStyle name="Normal 4 8 8 2 3" xfId="3848"/>
    <cellStyle name="Normal 4 8 8 2 3 2" xfId="12073"/>
    <cellStyle name="Normal 4 8 8 2 3 2 2" xfId="28523"/>
    <cellStyle name="Normal 4 8 8 2 3 3" xfId="20298"/>
    <cellStyle name="Normal 4 8 8 2 3 4" xfId="36752"/>
    <cellStyle name="Normal 4 8 8 2 4" xfId="5493"/>
    <cellStyle name="Normal 4 8 8 2 4 2" xfId="13718"/>
    <cellStyle name="Normal 4 8 8 2 4 2 2" xfId="30168"/>
    <cellStyle name="Normal 4 8 8 2 4 3" xfId="21943"/>
    <cellStyle name="Normal 4 8 8 2 4 4" xfId="38397"/>
    <cellStyle name="Normal 4 8 8 2 5" xfId="7138"/>
    <cellStyle name="Normal 4 8 8 2 5 2" xfId="15363"/>
    <cellStyle name="Normal 4 8 8 2 5 2 2" xfId="31813"/>
    <cellStyle name="Normal 4 8 8 2 5 3" xfId="23588"/>
    <cellStyle name="Normal 4 8 8 2 5 4" xfId="40042"/>
    <cellStyle name="Normal 4 8 8 2 6" xfId="8783"/>
    <cellStyle name="Normal 4 8 8 2 6 2" xfId="25233"/>
    <cellStyle name="Normal 4 8 8 2 7" xfId="17007"/>
    <cellStyle name="Normal 4 8 8 2 8" xfId="33461"/>
    <cellStyle name="Normal 4 8 8 2 9" xfId="41688"/>
    <cellStyle name="Normal 4 8 8 3" xfId="743"/>
    <cellStyle name="Normal 4 8 8 3 2" xfId="2438"/>
    <cellStyle name="Normal 4 8 8 3 2 2" xfId="10663"/>
    <cellStyle name="Normal 4 8 8 3 2 2 2" xfId="27113"/>
    <cellStyle name="Normal 4 8 8 3 2 3" xfId="18888"/>
    <cellStyle name="Normal 4 8 8 3 2 4" xfId="35342"/>
    <cellStyle name="Normal 4 8 8 3 3" xfId="4083"/>
    <cellStyle name="Normal 4 8 8 3 3 2" xfId="12308"/>
    <cellStyle name="Normal 4 8 8 3 3 2 2" xfId="28758"/>
    <cellStyle name="Normal 4 8 8 3 3 3" xfId="20533"/>
    <cellStyle name="Normal 4 8 8 3 3 4" xfId="36987"/>
    <cellStyle name="Normal 4 8 8 3 4" xfId="5728"/>
    <cellStyle name="Normal 4 8 8 3 4 2" xfId="13953"/>
    <cellStyle name="Normal 4 8 8 3 4 2 2" xfId="30403"/>
    <cellStyle name="Normal 4 8 8 3 4 3" xfId="22178"/>
    <cellStyle name="Normal 4 8 8 3 4 4" xfId="38632"/>
    <cellStyle name="Normal 4 8 8 3 5" xfId="7373"/>
    <cellStyle name="Normal 4 8 8 3 5 2" xfId="15598"/>
    <cellStyle name="Normal 4 8 8 3 5 2 2" xfId="32048"/>
    <cellStyle name="Normal 4 8 8 3 5 3" xfId="23823"/>
    <cellStyle name="Normal 4 8 8 3 5 4" xfId="40277"/>
    <cellStyle name="Normal 4 8 8 3 6" xfId="9018"/>
    <cellStyle name="Normal 4 8 8 3 6 2" xfId="25468"/>
    <cellStyle name="Normal 4 8 8 3 7" xfId="17242"/>
    <cellStyle name="Normal 4 8 8 3 8" xfId="33696"/>
    <cellStyle name="Normal 4 8 8 3 9" xfId="41923"/>
    <cellStyle name="Normal 4 8 8 4" xfId="978"/>
    <cellStyle name="Normal 4 8 8 4 2" xfId="2673"/>
    <cellStyle name="Normal 4 8 8 4 2 2" xfId="10898"/>
    <cellStyle name="Normal 4 8 8 4 2 2 2" xfId="27348"/>
    <cellStyle name="Normal 4 8 8 4 2 3" xfId="19123"/>
    <cellStyle name="Normal 4 8 8 4 2 4" xfId="35577"/>
    <cellStyle name="Normal 4 8 8 4 3" xfId="4318"/>
    <cellStyle name="Normal 4 8 8 4 3 2" xfId="12543"/>
    <cellStyle name="Normal 4 8 8 4 3 2 2" xfId="28993"/>
    <cellStyle name="Normal 4 8 8 4 3 3" xfId="20768"/>
    <cellStyle name="Normal 4 8 8 4 3 4" xfId="37222"/>
    <cellStyle name="Normal 4 8 8 4 4" xfId="5963"/>
    <cellStyle name="Normal 4 8 8 4 4 2" xfId="14188"/>
    <cellStyle name="Normal 4 8 8 4 4 2 2" xfId="30638"/>
    <cellStyle name="Normal 4 8 8 4 4 3" xfId="22413"/>
    <cellStyle name="Normal 4 8 8 4 4 4" xfId="38867"/>
    <cellStyle name="Normal 4 8 8 4 5" xfId="7608"/>
    <cellStyle name="Normal 4 8 8 4 5 2" xfId="15833"/>
    <cellStyle name="Normal 4 8 8 4 5 2 2" xfId="32283"/>
    <cellStyle name="Normal 4 8 8 4 5 3" xfId="24058"/>
    <cellStyle name="Normal 4 8 8 4 5 4" xfId="40512"/>
    <cellStyle name="Normal 4 8 8 4 6" xfId="9253"/>
    <cellStyle name="Normal 4 8 8 4 6 2" xfId="25703"/>
    <cellStyle name="Normal 4 8 8 4 7" xfId="17477"/>
    <cellStyle name="Normal 4 8 8 4 8" xfId="33931"/>
    <cellStyle name="Normal 4 8 8 4 9" xfId="42158"/>
    <cellStyle name="Normal 4 8 8 5" xfId="1213"/>
    <cellStyle name="Normal 4 8 8 5 2" xfId="2908"/>
    <cellStyle name="Normal 4 8 8 5 2 2" xfId="11133"/>
    <cellStyle name="Normal 4 8 8 5 2 2 2" xfId="27583"/>
    <cellStyle name="Normal 4 8 8 5 2 3" xfId="19358"/>
    <cellStyle name="Normal 4 8 8 5 2 4" xfId="35812"/>
    <cellStyle name="Normal 4 8 8 5 3" xfId="4553"/>
    <cellStyle name="Normal 4 8 8 5 3 2" xfId="12778"/>
    <cellStyle name="Normal 4 8 8 5 3 2 2" xfId="29228"/>
    <cellStyle name="Normal 4 8 8 5 3 3" xfId="21003"/>
    <cellStyle name="Normal 4 8 8 5 3 4" xfId="37457"/>
    <cellStyle name="Normal 4 8 8 5 4" xfId="6198"/>
    <cellStyle name="Normal 4 8 8 5 4 2" xfId="14423"/>
    <cellStyle name="Normal 4 8 8 5 4 2 2" xfId="30873"/>
    <cellStyle name="Normal 4 8 8 5 4 3" xfId="22648"/>
    <cellStyle name="Normal 4 8 8 5 4 4" xfId="39102"/>
    <cellStyle name="Normal 4 8 8 5 5" xfId="7843"/>
    <cellStyle name="Normal 4 8 8 5 5 2" xfId="16068"/>
    <cellStyle name="Normal 4 8 8 5 5 2 2" xfId="32518"/>
    <cellStyle name="Normal 4 8 8 5 5 3" xfId="24293"/>
    <cellStyle name="Normal 4 8 8 5 5 4" xfId="40747"/>
    <cellStyle name="Normal 4 8 8 5 6" xfId="9488"/>
    <cellStyle name="Normal 4 8 8 5 6 2" xfId="25938"/>
    <cellStyle name="Normal 4 8 8 5 7" xfId="17712"/>
    <cellStyle name="Normal 4 8 8 5 8" xfId="34166"/>
    <cellStyle name="Normal 4 8 8 5 9" xfId="42393"/>
    <cellStyle name="Normal 4 8 8 6" xfId="1493"/>
    <cellStyle name="Normal 4 8 8 6 2" xfId="3143"/>
    <cellStyle name="Normal 4 8 8 6 2 2" xfId="11368"/>
    <cellStyle name="Normal 4 8 8 6 2 2 2" xfId="27818"/>
    <cellStyle name="Normal 4 8 8 6 2 3" xfId="19593"/>
    <cellStyle name="Normal 4 8 8 6 2 4" xfId="36047"/>
    <cellStyle name="Normal 4 8 8 6 3" xfId="4788"/>
    <cellStyle name="Normal 4 8 8 6 3 2" xfId="13013"/>
    <cellStyle name="Normal 4 8 8 6 3 2 2" xfId="29463"/>
    <cellStyle name="Normal 4 8 8 6 3 3" xfId="21238"/>
    <cellStyle name="Normal 4 8 8 6 3 4" xfId="37692"/>
    <cellStyle name="Normal 4 8 8 6 4" xfId="6433"/>
    <cellStyle name="Normal 4 8 8 6 4 2" xfId="14658"/>
    <cellStyle name="Normal 4 8 8 6 4 2 2" xfId="31108"/>
    <cellStyle name="Normal 4 8 8 6 4 3" xfId="22883"/>
    <cellStyle name="Normal 4 8 8 6 4 4" xfId="39337"/>
    <cellStyle name="Normal 4 8 8 6 5" xfId="8078"/>
    <cellStyle name="Normal 4 8 8 6 5 2" xfId="16303"/>
    <cellStyle name="Normal 4 8 8 6 5 2 2" xfId="32753"/>
    <cellStyle name="Normal 4 8 8 6 5 3" xfId="24528"/>
    <cellStyle name="Normal 4 8 8 6 5 4" xfId="40982"/>
    <cellStyle name="Normal 4 8 8 6 6" xfId="9723"/>
    <cellStyle name="Normal 4 8 8 6 6 2" xfId="26173"/>
    <cellStyle name="Normal 4 8 8 6 7" xfId="17947"/>
    <cellStyle name="Normal 4 8 8 6 8" xfId="34401"/>
    <cellStyle name="Normal 4 8 8 7" xfId="1728"/>
    <cellStyle name="Normal 4 8 8 7 2" xfId="3378"/>
    <cellStyle name="Normal 4 8 8 7 2 2" xfId="11603"/>
    <cellStyle name="Normal 4 8 8 7 2 2 2" xfId="28053"/>
    <cellStyle name="Normal 4 8 8 7 2 3" xfId="19828"/>
    <cellStyle name="Normal 4 8 8 7 2 4" xfId="36282"/>
    <cellStyle name="Normal 4 8 8 7 3" xfId="5023"/>
    <cellStyle name="Normal 4 8 8 7 3 2" xfId="13248"/>
    <cellStyle name="Normal 4 8 8 7 3 2 2" xfId="29698"/>
    <cellStyle name="Normal 4 8 8 7 3 3" xfId="21473"/>
    <cellStyle name="Normal 4 8 8 7 3 4" xfId="37927"/>
    <cellStyle name="Normal 4 8 8 7 4" xfId="6668"/>
    <cellStyle name="Normal 4 8 8 7 4 2" xfId="14893"/>
    <cellStyle name="Normal 4 8 8 7 4 2 2" xfId="31343"/>
    <cellStyle name="Normal 4 8 8 7 4 3" xfId="23118"/>
    <cellStyle name="Normal 4 8 8 7 4 4" xfId="39572"/>
    <cellStyle name="Normal 4 8 8 7 5" xfId="8313"/>
    <cellStyle name="Normal 4 8 8 7 5 2" xfId="16538"/>
    <cellStyle name="Normal 4 8 8 7 5 2 2" xfId="32988"/>
    <cellStyle name="Normal 4 8 8 7 5 3" xfId="24763"/>
    <cellStyle name="Normal 4 8 8 7 5 4" xfId="41217"/>
    <cellStyle name="Normal 4 8 8 7 6" xfId="9958"/>
    <cellStyle name="Normal 4 8 8 7 6 2" xfId="26408"/>
    <cellStyle name="Normal 4 8 8 7 7" xfId="18182"/>
    <cellStyle name="Normal 4 8 8 7 8" xfId="34636"/>
    <cellStyle name="Normal 4 8 8 8" xfId="1963"/>
    <cellStyle name="Normal 4 8 8 8 2" xfId="10193"/>
    <cellStyle name="Normal 4 8 8 8 2 2" xfId="26643"/>
    <cellStyle name="Normal 4 8 8 8 3" xfId="18417"/>
    <cellStyle name="Normal 4 8 8 8 4" xfId="34871"/>
    <cellStyle name="Normal 4 8 8 9" xfId="3613"/>
    <cellStyle name="Normal 4 8 8 9 2" xfId="11838"/>
    <cellStyle name="Normal 4 8 8 9 2 2" xfId="28288"/>
    <cellStyle name="Normal 4 8 8 9 3" xfId="20063"/>
    <cellStyle name="Normal 4 8 8 9 4" xfId="36517"/>
    <cellStyle name="Normal 4 8 9" xfId="292"/>
    <cellStyle name="Normal 4 8 9 2" xfId="1993"/>
    <cellStyle name="Normal 4 8 9 2 2" xfId="10220"/>
    <cellStyle name="Normal 4 8 9 2 2 2" xfId="26670"/>
    <cellStyle name="Normal 4 8 9 2 3" xfId="18445"/>
    <cellStyle name="Normal 4 8 9 2 4" xfId="34899"/>
    <cellStyle name="Normal 4 8 9 3" xfId="3640"/>
    <cellStyle name="Normal 4 8 9 3 2" xfId="11865"/>
    <cellStyle name="Normal 4 8 9 3 2 2" xfId="28315"/>
    <cellStyle name="Normal 4 8 9 3 3" xfId="20090"/>
    <cellStyle name="Normal 4 8 9 3 4" xfId="36544"/>
    <cellStyle name="Normal 4 8 9 4" xfId="5285"/>
    <cellStyle name="Normal 4 8 9 4 2" xfId="13510"/>
    <cellStyle name="Normal 4 8 9 4 2 2" xfId="29960"/>
    <cellStyle name="Normal 4 8 9 4 3" xfId="21735"/>
    <cellStyle name="Normal 4 8 9 4 4" xfId="38189"/>
    <cellStyle name="Normal 4 8 9 5" xfId="6930"/>
    <cellStyle name="Normal 4 8 9 5 2" xfId="15155"/>
    <cellStyle name="Normal 4 8 9 5 2 2" xfId="31605"/>
    <cellStyle name="Normal 4 8 9 5 3" xfId="23380"/>
    <cellStyle name="Normal 4 8 9 5 4" xfId="39834"/>
    <cellStyle name="Normal 4 8 9 6" xfId="8575"/>
    <cellStyle name="Normal 4 8 9 6 2" xfId="25025"/>
    <cellStyle name="Normal 4 8 9 7" xfId="16799"/>
    <cellStyle name="Normal 4 8 9 8" xfId="33253"/>
    <cellStyle name="Normal 4 8 9 9" xfId="41480"/>
    <cellStyle name="Normal 4 9" xfId="51"/>
    <cellStyle name="Normal 4 9 10" xfId="537"/>
    <cellStyle name="Normal 4 9 10 2" xfId="2232"/>
    <cellStyle name="Normal 4 9 10 2 2" xfId="10457"/>
    <cellStyle name="Normal 4 9 10 2 2 2" xfId="26907"/>
    <cellStyle name="Normal 4 9 10 2 3" xfId="18682"/>
    <cellStyle name="Normal 4 9 10 2 4" xfId="35136"/>
    <cellStyle name="Normal 4 9 10 3" xfId="3877"/>
    <cellStyle name="Normal 4 9 10 3 2" xfId="12102"/>
    <cellStyle name="Normal 4 9 10 3 2 2" xfId="28552"/>
    <cellStyle name="Normal 4 9 10 3 3" xfId="20327"/>
    <cellStyle name="Normal 4 9 10 3 4" xfId="36781"/>
    <cellStyle name="Normal 4 9 10 4" xfId="5522"/>
    <cellStyle name="Normal 4 9 10 4 2" xfId="13747"/>
    <cellStyle name="Normal 4 9 10 4 2 2" xfId="30197"/>
    <cellStyle name="Normal 4 9 10 4 3" xfId="21972"/>
    <cellStyle name="Normal 4 9 10 4 4" xfId="38426"/>
    <cellStyle name="Normal 4 9 10 5" xfId="7167"/>
    <cellStyle name="Normal 4 9 10 5 2" xfId="15392"/>
    <cellStyle name="Normal 4 9 10 5 2 2" xfId="31842"/>
    <cellStyle name="Normal 4 9 10 5 3" xfId="23617"/>
    <cellStyle name="Normal 4 9 10 5 4" xfId="40071"/>
    <cellStyle name="Normal 4 9 10 6" xfId="8812"/>
    <cellStyle name="Normal 4 9 10 6 2" xfId="25262"/>
    <cellStyle name="Normal 4 9 10 7" xfId="17036"/>
    <cellStyle name="Normal 4 9 10 8" xfId="33490"/>
    <cellStyle name="Normal 4 9 10 9" xfId="41717"/>
    <cellStyle name="Normal 4 9 11" xfId="772"/>
    <cellStyle name="Normal 4 9 11 2" xfId="2467"/>
    <cellStyle name="Normal 4 9 11 2 2" xfId="10692"/>
    <cellStyle name="Normal 4 9 11 2 2 2" xfId="27142"/>
    <cellStyle name="Normal 4 9 11 2 3" xfId="18917"/>
    <cellStyle name="Normal 4 9 11 2 4" xfId="35371"/>
    <cellStyle name="Normal 4 9 11 3" xfId="4112"/>
    <cellStyle name="Normal 4 9 11 3 2" xfId="12337"/>
    <cellStyle name="Normal 4 9 11 3 2 2" xfId="28787"/>
    <cellStyle name="Normal 4 9 11 3 3" xfId="20562"/>
    <cellStyle name="Normal 4 9 11 3 4" xfId="37016"/>
    <cellStyle name="Normal 4 9 11 4" xfId="5757"/>
    <cellStyle name="Normal 4 9 11 4 2" xfId="13982"/>
    <cellStyle name="Normal 4 9 11 4 2 2" xfId="30432"/>
    <cellStyle name="Normal 4 9 11 4 3" xfId="22207"/>
    <cellStyle name="Normal 4 9 11 4 4" xfId="38661"/>
    <cellStyle name="Normal 4 9 11 5" xfId="7402"/>
    <cellStyle name="Normal 4 9 11 5 2" xfId="15627"/>
    <cellStyle name="Normal 4 9 11 5 2 2" xfId="32077"/>
    <cellStyle name="Normal 4 9 11 5 3" xfId="23852"/>
    <cellStyle name="Normal 4 9 11 5 4" xfId="40306"/>
    <cellStyle name="Normal 4 9 11 6" xfId="9047"/>
    <cellStyle name="Normal 4 9 11 6 2" xfId="25497"/>
    <cellStyle name="Normal 4 9 11 7" xfId="17271"/>
    <cellStyle name="Normal 4 9 11 8" xfId="33725"/>
    <cellStyle name="Normal 4 9 11 9" xfId="41952"/>
    <cellStyle name="Normal 4 9 12" xfId="1007"/>
    <cellStyle name="Normal 4 9 12 2" xfId="2702"/>
    <cellStyle name="Normal 4 9 12 2 2" xfId="10927"/>
    <cellStyle name="Normal 4 9 12 2 2 2" xfId="27377"/>
    <cellStyle name="Normal 4 9 12 2 3" xfId="19152"/>
    <cellStyle name="Normal 4 9 12 2 4" xfId="35606"/>
    <cellStyle name="Normal 4 9 12 3" xfId="4347"/>
    <cellStyle name="Normal 4 9 12 3 2" xfId="12572"/>
    <cellStyle name="Normal 4 9 12 3 2 2" xfId="29022"/>
    <cellStyle name="Normal 4 9 12 3 3" xfId="20797"/>
    <cellStyle name="Normal 4 9 12 3 4" xfId="37251"/>
    <cellStyle name="Normal 4 9 12 4" xfId="5992"/>
    <cellStyle name="Normal 4 9 12 4 2" xfId="14217"/>
    <cellStyle name="Normal 4 9 12 4 2 2" xfId="30667"/>
    <cellStyle name="Normal 4 9 12 4 3" xfId="22442"/>
    <cellStyle name="Normal 4 9 12 4 4" xfId="38896"/>
    <cellStyle name="Normal 4 9 12 5" xfId="7637"/>
    <cellStyle name="Normal 4 9 12 5 2" xfId="15862"/>
    <cellStyle name="Normal 4 9 12 5 2 2" xfId="32312"/>
    <cellStyle name="Normal 4 9 12 5 3" xfId="24087"/>
    <cellStyle name="Normal 4 9 12 5 4" xfId="40541"/>
    <cellStyle name="Normal 4 9 12 6" xfId="9282"/>
    <cellStyle name="Normal 4 9 12 6 2" xfId="25732"/>
    <cellStyle name="Normal 4 9 12 7" xfId="17506"/>
    <cellStyle name="Normal 4 9 12 8" xfId="33960"/>
    <cellStyle name="Normal 4 9 12 9" xfId="42187"/>
    <cellStyle name="Normal 4 9 13" xfId="1287"/>
    <cellStyle name="Normal 4 9 13 2" xfId="2937"/>
    <cellStyle name="Normal 4 9 13 2 2" xfId="11162"/>
    <cellStyle name="Normal 4 9 13 2 2 2" xfId="27612"/>
    <cellStyle name="Normal 4 9 13 2 3" xfId="19387"/>
    <cellStyle name="Normal 4 9 13 2 4" xfId="35841"/>
    <cellStyle name="Normal 4 9 13 3" xfId="4582"/>
    <cellStyle name="Normal 4 9 13 3 2" xfId="12807"/>
    <cellStyle name="Normal 4 9 13 3 2 2" xfId="29257"/>
    <cellStyle name="Normal 4 9 13 3 3" xfId="21032"/>
    <cellStyle name="Normal 4 9 13 3 4" xfId="37486"/>
    <cellStyle name="Normal 4 9 13 4" xfId="6227"/>
    <cellStyle name="Normal 4 9 13 4 2" xfId="14452"/>
    <cellStyle name="Normal 4 9 13 4 2 2" xfId="30902"/>
    <cellStyle name="Normal 4 9 13 4 3" xfId="22677"/>
    <cellStyle name="Normal 4 9 13 4 4" xfId="39131"/>
    <cellStyle name="Normal 4 9 13 5" xfId="7872"/>
    <cellStyle name="Normal 4 9 13 5 2" xfId="16097"/>
    <cellStyle name="Normal 4 9 13 5 2 2" xfId="32547"/>
    <cellStyle name="Normal 4 9 13 5 3" xfId="24322"/>
    <cellStyle name="Normal 4 9 13 5 4" xfId="40776"/>
    <cellStyle name="Normal 4 9 13 6" xfId="9517"/>
    <cellStyle name="Normal 4 9 13 6 2" xfId="25967"/>
    <cellStyle name="Normal 4 9 13 7" xfId="17741"/>
    <cellStyle name="Normal 4 9 13 8" xfId="34195"/>
    <cellStyle name="Normal 4 9 14" xfId="1522"/>
    <cellStyle name="Normal 4 9 14 2" xfId="3172"/>
    <cellStyle name="Normal 4 9 14 2 2" xfId="11397"/>
    <cellStyle name="Normal 4 9 14 2 2 2" xfId="27847"/>
    <cellStyle name="Normal 4 9 14 2 3" xfId="19622"/>
    <cellStyle name="Normal 4 9 14 2 4" xfId="36076"/>
    <cellStyle name="Normal 4 9 14 3" xfId="4817"/>
    <cellStyle name="Normal 4 9 14 3 2" xfId="13042"/>
    <cellStyle name="Normal 4 9 14 3 2 2" xfId="29492"/>
    <cellStyle name="Normal 4 9 14 3 3" xfId="21267"/>
    <cellStyle name="Normal 4 9 14 3 4" xfId="37721"/>
    <cellStyle name="Normal 4 9 14 4" xfId="6462"/>
    <cellStyle name="Normal 4 9 14 4 2" xfId="14687"/>
    <cellStyle name="Normal 4 9 14 4 2 2" xfId="31137"/>
    <cellStyle name="Normal 4 9 14 4 3" xfId="22912"/>
    <cellStyle name="Normal 4 9 14 4 4" xfId="39366"/>
    <cellStyle name="Normal 4 9 14 5" xfId="8107"/>
    <cellStyle name="Normal 4 9 14 5 2" xfId="16332"/>
    <cellStyle name="Normal 4 9 14 5 2 2" xfId="32782"/>
    <cellStyle name="Normal 4 9 14 5 3" xfId="24557"/>
    <cellStyle name="Normal 4 9 14 5 4" xfId="41011"/>
    <cellStyle name="Normal 4 9 14 6" xfId="9752"/>
    <cellStyle name="Normal 4 9 14 6 2" xfId="26202"/>
    <cellStyle name="Normal 4 9 14 7" xfId="17976"/>
    <cellStyle name="Normal 4 9 14 8" xfId="34430"/>
    <cellStyle name="Normal 4 9 15" xfId="1757"/>
    <cellStyle name="Normal 4 9 15 2" xfId="9987"/>
    <cellStyle name="Normal 4 9 15 2 2" xfId="26437"/>
    <cellStyle name="Normal 4 9 15 3" xfId="18211"/>
    <cellStyle name="Normal 4 9 15 4" xfId="34665"/>
    <cellStyle name="Normal 4 9 16" xfId="3407"/>
    <cellStyle name="Normal 4 9 16 2" xfId="11632"/>
    <cellStyle name="Normal 4 9 16 2 2" xfId="28082"/>
    <cellStyle name="Normal 4 9 16 3" xfId="19857"/>
    <cellStyle name="Normal 4 9 16 4" xfId="36311"/>
    <cellStyle name="Normal 4 9 17" xfId="5052"/>
    <cellStyle name="Normal 4 9 17 2" xfId="13277"/>
    <cellStyle name="Normal 4 9 17 2 2" xfId="29727"/>
    <cellStyle name="Normal 4 9 17 3" xfId="21502"/>
    <cellStyle name="Normal 4 9 17 4" xfId="37956"/>
    <cellStyle name="Normal 4 9 18" xfId="6697"/>
    <cellStyle name="Normal 4 9 18 2" xfId="14922"/>
    <cellStyle name="Normal 4 9 18 2 2" xfId="31372"/>
    <cellStyle name="Normal 4 9 18 3" xfId="23147"/>
    <cellStyle name="Normal 4 9 18 4" xfId="39601"/>
    <cellStyle name="Normal 4 9 19" xfId="8342"/>
    <cellStyle name="Normal 4 9 19 2" xfId="24792"/>
    <cellStyle name="Normal 4 9 2" xfId="78"/>
    <cellStyle name="Normal 4 9 2 10" xfId="3432"/>
    <cellStyle name="Normal 4 9 2 10 2" xfId="11657"/>
    <cellStyle name="Normal 4 9 2 10 2 2" xfId="28107"/>
    <cellStyle name="Normal 4 9 2 10 3" xfId="19882"/>
    <cellStyle name="Normal 4 9 2 10 4" xfId="36336"/>
    <cellStyle name="Normal 4 9 2 11" xfId="5077"/>
    <cellStyle name="Normal 4 9 2 11 2" xfId="13302"/>
    <cellStyle name="Normal 4 9 2 11 2 2" xfId="29752"/>
    <cellStyle name="Normal 4 9 2 11 3" xfId="21527"/>
    <cellStyle name="Normal 4 9 2 11 4" xfId="37981"/>
    <cellStyle name="Normal 4 9 2 12" xfId="6722"/>
    <cellStyle name="Normal 4 9 2 12 2" xfId="14947"/>
    <cellStyle name="Normal 4 9 2 12 2 2" xfId="31397"/>
    <cellStyle name="Normal 4 9 2 12 3" xfId="23172"/>
    <cellStyle name="Normal 4 9 2 12 4" xfId="39626"/>
    <cellStyle name="Normal 4 9 2 13" xfId="8367"/>
    <cellStyle name="Normal 4 9 2 13 2" xfId="24817"/>
    <cellStyle name="Normal 4 9 2 14" xfId="16591"/>
    <cellStyle name="Normal 4 9 2 15" xfId="33044"/>
    <cellStyle name="Normal 4 9 2 16" xfId="41272"/>
    <cellStyle name="Normal 4 9 2 2" xfId="128"/>
    <cellStyle name="Normal 4 9 2 2 10" xfId="5127"/>
    <cellStyle name="Normal 4 9 2 2 10 2" xfId="13352"/>
    <cellStyle name="Normal 4 9 2 2 10 2 2" xfId="29802"/>
    <cellStyle name="Normal 4 9 2 2 10 3" xfId="21577"/>
    <cellStyle name="Normal 4 9 2 2 10 4" xfId="38031"/>
    <cellStyle name="Normal 4 9 2 2 11" xfId="6772"/>
    <cellStyle name="Normal 4 9 2 2 11 2" xfId="14997"/>
    <cellStyle name="Normal 4 9 2 2 11 2 2" xfId="31447"/>
    <cellStyle name="Normal 4 9 2 2 11 3" xfId="23222"/>
    <cellStyle name="Normal 4 9 2 2 11 4" xfId="39676"/>
    <cellStyle name="Normal 4 9 2 2 12" xfId="8417"/>
    <cellStyle name="Normal 4 9 2 2 12 2" xfId="24867"/>
    <cellStyle name="Normal 4 9 2 2 13" xfId="16641"/>
    <cellStyle name="Normal 4 9 2 2 14" xfId="33094"/>
    <cellStyle name="Normal 4 9 2 2 15" xfId="41322"/>
    <cellStyle name="Normal 4 9 2 2 2" xfId="371"/>
    <cellStyle name="Normal 4 9 2 2 2 2" xfId="2070"/>
    <cellStyle name="Normal 4 9 2 2 2 2 2" xfId="10297"/>
    <cellStyle name="Normal 4 9 2 2 2 2 2 2" xfId="26747"/>
    <cellStyle name="Normal 4 9 2 2 2 2 3" xfId="18522"/>
    <cellStyle name="Normal 4 9 2 2 2 2 4" xfId="34976"/>
    <cellStyle name="Normal 4 9 2 2 2 3" xfId="3717"/>
    <cellStyle name="Normal 4 9 2 2 2 3 2" xfId="11942"/>
    <cellStyle name="Normal 4 9 2 2 2 3 2 2" xfId="28392"/>
    <cellStyle name="Normal 4 9 2 2 2 3 3" xfId="20167"/>
    <cellStyle name="Normal 4 9 2 2 2 3 4" xfId="36621"/>
    <cellStyle name="Normal 4 9 2 2 2 4" xfId="5362"/>
    <cellStyle name="Normal 4 9 2 2 2 4 2" xfId="13587"/>
    <cellStyle name="Normal 4 9 2 2 2 4 2 2" xfId="30037"/>
    <cellStyle name="Normal 4 9 2 2 2 4 3" xfId="21812"/>
    <cellStyle name="Normal 4 9 2 2 2 4 4" xfId="38266"/>
    <cellStyle name="Normal 4 9 2 2 2 5" xfId="7007"/>
    <cellStyle name="Normal 4 9 2 2 2 5 2" xfId="15232"/>
    <cellStyle name="Normal 4 9 2 2 2 5 2 2" xfId="31682"/>
    <cellStyle name="Normal 4 9 2 2 2 5 3" xfId="23457"/>
    <cellStyle name="Normal 4 9 2 2 2 5 4" xfId="39911"/>
    <cellStyle name="Normal 4 9 2 2 2 6" xfId="8652"/>
    <cellStyle name="Normal 4 9 2 2 2 6 2" xfId="25102"/>
    <cellStyle name="Normal 4 9 2 2 2 7" xfId="16876"/>
    <cellStyle name="Normal 4 9 2 2 2 8" xfId="33330"/>
    <cellStyle name="Normal 4 9 2 2 2 9" xfId="41557"/>
    <cellStyle name="Normal 4 9 2 2 3" xfId="612"/>
    <cellStyle name="Normal 4 9 2 2 3 2" xfId="2307"/>
    <cellStyle name="Normal 4 9 2 2 3 2 2" xfId="10532"/>
    <cellStyle name="Normal 4 9 2 2 3 2 2 2" xfId="26982"/>
    <cellStyle name="Normal 4 9 2 2 3 2 3" xfId="18757"/>
    <cellStyle name="Normal 4 9 2 2 3 2 4" xfId="35211"/>
    <cellStyle name="Normal 4 9 2 2 3 3" xfId="3952"/>
    <cellStyle name="Normal 4 9 2 2 3 3 2" xfId="12177"/>
    <cellStyle name="Normal 4 9 2 2 3 3 2 2" xfId="28627"/>
    <cellStyle name="Normal 4 9 2 2 3 3 3" xfId="20402"/>
    <cellStyle name="Normal 4 9 2 2 3 3 4" xfId="36856"/>
    <cellStyle name="Normal 4 9 2 2 3 4" xfId="5597"/>
    <cellStyle name="Normal 4 9 2 2 3 4 2" xfId="13822"/>
    <cellStyle name="Normal 4 9 2 2 3 4 2 2" xfId="30272"/>
    <cellStyle name="Normal 4 9 2 2 3 4 3" xfId="22047"/>
    <cellStyle name="Normal 4 9 2 2 3 4 4" xfId="38501"/>
    <cellStyle name="Normal 4 9 2 2 3 5" xfId="7242"/>
    <cellStyle name="Normal 4 9 2 2 3 5 2" xfId="15467"/>
    <cellStyle name="Normal 4 9 2 2 3 5 2 2" xfId="31917"/>
    <cellStyle name="Normal 4 9 2 2 3 5 3" xfId="23692"/>
    <cellStyle name="Normal 4 9 2 2 3 5 4" xfId="40146"/>
    <cellStyle name="Normal 4 9 2 2 3 6" xfId="8887"/>
    <cellStyle name="Normal 4 9 2 2 3 6 2" xfId="25337"/>
    <cellStyle name="Normal 4 9 2 2 3 7" xfId="17111"/>
    <cellStyle name="Normal 4 9 2 2 3 8" xfId="33565"/>
    <cellStyle name="Normal 4 9 2 2 3 9" xfId="41792"/>
    <cellStyle name="Normal 4 9 2 2 4" xfId="847"/>
    <cellStyle name="Normal 4 9 2 2 4 2" xfId="2542"/>
    <cellStyle name="Normal 4 9 2 2 4 2 2" xfId="10767"/>
    <cellStyle name="Normal 4 9 2 2 4 2 2 2" xfId="27217"/>
    <cellStyle name="Normal 4 9 2 2 4 2 3" xfId="18992"/>
    <cellStyle name="Normal 4 9 2 2 4 2 4" xfId="35446"/>
    <cellStyle name="Normal 4 9 2 2 4 3" xfId="4187"/>
    <cellStyle name="Normal 4 9 2 2 4 3 2" xfId="12412"/>
    <cellStyle name="Normal 4 9 2 2 4 3 2 2" xfId="28862"/>
    <cellStyle name="Normal 4 9 2 2 4 3 3" xfId="20637"/>
    <cellStyle name="Normal 4 9 2 2 4 3 4" xfId="37091"/>
    <cellStyle name="Normal 4 9 2 2 4 4" xfId="5832"/>
    <cellStyle name="Normal 4 9 2 2 4 4 2" xfId="14057"/>
    <cellStyle name="Normal 4 9 2 2 4 4 2 2" xfId="30507"/>
    <cellStyle name="Normal 4 9 2 2 4 4 3" xfId="22282"/>
    <cellStyle name="Normal 4 9 2 2 4 4 4" xfId="38736"/>
    <cellStyle name="Normal 4 9 2 2 4 5" xfId="7477"/>
    <cellStyle name="Normal 4 9 2 2 4 5 2" xfId="15702"/>
    <cellStyle name="Normal 4 9 2 2 4 5 2 2" xfId="32152"/>
    <cellStyle name="Normal 4 9 2 2 4 5 3" xfId="23927"/>
    <cellStyle name="Normal 4 9 2 2 4 5 4" xfId="40381"/>
    <cellStyle name="Normal 4 9 2 2 4 6" xfId="9122"/>
    <cellStyle name="Normal 4 9 2 2 4 6 2" xfId="25572"/>
    <cellStyle name="Normal 4 9 2 2 4 7" xfId="17346"/>
    <cellStyle name="Normal 4 9 2 2 4 8" xfId="33800"/>
    <cellStyle name="Normal 4 9 2 2 4 9" xfId="42027"/>
    <cellStyle name="Normal 4 9 2 2 5" xfId="1082"/>
    <cellStyle name="Normal 4 9 2 2 5 2" xfId="2777"/>
    <cellStyle name="Normal 4 9 2 2 5 2 2" xfId="11002"/>
    <cellStyle name="Normal 4 9 2 2 5 2 2 2" xfId="27452"/>
    <cellStyle name="Normal 4 9 2 2 5 2 3" xfId="19227"/>
    <cellStyle name="Normal 4 9 2 2 5 2 4" xfId="35681"/>
    <cellStyle name="Normal 4 9 2 2 5 3" xfId="4422"/>
    <cellStyle name="Normal 4 9 2 2 5 3 2" xfId="12647"/>
    <cellStyle name="Normal 4 9 2 2 5 3 2 2" xfId="29097"/>
    <cellStyle name="Normal 4 9 2 2 5 3 3" xfId="20872"/>
    <cellStyle name="Normal 4 9 2 2 5 3 4" xfId="37326"/>
    <cellStyle name="Normal 4 9 2 2 5 4" xfId="6067"/>
    <cellStyle name="Normal 4 9 2 2 5 4 2" xfId="14292"/>
    <cellStyle name="Normal 4 9 2 2 5 4 2 2" xfId="30742"/>
    <cellStyle name="Normal 4 9 2 2 5 4 3" xfId="22517"/>
    <cellStyle name="Normal 4 9 2 2 5 4 4" xfId="38971"/>
    <cellStyle name="Normal 4 9 2 2 5 5" xfId="7712"/>
    <cellStyle name="Normal 4 9 2 2 5 5 2" xfId="15937"/>
    <cellStyle name="Normal 4 9 2 2 5 5 2 2" xfId="32387"/>
    <cellStyle name="Normal 4 9 2 2 5 5 3" xfId="24162"/>
    <cellStyle name="Normal 4 9 2 2 5 5 4" xfId="40616"/>
    <cellStyle name="Normal 4 9 2 2 5 6" xfId="9357"/>
    <cellStyle name="Normal 4 9 2 2 5 6 2" xfId="25807"/>
    <cellStyle name="Normal 4 9 2 2 5 7" xfId="17581"/>
    <cellStyle name="Normal 4 9 2 2 5 8" xfId="34035"/>
    <cellStyle name="Normal 4 9 2 2 5 9" xfId="42262"/>
    <cellStyle name="Normal 4 9 2 2 6" xfId="1362"/>
    <cellStyle name="Normal 4 9 2 2 6 2" xfId="3012"/>
    <cellStyle name="Normal 4 9 2 2 6 2 2" xfId="11237"/>
    <cellStyle name="Normal 4 9 2 2 6 2 2 2" xfId="27687"/>
    <cellStyle name="Normal 4 9 2 2 6 2 3" xfId="19462"/>
    <cellStyle name="Normal 4 9 2 2 6 2 4" xfId="35916"/>
    <cellStyle name="Normal 4 9 2 2 6 3" xfId="4657"/>
    <cellStyle name="Normal 4 9 2 2 6 3 2" xfId="12882"/>
    <cellStyle name="Normal 4 9 2 2 6 3 2 2" xfId="29332"/>
    <cellStyle name="Normal 4 9 2 2 6 3 3" xfId="21107"/>
    <cellStyle name="Normal 4 9 2 2 6 3 4" xfId="37561"/>
    <cellStyle name="Normal 4 9 2 2 6 4" xfId="6302"/>
    <cellStyle name="Normal 4 9 2 2 6 4 2" xfId="14527"/>
    <cellStyle name="Normal 4 9 2 2 6 4 2 2" xfId="30977"/>
    <cellStyle name="Normal 4 9 2 2 6 4 3" xfId="22752"/>
    <cellStyle name="Normal 4 9 2 2 6 4 4" xfId="39206"/>
    <cellStyle name="Normal 4 9 2 2 6 5" xfId="7947"/>
    <cellStyle name="Normal 4 9 2 2 6 5 2" xfId="16172"/>
    <cellStyle name="Normal 4 9 2 2 6 5 2 2" xfId="32622"/>
    <cellStyle name="Normal 4 9 2 2 6 5 3" xfId="24397"/>
    <cellStyle name="Normal 4 9 2 2 6 5 4" xfId="40851"/>
    <cellStyle name="Normal 4 9 2 2 6 6" xfId="9592"/>
    <cellStyle name="Normal 4 9 2 2 6 6 2" xfId="26042"/>
    <cellStyle name="Normal 4 9 2 2 6 7" xfId="17816"/>
    <cellStyle name="Normal 4 9 2 2 6 8" xfId="34270"/>
    <cellStyle name="Normal 4 9 2 2 7" xfId="1597"/>
    <cellStyle name="Normal 4 9 2 2 7 2" xfId="3247"/>
    <cellStyle name="Normal 4 9 2 2 7 2 2" xfId="11472"/>
    <cellStyle name="Normal 4 9 2 2 7 2 2 2" xfId="27922"/>
    <cellStyle name="Normal 4 9 2 2 7 2 3" xfId="19697"/>
    <cellStyle name="Normal 4 9 2 2 7 2 4" xfId="36151"/>
    <cellStyle name="Normal 4 9 2 2 7 3" xfId="4892"/>
    <cellStyle name="Normal 4 9 2 2 7 3 2" xfId="13117"/>
    <cellStyle name="Normal 4 9 2 2 7 3 2 2" xfId="29567"/>
    <cellStyle name="Normal 4 9 2 2 7 3 3" xfId="21342"/>
    <cellStyle name="Normal 4 9 2 2 7 3 4" xfId="37796"/>
    <cellStyle name="Normal 4 9 2 2 7 4" xfId="6537"/>
    <cellStyle name="Normal 4 9 2 2 7 4 2" xfId="14762"/>
    <cellStyle name="Normal 4 9 2 2 7 4 2 2" xfId="31212"/>
    <cellStyle name="Normal 4 9 2 2 7 4 3" xfId="22987"/>
    <cellStyle name="Normal 4 9 2 2 7 4 4" xfId="39441"/>
    <cellStyle name="Normal 4 9 2 2 7 5" xfId="8182"/>
    <cellStyle name="Normal 4 9 2 2 7 5 2" xfId="16407"/>
    <cellStyle name="Normal 4 9 2 2 7 5 2 2" xfId="32857"/>
    <cellStyle name="Normal 4 9 2 2 7 5 3" xfId="24632"/>
    <cellStyle name="Normal 4 9 2 2 7 5 4" xfId="41086"/>
    <cellStyle name="Normal 4 9 2 2 7 6" xfId="9827"/>
    <cellStyle name="Normal 4 9 2 2 7 6 2" xfId="26277"/>
    <cellStyle name="Normal 4 9 2 2 7 7" xfId="18051"/>
    <cellStyle name="Normal 4 9 2 2 7 8" xfId="34505"/>
    <cellStyle name="Normal 4 9 2 2 8" xfId="1832"/>
    <cellStyle name="Normal 4 9 2 2 8 2" xfId="10062"/>
    <cellStyle name="Normal 4 9 2 2 8 2 2" xfId="26512"/>
    <cellStyle name="Normal 4 9 2 2 8 3" xfId="18286"/>
    <cellStyle name="Normal 4 9 2 2 8 4" xfId="34740"/>
    <cellStyle name="Normal 4 9 2 2 9" xfId="3482"/>
    <cellStyle name="Normal 4 9 2 2 9 2" xfId="11707"/>
    <cellStyle name="Normal 4 9 2 2 9 2 2" xfId="28157"/>
    <cellStyle name="Normal 4 9 2 2 9 3" xfId="19932"/>
    <cellStyle name="Normal 4 9 2 2 9 4" xfId="36386"/>
    <cellStyle name="Normal 4 9 2 3" xfId="321"/>
    <cellStyle name="Normal 4 9 2 3 2" xfId="2020"/>
    <cellStyle name="Normal 4 9 2 3 2 2" xfId="10247"/>
    <cellStyle name="Normal 4 9 2 3 2 2 2" xfId="26697"/>
    <cellStyle name="Normal 4 9 2 3 2 3" xfId="18472"/>
    <cellStyle name="Normal 4 9 2 3 2 4" xfId="34926"/>
    <cellStyle name="Normal 4 9 2 3 3" xfId="3667"/>
    <cellStyle name="Normal 4 9 2 3 3 2" xfId="11892"/>
    <cellStyle name="Normal 4 9 2 3 3 2 2" xfId="28342"/>
    <cellStyle name="Normal 4 9 2 3 3 3" xfId="20117"/>
    <cellStyle name="Normal 4 9 2 3 3 4" xfId="36571"/>
    <cellStyle name="Normal 4 9 2 3 4" xfId="5312"/>
    <cellStyle name="Normal 4 9 2 3 4 2" xfId="13537"/>
    <cellStyle name="Normal 4 9 2 3 4 2 2" xfId="29987"/>
    <cellStyle name="Normal 4 9 2 3 4 3" xfId="21762"/>
    <cellStyle name="Normal 4 9 2 3 4 4" xfId="38216"/>
    <cellStyle name="Normal 4 9 2 3 5" xfId="6957"/>
    <cellStyle name="Normal 4 9 2 3 5 2" xfId="15182"/>
    <cellStyle name="Normal 4 9 2 3 5 2 2" xfId="31632"/>
    <cellStyle name="Normal 4 9 2 3 5 3" xfId="23407"/>
    <cellStyle name="Normal 4 9 2 3 5 4" xfId="39861"/>
    <cellStyle name="Normal 4 9 2 3 6" xfId="8602"/>
    <cellStyle name="Normal 4 9 2 3 6 2" xfId="25052"/>
    <cellStyle name="Normal 4 9 2 3 7" xfId="16826"/>
    <cellStyle name="Normal 4 9 2 3 8" xfId="33280"/>
    <cellStyle name="Normal 4 9 2 3 9" xfId="41507"/>
    <cellStyle name="Normal 4 9 2 4" xfId="562"/>
    <cellStyle name="Normal 4 9 2 4 2" xfId="2257"/>
    <cellStyle name="Normal 4 9 2 4 2 2" xfId="10482"/>
    <cellStyle name="Normal 4 9 2 4 2 2 2" xfId="26932"/>
    <cellStyle name="Normal 4 9 2 4 2 3" xfId="18707"/>
    <cellStyle name="Normal 4 9 2 4 2 4" xfId="35161"/>
    <cellStyle name="Normal 4 9 2 4 3" xfId="3902"/>
    <cellStyle name="Normal 4 9 2 4 3 2" xfId="12127"/>
    <cellStyle name="Normal 4 9 2 4 3 2 2" xfId="28577"/>
    <cellStyle name="Normal 4 9 2 4 3 3" xfId="20352"/>
    <cellStyle name="Normal 4 9 2 4 3 4" xfId="36806"/>
    <cellStyle name="Normal 4 9 2 4 4" xfId="5547"/>
    <cellStyle name="Normal 4 9 2 4 4 2" xfId="13772"/>
    <cellStyle name="Normal 4 9 2 4 4 2 2" xfId="30222"/>
    <cellStyle name="Normal 4 9 2 4 4 3" xfId="21997"/>
    <cellStyle name="Normal 4 9 2 4 4 4" xfId="38451"/>
    <cellStyle name="Normal 4 9 2 4 5" xfId="7192"/>
    <cellStyle name="Normal 4 9 2 4 5 2" xfId="15417"/>
    <cellStyle name="Normal 4 9 2 4 5 2 2" xfId="31867"/>
    <cellStyle name="Normal 4 9 2 4 5 3" xfId="23642"/>
    <cellStyle name="Normal 4 9 2 4 5 4" xfId="40096"/>
    <cellStyle name="Normal 4 9 2 4 6" xfId="8837"/>
    <cellStyle name="Normal 4 9 2 4 6 2" xfId="25287"/>
    <cellStyle name="Normal 4 9 2 4 7" xfId="17061"/>
    <cellStyle name="Normal 4 9 2 4 8" xfId="33515"/>
    <cellStyle name="Normal 4 9 2 4 9" xfId="41742"/>
    <cellStyle name="Normal 4 9 2 5" xfId="797"/>
    <cellStyle name="Normal 4 9 2 5 2" xfId="2492"/>
    <cellStyle name="Normal 4 9 2 5 2 2" xfId="10717"/>
    <cellStyle name="Normal 4 9 2 5 2 2 2" xfId="27167"/>
    <cellStyle name="Normal 4 9 2 5 2 3" xfId="18942"/>
    <cellStyle name="Normal 4 9 2 5 2 4" xfId="35396"/>
    <cellStyle name="Normal 4 9 2 5 3" xfId="4137"/>
    <cellStyle name="Normal 4 9 2 5 3 2" xfId="12362"/>
    <cellStyle name="Normal 4 9 2 5 3 2 2" xfId="28812"/>
    <cellStyle name="Normal 4 9 2 5 3 3" xfId="20587"/>
    <cellStyle name="Normal 4 9 2 5 3 4" xfId="37041"/>
    <cellStyle name="Normal 4 9 2 5 4" xfId="5782"/>
    <cellStyle name="Normal 4 9 2 5 4 2" xfId="14007"/>
    <cellStyle name="Normal 4 9 2 5 4 2 2" xfId="30457"/>
    <cellStyle name="Normal 4 9 2 5 4 3" xfId="22232"/>
    <cellStyle name="Normal 4 9 2 5 4 4" xfId="38686"/>
    <cellStyle name="Normal 4 9 2 5 5" xfId="7427"/>
    <cellStyle name="Normal 4 9 2 5 5 2" xfId="15652"/>
    <cellStyle name="Normal 4 9 2 5 5 2 2" xfId="32102"/>
    <cellStyle name="Normal 4 9 2 5 5 3" xfId="23877"/>
    <cellStyle name="Normal 4 9 2 5 5 4" xfId="40331"/>
    <cellStyle name="Normal 4 9 2 5 6" xfId="9072"/>
    <cellStyle name="Normal 4 9 2 5 6 2" xfId="25522"/>
    <cellStyle name="Normal 4 9 2 5 7" xfId="17296"/>
    <cellStyle name="Normal 4 9 2 5 8" xfId="33750"/>
    <cellStyle name="Normal 4 9 2 5 9" xfId="41977"/>
    <cellStyle name="Normal 4 9 2 6" xfId="1032"/>
    <cellStyle name="Normal 4 9 2 6 2" xfId="2727"/>
    <cellStyle name="Normal 4 9 2 6 2 2" xfId="10952"/>
    <cellStyle name="Normal 4 9 2 6 2 2 2" xfId="27402"/>
    <cellStyle name="Normal 4 9 2 6 2 3" xfId="19177"/>
    <cellStyle name="Normal 4 9 2 6 2 4" xfId="35631"/>
    <cellStyle name="Normal 4 9 2 6 3" xfId="4372"/>
    <cellStyle name="Normal 4 9 2 6 3 2" xfId="12597"/>
    <cellStyle name="Normal 4 9 2 6 3 2 2" xfId="29047"/>
    <cellStyle name="Normal 4 9 2 6 3 3" xfId="20822"/>
    <cellStyle name="Normal 4 9 2 6 3 4" xfId="37276"/>
    <cellStyle name="Normal 4 9 2 6 4" xfId="6017"/>
    <cellStyle name="Normal 4 9 2 6 4 2" xfId="14242"/>
    <cellStyle name="Normal 4 9 2 6 4 2 2" xfId="30692"/>
    <cellStyle name="Normal 4 9 2 6 4 3" xfId="22467"/>
    <cellStyle name="Normal 4 9 2 6 4 4" xfId="38921"/>
    <cellStyle name="Normal 4 9 2 6 5" xfId="7662"/>
    <cellStyle name="Normal 4 9 2 6 5 2" xfId="15887"/>
    <cellStyle name="Normal 4 9 2 6 5 2 2" xfId="32337"/>
    <cellStyle name="Normal 4 9 2 6 5 3" xfId="24112"/>
    <cellStyle name="Normal 4 9 2 6 5 4" xfId="40566"/>
    <cellStyle name="Normal 4 9 2 6 6" xfId="9307"/>
    <cellStyle name="Normal 4 9 2 6 6 2" xfId="25757"/>
    <cellStyle name="Normal 4 9 2 6 7" xfId="17531"/>
    <cellStyle name="Normal 4 9 2 6 8" xfId="33985"/>
    <cellStyle name="Normal 4 9 2 6 9" xfId="42212"/>
    <cellStyle name="Normal 4 9 2 7" xfId="1312"/>
    <cellStyle name="Normal 4 9 2 7 2" xfId="2962"/>
    <cellStyle name="Normal 4 9 2 7 2 2" xfId="11187"/>
    <cellStyle name="Normal 4 9 2 7 2 2 2" xfId="27637"/>
    <cellStyle name="Normal 4 9 2 7 2 3" xfId="19412"/>
    <cellStyle name="Normal 4 9 2 7 2 4" xfId="35866"/>
    <cellStyle name="Normal 4 9 2 7 3" xfId="4607"/>
    <cellStyle name="Normal 4 9 2 7 3 2" xfId="12832"/>
    <cellStyle name="Normal 4 9 2 7 3 2 2" xfId="29282"/>
    <cellStyle name="Normal 4 9 2 7 3 3" xfId="21057"/>
    <cellStyle name="Normal 4 9 2 7 3 4" xfId="37511"/>
    <cellStyle name="Normal 4 9 2 7 4" xfId="6252"/>
    <cellStyle name="Normal 4 9 2 7 4 2" xfId="14477"/>
    <cellStyle name="Normal 4 9 2 7 4 2 2" xfId="30927"/>
    <cellStyle name="Normal 4 9 2 7 4 3" xfId="22702"/>
    <cellStyle name="Normal 4 9 2 7 4 4" xfId="39156"/>
    <cellStyle name="Normal 4 9 2 7 5" xfId="7897"/>
    <cellStyle name="Normal 4 9 2 7 5 2" xfId="16122"/>
    <cellStyle name="Normal 4 9 2 7 5 2 2" xfId="32572"/>
    <cellStyle name="Normal 4 9 2 7 5 3" xfId="24347"/>
    <cellStyle name="Normal 4 9 2 7 5 4" xfId="40801"/>
    <cellStyle name="Normal 4 9 2 7 6" xfId="9542"/>
    <cellStyle name="Normal 4 9 2 7 6 2" xfId="25992"/>
    <cellStyle name="Normal 4 9 2 7 7" xfId="17766"/>
    <cellStyle name="Normal 4 9 2 7 8" xfId="34220"/>
    <cellStyle name="Normal 4 9 2 8" xfId="1547"/>
    <cellStyle name="Normal 4 9 2 8 2" xfId="3197"/>
    <cellStyle name="Normal 4 9 2 8 2 2" xfId="11422"/>
    <cellStyle name="Normal 4 9 2 8 2 2 2" xfId="27872"/>
    <cellStyle name="Normal 4 9 2 8 2 3" xfId="19647"/>
    <cellStyle name="Normal 4 9 2 8 2 4" xfId="36101"/>
    <cellStyle name="Normal 4 9 2 8 3" xfId="4842"/>
    <cellStyle name="Normal 4 9 2 8 3 2" xfId="13067"/>
    <cellStyle name="Normal 4 9 2 8 3 2 2" xfId="29517"/>
    <cellStyle name="Normal 4 9 2 8 3 3" xfId="21292"/>
    <cellStyle name="Normal 4 9 2 8 3 4" xfId="37746"/>
    <cellStyle name="Normal 4 9 2 8 4" xfId="6487"/>
    <cellStyle name="Normal 4 9 2 8 4 2" xfId="14712"/>
    <cellStyle name="Normal 4 9 2 8 4 2 2" xfId="31162"/>
    <cellStyle name="Normal 4 9 2 8 4 3" xfId="22937"/>
    <cellStyle name="Normal 4 9 2 8 4 4" xfId="39391"/>
    <cellStyle name="Normal 4 9 2 8 5" xfId="8132"/>
    <cellStyle name="Normal 4 9 2 8 5 2" xfId="16357"/>
    <cellStyle name="Normal 4 9 2 8 5 2 2" xfId="32807"/>
    <cellStyle name="Normal 4 9 2 8 5 3" xfId="24582"/>
    <cellStyle name="Normal 4 9 2 8 5 4" xfId="41036"/>
    <cellStyle name="Normal 4 9 2 8 6" xfId="9777"/>
    <cellStyle name="Normal 4 9 2 8 6 2" xfId="26227"/>
    <cellStyle name="Normal 4 9 2 8 7" xfId="18001"/>
    <cellStyle name="Normal 4 9 2 8 8" xfId="34455"/>
    <cellStyle name="Normal 4 9 2 9" xfId="1782"/>
    <cellStyle name="Normal 4 9 2 9 2" xfId="10012"/>
    <cellStyle name="Normal 4 9 2 9 2 2" xfId="26462"/>
    <cellStyle name="Normal 4 9 2 9 3" xfId="18236"/>
    <cellStyle name="Normal 4 9 2 9 4" xfId="34690"/>
    <cellStyle name="Normal 4 9 20" xfId="16566"/>
    <cellStyle name="Normal 4 9 21" xfId="33019"/>
    <cellStyle name="Normal 4 9 22" xfId="41247"/>
    <cellStyle name="Normal 4 9 3" xfId="103"/>
    <cellStyle name="Normal 4 9 3 10" xfId="5102"/>
    <cellStyle name="Normal 4 9 3 10 2" xfId="13327"/>
    <cellStyle name="Normal 4 9 3 10 2 2" xfId="29777"/>
    <cellStyle name="Normal 4 9 3 10 3" xfId="21552"/>
    <cellStyle name="Normal 4 9 3 10 4" xfId="38006"/>
    <cellStyle name="Normal 4 9 3 11" xfId="6747"/>
    <cellStyle name="Normal 4 9 3 11 2" xfId="14972"/>
    <cellStyle name="Normal 4 9 3 11 2 2" xfId="31422"/>
    <cellStyle name="Normal 4 9 3 11 3" xfId="23197"/>
    <cellStyle name="Normal 4 9 3 11 4" xfId="39651"/>
    <cellStyle name="Normal 4 9 3 12" xfId="8392"/>
    <cellStyle name="Normal 4 9 3 12 2" xfId="24842"/>
    <cellStyle name="Normal 4 9 3 13" xfId="16616"/>
    <cellStyle name="Normal 4 9 3 14" xfId="33069"/>
    <cellStyle name="Normal 4 9 3 15" xfId="41297"/>
    <cellStyle name="Normal 4 9 3 2" xfId="346"/>
    <cellStyle name="Normal 4 9 3 2 2" xfId="2045"/>
    <cellStyle name="Normal 4 9 3 2 2 2" xfId="10272"/>
    <cellStyle name="Normal 4 9 3 2 2 2 2" xfId="26722"/>
    <cellStyle name="Normal 4 9 3 2 2 3" xfId="18497"/>
    <cellStyle name="Normal 4 9 3 2 2 4" xfId="34951"/>
    <cellStyle name="Normal 4 9 3 2 3" xfId="3692"/>
    <cellStyle name="Normal 4 9 3 2 3 2" xfId="11917"/>
    <cellStyle name="Normal 4 9 3 2 3 2 2" xfId="28367"/>
    <cellStyle name="Normal 4 9 3 2 3 3" xfId="20142"/>
    <cellStyle name="Normal 4 9 3 2 3 4" xfId="36596"/>
    <cellStyle name="Normal 4 9 3 2 4" xfId="5337"/>
    <cellStyle name="Normal 4 9 3 2 4 2" xfId="13562"/>
    <cellStyle name="Normal 4 9 3 2 4 2 2" xfId="30012"/>
    <cellStyle name="Normal 4 9 3 2 4 3" xfId="21787"/>
    <cellStyle name="Normal 4 9 3 2 4 4" xfId="38241"/>
    <cellStyle name="Normal 4 9 3 2 5" xfId="6982"/>
    <cellStyle name="Normal 4 9 3 2 5 2" xfId="15207"/>
    <cellStyle name="Normal 4 9 3 2 5 2 2" xfId="31657"/>
    <cellStyle name="Normal 4 9 3 2 5 3" xfId="23432"/>
    <cellStyle name="Normal 4 9 3 2 5 4" xfId="39886"/>
    <cellStyle name="Normal 4 9 3 2 6" xfId="8627"/>
    <cellStyle name="Normal 4 9 3 2 6 2" xfId="25077"/>
    <cellStyle name="Normal 4 9 3 2 7" xfId="16851"/>
    <cellStyle name="Normal 4 9 3 2 8" xfId="33305"/>
    <cellStyle name="Normal 4 9 3 2 9" xfId="41532"/>
    <cellStyle name="Normal 4 9 3 3" xfId="587"/>
    <cellStyle name="Normal 4 9 3 3 2" xfId="2282"/>
    <cellStyle name="Normal 4 9 3 3 2 2" xfId="10507"/>
    <cellStyle name="Normal 4 9 3 3 2 2 2" xfId="26957"/>
    <cellStyle name="Normal 4 9 3 3 2 3" xfId="18732"/>
    <cellStyle name="Normal 4 9 3 3 2 4" xfId="35186"/>
    <cellStyle name="Normal 4 9 3 3 3" xfId="3927"/>
    <cellStyle name="Normal 4 9 3 3 3 2" xfId="12152"/>
    <cellStyle name="Normal 4 9 3 3 3 2 2" xfId="28602"/>
    <cellStyle name="Normal 4 9 3 3 3 3" xfId="20377"/>
    <cellStyle name="Normal 4 9 3 3 3 4" xfId="36831"/>
    <cellStyle name="Normal 4 9 3 3 4" xfId="5572"/>
    <cellStyle name="Normal 4 9 3 3 4 2" xfId="13797"/>
    <cellStyle name="Normal 4 9 3 3 4 2 2" xfId="30247"/>
    <cellStyle name="Normal 4 9 3 3 4 3" xfId="22022"/>
    <cellStyle name="Normal 4 9 3 3 4 4" xfId="38476"/>
    <cellStyle name="Normal 4 9 3 3 5" xfId="7217"/>
    <cellStyle name="Normal 4 9 3 3 5 2" xfId="15442"/>
    <cellStyle name="Normal 4 9 3 3 5 2 2" xfId="31892"/>
    <cellStyle name="Normal 4 9 3 3 5 3" xfId="23667"/>
    <cellStyle name="Normal 4 9 3 3 5 4" xfId="40121"/>
    <cellStyle name="Normal 4 9 3 3 6" xfId="8862"/>
    <cellStyle name="Normal 4 9 3 3 6 2" xfId="25312"/>
    <cellStyle name="Normal 4 9 3 3 7" xfId="17086"/>
    <cellStyle name="Normal 4 9 3 3 8" xfId="33540"/>
    <cellStyle name="Normal 4 9 3 3 9" xfId="41767"/>
    <cellStyle name="Normal 4 9 3 4" xfId="822"/>
    <cellStyle name="Normal 4 9 3 4 2" xfId="2517"/>
    <cellStyle name="Normal 4 9 3 4 2 2" xfId="10742"/>
    <cellStyle name="Normal 4 9 3 4 2 2 2" xfId="27192"/>
    <cellStyle name="Normal 4 9 3 4 2 3" xfId="18967"/>
    <cellStyle name="Normal 4 9 3 4 2 4" xfId="35421"/>
    <cellStyle name="Normal 4 9 3 4 3" xfId="4162"/>
    <cellStyle name="Normal 4 9 3 4 3 2" xfId="12387"/>
    <cellStyle name="Normal 4 9 3 4 3 2 2" xfId="28837"/>
    <cellStyle name="Normal 4 9 3 4 3 3" xfId="20612"/>
    <cellStyle name="Normal 4 9 3 4 3 4" xfId="37066"/>
    <cellStyle name="Normal 4 9 3 4 4" xfId="5807"/>
    <cellStyle name="Normal 4 9 3 4 4 2" xfId="14032"/>
    <cellStyle name="Normal 4 9 3 4 4 2 2" xfId="30482"/>
    <cellStyle name="Normal 4 9 3 4 4 3" xfId="22257"/>
    <cellStyle name="Normal 4 9 3 4 4 4" xfId="38711"/>
    <cellStyle name="Normal 4 9 3 4 5" xfId="7452"/>
    <cellStyle name="Normal 4 9 3 4 5 2" xfId="15677"/>
    <cellStyle name="Normal 4 9 3 4 5 2 2" xfId="32127"/>
    <cellStyle name="Normal 4 9 3 4 5 3" xfId="23902"/>
    <cellStyle name="Normal 4 9 3 4 5 4" xfId="40356"/>
    <cellStyle name="Normal 4 9 3 4 6" xfId="9097"/>
    <cellStyle name="Normal 4 9 3 4 6 2" xfId="25547"/>
    <cellStyle name="Normal 4 9 3 4 7" xfId="17321"/>
    <cellStyle name="Normal 4 9 3 4 8" xfId="33775"/>
    <cellStyle name="Normal 4 9 3 4 9" xfId="42002"/>
    <cellStyle name="Normal 4 9 3 5" xfId="1057"/>
    <cellStyle name="Normal 4 9 3 5 2" xfId="2752"/>
    <cellStyle name="Normal 4 9 3 5 2 2" xfId="10977"/>
    <cellStyle name="Normal 4 9 3 5 2 2 2" xfId="27427"/>
    <cellStyle name="Normal 4 9 3 5 2 3" xfId="19202"/>
    <cellStyle name="Normal 4 9 3 5 2 4" xfId="35656"/>
    <cellStyle name="Normal 4 9 3 5 3" xfId="4397"/>
    <cellStyle name="Normal 4 9 3 5 3 2" xfId="12622"/>
    <cellStyle name="Normal 4 9 3 5 3 2 2" xfId="29072"/>
    <cellStyle name="Normal 4 9 3 5 3 3" xfId="20847"/>
    <cellStyle name="Normal 4 9 3 5 3 4" xfId="37301"/>
    <cellStyle name="Normal 4 9 3 5 4" xfId="6042"/>
    <cellStyle name="Normal 4 9 3 5 4 2" xfId="14267"/>
    <cellStyle name="Normal 4 9 3 5 4 2 2" xfId="30717"/>
    <cellStyle name="Normal 4 9 3 5 4 3" xfId="22492"/>
    <cellStyle name="Normal 4 9 3 5 4 4" xfId="38946"/>
    <cellStyle name="Normal 4 9 3 5 5" xfId="7687"/>
    <cellStyle name="Normal 4 9 3 5 5 2" xfId="15912"/>
    <cellStyle name="Normal 4 9 3 5 5 2 2" xfId="32362"/>
    <cellStyle name="Normal 4 9 3 5 5 3" xfId="24137"/>
    <cellStyle name="Normal 4 9 3 5 5 4" xfId="40591"/>
    <cellStyle name="Normal 4 9 3 5 6" xfId="9332"/>
    <cellStyle name="Normal 4 9 3 5 6 2" xfId="25782"/>
    <cellStyle name="Normal 4 9 3 5 7" xfId="17556"/>
    <cellStyle name="Normal 4 9 3 5 8" xfId="34010"/>
    <cellStyle name="Normal 4 9 3 5 9" xfId="42237"/>
    <cellStyle name="Normal 4 9 3 6" xfId="1337"/>
    <cellStyle name="Normal 4 9 3 6 2" xfId="2987"/>
    <cellStyle name="Normal 4 9 3 6 2 2" xfId="11212"/>
    <cellStyle name="Normal 4 9 3 6 2 2 2" xfId="27662"/>
    <cellStyle name="Normal 4 9 3 6 2 3" xfId="19437"/>
    <cellStyle name="Normal 4 9 3 6 2 4" xfId="35891"/>
    <cellStyle name="Normal 4 9 3 6 3" xfId="4632"/>
    <cellStyle name="Normal 4 9 3 6 3 2" xfId="12857"/>
    <cellStyle name="Normal 4 9 3 6 3 2 2" xfId="29307"/>
    <cellStyle name="Normal 4 9 3 6 3 3" xfId="21082"/>
    <cellStyle name="Normal 4 9 3 6 3 4" xfId="37536"/>
    <cellStyle name="Normal 4 9 3 6 4" xfId="6277"/>
    <cellStyle name="Normal 4 9 3 6 4 2" xfId="14502"/>
    <cellStyle name="Normal 4 9 3 6 4 2 2" xfId="30952"/>
    <cellStyle name="Normal 4 9 3 6 4 3" xfId="22727"/>
    <cellStyle name="Normal 4 9 3 6 4 4" xfId="39181"/>
    <cellStyle name="Normal 4 9 3 6 5" xfId="7922"/>
    <cellStyle name="Normal 4 9 3 6 5 2" xfId="16147"/>
    <cellStyle name="Normal 4 9 3 6 5 2 2" xfId="32597"/>
    <cellStyle name="Normal 4 9 3 6 5 3" xfId="24372"/>
    <cellStyle name="Normal 4 9 3 6 5 4" xfId="40826"/>
    <cellStyle name="Normal 4 9 3 6 6" xfId="9567"/>
    <cellStyle name="Normal 4 9 3 6 6 2" xfId="26017"/>
    <cellStyle name="Normal 4 9 3 6 7" xfId="17791"/>
    <cellStyle name="Normal 4 9 3 6 8" xfId="34245"/>
    <cellStyle name="Normal 4 9 3 7" xfId="1572"/>
    <cellStyle name="Normal 4 9 3 7 2" xfId="3222"/>
    <cellStyle name="Normal 4 9 3 7 2 2" xfId="11447"/>
    <cellStyle name="Normal 4 9 3 7 2 2 2" xfId="27897"/>
    <cellStyle name="Normal 4 9 3 7 2 3" xfId="19672"/>
    <cellStyle name="Normal 4 9 3 7 2 4" xfId="36126"/>
    <cellStyle name="Normal 4 9 3 7 3" xfId="4867"/>
    <cellStyle name="Normal 4 9 3 7 3 2" xfId="13092"/>
    <cellStyle name="Normal 4 9 3 7 3 2 2" xfId="29542"/>
    <cellStyle name="Normal 4 9 3 7 3 3" xfId="21317"/>
    <cellStyle name="Normal 4 9 3 7 3 4" xfId="37771"/>
    <cellStyle name="Normal 4 9 3 7 4" xfId="6512"/>
    <cellStyle name="Normal 4 9 3 7 4 2" xfId="14737"/>
    <cellStyle name="Normal 4 9 3 7 4 2 2" xfId="31187"/>
    <cellStyle name="Normal 4 9 3 7 4 3" xfId="22962"/>
    <cellStyle name="Normal 4 9 3 7 4 4" xfId="39416"/>
    <cellStyle name="Normal 4 9 3 7 5" xfId="8157"/>
    <cellStyle name="Normal 4 9 3 7 5 2" xfId="16382"/>
    <cellStyle name="Normal 4 9 3 7 5 2 2" xfId="32832"/>
    <cellStyle name="Normal 4 9 3 7 5 3" xfId="24607"/>
    <cellStyle name="Normal 4 9 3 7 5 4" xfId="41061"/>
    <cellStyle name="Normal 4 9 3 7 6" xfId="9802"/>
    <cellStyle name="Normal 4 9 3 7 6 2" xfId="26252"/>
    <cellStyle name="Normal 4 9 3 7 7" xfId="18026"/>
    <cellStyle name="Normal 4 9 3 7 8" xfId="34480"/>
    <cellStyle name="Normal 4 9 3 8" xfId="1807"/>
    <cellStyle name="Normal 4 9 3 8 2" xfId="10037"/>
    <cellStyle name="Normal 4 9 3 8 2 2" xfId="26487"/>
    <cellStyle name="Normal 4 9 3 8 3" xfId="18261"/>
    <cellStyle name="Normal 4 9 3 8 4" xfId="34715"/>
    <cellStyle name="Normal 4 9 3 9" xfId="3457"/>
    <cellStyle name="Normal 4 9 3 9 2" xfId="11682"/>
    <cellStyle name="Normal 4 9 3 9 2 2" xfId="28132"/>
    <cellStyle name="Normal 4 9 3 9 3" xfId="19907"/>
    <cellStyle name="Normal 4 9 3 9 4" xfId="36361"/>
    <cellStyle name="Normal 4 9 4" xfId="153"/>
    <cellStyle name="Normal 4 9 4 10" xfId="5152"/>
    <cellStyle name="Normal 4 9 4 10 2" xfId="13377"/>
    <cellStyle name="Normal 4 9 4 10 2 2" xfId="29827"/>
    <cellStyle name="Normal 4 9 4 10 3" xfId="21602"/>
    <cellStyle name="Normal 4 9 4 10 4" xfId="38056"/>
    <cellStyle name="Normal 4 9 4 11" xfId="6797"/>
    <cellStyle name="Normal 4 9 4 11 2" xfId="15022"/>
    <cellStyle name="Normal 4 9 4 11 2 2" xfId="31472"/>
    <cellStyle name="Normal 4 9 4 11 3" xfId="23247"/>
    <cellStyle name="Normal 4 9 4 11 4" xfId="39701"/>
    <cellStyle name="Normal 4 9 4 12" xfId="8442"/>
    <cellStyle name="Normal 4 9 4 12 2" xfId="24892"/>
    <cellStyle name="Normal 4 9 4 13" xfId="16666"/>
    <cellStyle name="Normal 4 9 4 14" xfId="33119"/>
    <cellStyle name="Normal 4 9 4 15" xfId="41347"/>
    <cellStyle name="Normal 4 9 4 2" xfId="396"/>
    <cellStyle name="Normal 4 9 4 2 2" xfId="2095"/>
    <cellStyle name="Normal 4 9 4 2 2 2" xfId="10322"/>
    <cellStyle name="Normal 4 9 4 2 2 2 2" xfId="26772"/>
    <cellStyle name="Normal 4 9 4 2 2 3" xfId="18547"/>
    <cellStyle name="Normal 4 9 4 2 2 4" xfId="35001"/>
    <cellStyle name="Normal 4 9 4 2 3" xfId="3742"/>
    <cellStyle name="Normal 4 9 4 2 3 2" xfId="11967"/>
    <cellStyle name="Normal 4 9 4 2 3 2 2" xfId="28417"/>
    <cellStyle name="Normal 4 9 4 2 3 3" xfId="20192"/>
    <cellStyle name="Normal 4 9 4 2 3 4" xfId="36646"/>
    <cellStyle name="Normal 4 9 4 2 4" xfId="5387"/>
    <cellStyle name="Normal 4 9 4 2 4 2" xfId="13612"/>
    <cellStyle name="Normal 4 9 4 2 4 2 2" xfId="30062"/>
    <cellStyle name="Normal 4 9 4 2 4 3" xfId="21837"/>
    <cellStyle name="Normal 4 9 4 2 4 4" xfId="38291"/>
    <cellStyle name="Normal 4 9 4 2 5" xfId="7032"/>
    <cellStyle name="Normal 4 9 4 2 5 2" xfId="15257"/>
    <cellStyle name="Normal 4 9 4 2 5 2 2" xfId="31707"/>
    <cellStyle name="Normal 4 9 4 2 5 3" xfId="23482"/>
    <cellStyle name="Normal 4 9 4 2 5 4" xfId="39936"/>
    <cellStyle name="Normal 4 9 4 2 6" xfId="8677"/>
    <cellStyle name="Normal 4 9 4 2 6 2" xfId="25127"/>
    <cellStyle name="Normal 4 9 4 2 7" xfId="16901"/>
    <cellStyle name="Normal 4 9 4 2 8" xfId="33355"/>
    <cellStyle name="Normal 4 9 4 2 9" xfId="41582"/>
    <cellStyle name="Normal 4 9 4 3" xfId="637"/>
    <cellStyle name="Normal 4 9 4 3 2" xfId="2332"/>
    <cellStyle name="Normal 4 9 4 3 2 2" xfId="10557"/>
    <cellStyle name="Normal 4 9 4 3 2 2 2" xfId="27007"/>
    <cellStyle name="Normal 4 9 4 3 2 3" xfId="18782"/>
    <cellStyle name="Normal 4 9 4 3 2 4" xfId="35236"/>
    <cellStyle name="Normal 4 9 4 3 3" xfId="3977"/>
    <cellStyle name="Normal 4 9 4 3 3 2" xfId="12202"/>
    <cellStyle name="Normal 4 9 4 3 3 2 2" xfId="28652"/>
    <cellStyle name="Normal 4 9 4 3 3 3" xfId="20427"/>
    <cellStyle name="Normal 4 9 4 3 3 4" xfId="36881"/>
    <cellStyle name="Normal 4 9 4 3 4" xfId="5622"/>
    <cellStyle name="Normal 4 9 4 3 4 2" xfId="13847"/>
    <cellStyle name="Normal 4 9 4 3 4 2 2" xfId="30297"/>
    <cellStyle name="Normal 4 9 4 3 4 3" xfId="22072"/>
    <cellStyle name="Normal 4 9 4 3 4 4" xfId="38526"/>
    <cellStyle name="Normal 4 9 4 3 5" xfId="7267"/>
    <cellStyle name="Normal 4 9 4 3 5 2" xfId="15492"/>
    <cellStyle name="Normal 4 9 4 3 5 2 2" xfId="31942"/>
    <cellStyle name="Normal 4 9 4 3 5 3" xfId="23717"/>
    <cellStyle name="Normal 4 9 4 3 5 4" xfId="40171"/>
    <cellStyle name="Normal 4 9 4 3 6" xfId="8912"/>
    <cellStyle name="Normal 4 9 4 3 6 2" xfId="25362"/>
    <cellStyle name="Normal 4 9 4 3 7" xfId="17136"/>
    <cellStyle name="Normal 4 9 4 3 8" xfId="33590"/>
    <cellStyle name="Normal 4 9 4 3 9" xfId="41817"/>
    <cellStyle name="Normal 4 9 4 4" xfId="872"/>
    <cellStyle name="Normal 4 9 4 4 2" xfId="2567"/>
    <cellStyle name="Normal 4 9 4 4 2 2" xfId="10792"/>
    <cellStyle name="Normal 4 9 4 4 2 2 2" xfId="27242"/>
    <cellStyle name="Normal 4 9 4 4 2 3" xfId="19017"/>
    <cellStyle name="Normal 4 9 4 4 2 4" xfId="35471"/>
    <cellStyle name="Normal 4 9 4 4 3" xfId="4212"/>
    <cellStyle name="Normal 4 9 4 4 3 2" xfId="12437"/>
    <cellStyle name="Normal 4 9 4 4 3 2 2" xfId="28887"/>
    <cellStyle name="Normal 4 9 4 4 3 3" xfId="20662"/>
    <cellStyle name="Normal 4 9 4 4 3 4" xfId="37116"/>
    <cellStyle name="Normal 4 9 4 4 4" xfId="5857"/>
    <cellStyle name="Normal 4 9 4 4 4 2" xfId="14082"/>
    <cellStyle name="Normal 4 9 4 4 4 2 2" xfId="30532"/>
    <cellStyle name="Normal 4 9 4 4 4 3" xfId="22307"/>
    <cellStyle name="Normal 4 9 4 4 4 4" xfId="38761"/>
    <cellStyle name="Normal 4 9 4 4 5" xfId="7502"/>
    <cellStyle name="Normal 4 9 4 4 5 2" xfId="15727"/>
    <cellStyle name="Normal 4 9 4 4 5 2 2" xfId="32177"/>
    <cellStyle name="Normal 4 9 4 4 5 3" xfId="23952"/>
    <cellStyle name="Normal 4 9 4 4 5 4" xfId="40406"/>
    <cellStyle name="Normal 4 9 4 4 6" xfId="9147"/>
    <cellStyle name="Normal 4 9 4 4 6 2" xfId="25597"/>
    <cellStyle name="Normal 4 9 4 4 7" xfId="17371"/>
    <cellStyle name="Normal 4 9 4 4 8" xfId="33825"/>
    <cellStyle name="Normal 4 9 4 4 9" xfId="42052"/>
    <cellStyle name="Normal 4 9 4 5" xfId="1107"/>
    <cellStyle name="Normal 4 9 4 5 2" xfId="2802"/>
    <cellStyle name="Normal 4 9 4 5 2 2" xfId="11027"/>
    <cellStyle name="Normal 4 9 4 5 2 2 2" xfId="27477"/>
    <cellStyle name="Normal 4 9 4 5 2 3" xfId="19252"/>
    <cellStyle name="Normal 4 9 4 5 2 4" xfId="35706"/>
    <cellStyle name="Normal 4 9 4 5 3" xfId="4447"/>
    <cellStyle name="Normal 4 9 4 5 3 2" xfId="12672"/>
    <cellStyle name="Normal 4 9 4 5 3 2 2" xfId="29122"/>
    <cellStyle name="Normal 4 9 4 5 3 3" xfId="20897"/>
    <cellStyle name="Normal 4 9 4 5 3 4" xfId="37351"/>
    <cellStyle name="Normal 4 9 4 5 4" xfId="6092"/>
    <cellStyle name="Normal 4 9 4 5 4 2" xfId="14317"/>
    <cellStyle name="Normal 4 9 4 5 4 2 2" xfId="30767"/>
    <cellStyle name="Normal 4 9 4 5 4 3" xfId="22542"/>
    <cellStyle name="Normal 4 9 4 5 4 4" xfId="38996"/>
    <cellStyle name="Normal 4 9 4 5 5" xfId="7737"/>
    <cellStyle name="Normal 4 9 4 5 5 2" xfId="15962"/>
    <cellStyle name="Normal 4 9 4 5 5 2 2" xfId="32412"/>
    <cellStyle name="Normal 4 9 4 5 5 3" xfId="24187"/>
    <cellStyle name="Normal 4 9 4 5 5 4" xfId="40641"/>
    <cellStyle name="Normal 4 9 4 5 6" xfId="9382"/>
    <cellStyle name="Normal 4 9 4 5 6 2" xfId="25832"/>
    <cellStyle name="Normal 4 9 4 5 7" xfId="17606"/>
    <cellStyle name="Normal 4 9 4 5 8" xfId="34060"/>
    <cellStyle name="Normal 4 9 4 5 9" xfId="42287"/>
    <cellStyle name="Normal 4 9 4 6" xfId="1387"/>
    <cellStyle name="Normal 4 9 4 6 2" xfId="3037"/>
    <cellStyle name="Normal 4 9 4 6 2 2" xfId="11262"/>
    <cellStyle name="Normal 4 9 4 6 2 2 2" xfId="27712"/>
    <cellStyle name="Normal 4 9 4 6 2 3" xfId="19487"/>
    <cellStyle name="Normal 4 9 4 6 2 4" xfId="35941"/>
    <cellStyle name="Normal 4 9 4 6 3" xfId="4682"/>
    <cellStyle name="Normal 4 9 4 6 3 2" xfId="12907"/>
    <cellStyle name="Normal 4 9 4 6 3 2 2" xfId="29357"/>
    <cellStyle name="Normal 4 9 4 6 3 3" xfId="21132"/>
    <cellStyle name="Normal 4 9 4 6 3 4" xfId="37586"/>
    <cellStyle name="Normal 4 9 4 6 4" xfId="6327"/>
    <cellStyle name="Normal 4 9 4 6 4 2" xfId="14552"/>
    <cellStyle name="Normal 4 9 4 6 4 2 2" xfId="31002"/>
    <cellStyle name="Normal 4 9 4 6 4 3" xfId="22777"/>
    <cellStyle name="Normal 4 9 4 6 4 4" xfId="39231"/>
    <cellStyle name="Normal 4 9 4 6 5" xfId="7972"/>
    <cellStyle name="Normal 4 9 4 6 5 2" xfId="16197"/>
    <cellStyle name="Normal 4 9 4 6 5 2 2" xfId="32647"/>
    <cellStyle name="Normal 4 9 4 6 5 3" xfId="24422"/>
    <cellStyle name="Normal 4 9 4 6 5 4" xfId="40876"/>
    <cellStyle name="Normal 4 9 4 6 6" xfId="9617"/>
    <cellStyle name="Normal 4 9 4 6 6 2" xfId="26067"/>
    <cellStyle name="Normal 4 9 4 6 7" xfId="17841"/>
    <cellStyle name="Normal 4 9 4 6 8" xfId="34295"/>
    <cellStyle name="Normal 4 9 4 7" xfId="1622"/>
    <cellStyle name="Normal 4 9 4 7 2" xfId="3272"/>
    <cellStyle name="Normal 4 9 4 7 2 2" xfId="11497"/>
    <cellStyle name="Normal 4 9 4 7 2 2 2" xfId="27947"/>
    <cellStyle name="Normal 4 9 4 7 2 3" xfId="19722"/>
    <cellStyle name="Normal 4 9 4 7 2 4" xfId="36176"/>
    <cellStyle name="Normal 4 9 4 7 3" xfId="4917"/>
    <cellStyle name="Normal 4 9 4 7 3 2" xfId="13142"/>
    <cellStyle name="Normal 4 9 4 7 3 2 2" xfId="29592"/>
    <cellStyle name="Normal 4 9 4 7 3 3" xfId="21367"/>
    <cellStyle name="Normal 4 9 4 7 3 4" xfId="37821"/>
    <cellStyle name="Normal 4 9 4 7 4" xfId="6562"/>
    <cellStyle name="Normal 4 9 4 7 4 2" xfId="14787"/>
    <cellStyle name="Normal 4 9 4 7 4 2 2" xfId="31237"/>
    <cellStyle name="Normal 4 9 4 7 4 3" xfId="23012"/>
    <cellStyle name="Normal 4 9 4 7 4 4" xfId="39466"/>
    <cellStyle name="Normal 4 9 4 7 5" xfId="8207"/>
    <cellStyle name="Normal 4 9 4 7 5 2" xfId="16432"/>
    <cellStyle name="Normal 4 9 4 7 5 2 2" xfId="32882"/>
    <cellStyle name="Normal 4 9 4 7 5 3" xfId="24657"/>
    <cellStyle name="Normal 4 9 4 7 5 4" xfId="41111"/>
    <cellStyle name="Normal 4 9 4 7 6" xfId="9852"/>
    <cellStyle name="Normal 4 9 4 7 6 2" xfId="26302"/>
    <cellStyle name="Normal 4 9 4 7 7" xfId="18076"/>
    <cellStyle name="Normal 4 9 4 7 8" xfId="34530"/>
    <cellStyle name="Normal 4 9 4 8" xfId="1857"/>
    <cellStyle name="Normal 4 9 4 8 2" xfId="10087"/>
    <cellStyle name="Normal 4 9 4 8 2 2" xfId="26537"/>
    <cellStyle name="Normal 4 9 4 8 3" xfId="18311"/>
    <cellStyle name="Normal 4 9 4 8 4" xfId="34765"/>
    <cellStyle name="Normal 4 9 4 9" xfId="3507"/>
    <cellStyle name="Normal 4 9 4 9 2" xfId="11732"/>
    <cellStyle name="Normal 4 9 4 9 2 2" xfId="28182"/>
    <cellStyle name="Normal 4 9 4 9 3" xfId="19957"/>
    <cellStyle name="Normal 4 9 4 9 4" xfId="36411"/>
    <cellStyle name="Normal 4 9 5" xfId="180"/>
    <cellStyle name="Normal 4 9 5 10" xfId="5179"/>
    <cellStyle name="Normal 4 9 5 10 2" xfId="13404"/>
    <cellStyle name="Normal 4 9 5 10 2 2" xfId="29854"/>
    <cellStyle name="Normal 4 9 5 10 3" xfId="21629"/>
    <cellStyle name="Normal 4 9 5 10 4" xfId="38083"/>
    <cellStyle name="Normal 4 9 5 11" xfId="6824"/>
    <cellStyle name="Normal 4 9 5 11 2" xfId="15049"/>
    <cellStyle name="Normal 4 9 5 11 2 2" xfId="31499"/>
    <cellStyle name="Normal 4 9 5 11 3" xfId="23274"/>
    <cellStyle name="Normal 4 9 5 11 4" xfId="39728"/>
    <cellStyle name="Normal 4 9 5 12" xfId="8469"/>
    <cellStyle name="Normal 4 9 5 12 2" xfId="24919"/>
    <cellStyle name="Normal 4 9 5 13" xfId="16693"/>
    <cellStyle name="Normal 4 9 5 14" xfId="33146"/>
    <cellStyle name="Normal 4 9 5 15" xfId="41374"/>
    <cellStyle name="Normal 4 9 5 2" xfId="423"/>
    <cellStyle name="Normal 4 9 5 2 2" xfId="2122"/>
    <cellStyle name="Normal 4 9 5 2 2 2" xfId="10349"/>
    <cellStyle name="Normal 4 9 5 2 2 2 2" xfId="26799"/>
    <cellStyle name="Normal 4 9 5 2 2 3" xfId="18574"/>
    <cellStyle name="Normal 4 9 5 2 2 4" xfId="35028"/>
    <cellStyle name="Normal 4 9 5 2 3" xfId="3769"/>
    <cellStyle name="Normal 4 9 5 2 3 2" xfId="11994"/>
    <cellStyle name="Normal 4 9 5 2 3 2 2" xfId="28444"/>
    <cellStyle name="Normal 4 9 5 2 3 3" xfId="20219"/>
    <cellStyle name="Normal 4 9 5 2 3 4" xfId="36673"/>
    <cellStyle name="Normal 4 9 5 2 4" xfId="5414"/>
    <cellStyle name="Normal 4 9 5 2 4 2" xfId="13639"/>
    <cellStyle name="Normal 4 9 5 2 4 2 2" xfId="30089"/>
    <cellStyle name="Normal 4 9 5 2 4 3" xfId="21864"/>
    <cellStyle name="Normal 4 9 5 2 4 4" xfId="38318"/>
    <cellStyle name="Normal 4 9 5 2 5" xfId="7059"/>
    <cellStyle name="Normal 4 9 5 2 5 2" xfId="15284"/>
    <cellStyle name="Normal 4 9 5 2 5 2 2" xfId="31734"/>
    <cellStyle name="Normal 4 9 5 2 5 3" xfId="23509"/>
    <cellStyle name="Normal 4 9 5 2 5 4" xfId="39963"/>
    <cellStyle name="Normal 4 9 5 2 6" xfId="8704"/>
    <cellStyle name="Normal 4 9 5 2 6 2" xfId="25154"/>
    <cellStyle name="Normal 4 9 5 2 7" xfId="16928"/>
    <cellStyle name="Normal 4 9 5 2 8" xfId="33382"/>
    <cellStyle name="Normal 4 9 5 2 9" xfId="41609"/>
    <cellStyle name="Normal 4 9 5 3" xfId="664"/>
    <cellStyle name="Normal 4 9 5 3 2" xfId="2359"/>
    <cellStyle name="Normal 4 9 5 3 2 2" xfId="10584"/>
    <cellStyle name="Normal 4 9 5 3 2 2 2" xfId="27034"/>
    <cellStyle name="Normal 4 9 5 3 2 3" xfId="18809"/>
    <cellStyle name="Normal 4 9 5 3 2 4" xfId="35263"/>
    <cellStyle name="Normal 4 9 5 3 3" xfId="4004"/>
    <cellStyle name="Normal 4 9 5 3 3 2" xfId="12229"/>
    <cellStyle name="Normal 4 9 5 3 3 2 2" xfId="28679"/>
    <cellStyle name="Normal 4 9 5 3 3 3" xfId="20454"/>
    <cellStyle name="Normal 4 9 5 3 3 4" xfId="36908"/>
    <cellStyle name="Normal 4 9 5 3 4" xfId="5649"/>
    <cellStyle name="Normal 4 9 5 3 4 2" xfId="13874"/>
    <cellStyle name="Normal 4 9 5 3 4 2 2" xfId="30324"/>
    <cellStyle name="Normal 4 9 5 3 4 3" xfId="22099"/>
    <cellStyle name="Normal 4 9 5 3 4 4" xfId="38553"/>
    <cellStyle name="Normal 4 9 5 3 5" xfId="7294"/>
    <cellStyle name="Normal 4 9 5 3 5 2" xfId="15519"/>
    <cellStyle name="Normal 4 9 5 3 5 2 2" xfId="31969"/>
    <cellStyle name="Normal 4 9 5 3 5 3" xfId="23744"/>
    <cellStyle name="Normal 4 9 5 3 5 4" xfId="40198"/>
    <cellStyle name="Normal 4 9 5 3 6" xfId="8939"/>
    <cellStyle name="Normal 4 9 5 3 6 2" xfId="25389"/>
    <cellStyle name="Normal 4 9 5 3 7" xfId="17163"/>
    <cellStyle name="Normal 4 9 5 3 8" xfId="33617"/>
    <cellStyle name="Normal 4 9 5 3 9" xfId="41844"/>
    <cellStyle name="Normal 4 9 5 4" xfId="899"/>
    <cellStyle name="Normal 4 9 5 4 2" xfId="2594"/>
    <cellStyle name="Normal 4 9 5 4 2 2" xfId="10819"/>
    <cellStyle name="Normal 4 9 5 4 2 2 2" xfId="27269"/>
    <cellStyle name="Normal 4 9 5 4 2 3" xfId="19044"/>
    <cellStyle name="Normal 4 9 5 4 2 4" xfId="35498"/>
    <cellStyle name="Normal 4 9 5 4 3" xfId="4239"/>
    <cellStyle name="Normal 4 9 5 4 3 2" xfId="12464"/>
    <cellStyle name="Normal 4 9 5 4 3 2 2" xfId="28914"/>
    <cellStyle name="Normal 4 9 5 4 3 3" xfId="20689"/>
    <cellStyle name="Normal 4 9 5 4 3 4" xfId="37143"/>
    <cellStyle name="Normal 4 9 5 4 4" xfId="5884"/>
    <cellStyle name="Normal 4 9 5 4 4 2" xfId="14109"/>
    <cellStyle name="Normal 4 9 5 4 4 2 2" xfId="30559"/>
    <cellStyle name="Normal 4 9 5 4 4 3" xfId="22334"/>
    <cellStyle name="Normal 4 9 5 4 4 4" xfId="38788"/>
    <cellStyle name="Normal 4 9 5 4 5" xfId="7529"/>
    <cellStyle name="Normal 4 9 5 4 5 2" xfId="15754"/>
    <cellStyle name="Normal 4 9 5 4 5 2 2" xfId="32204"/>
    <cellStyle name="Normal 4 9 5 4 5 3" xfId="23979"/>
    <cellStyle name="Normal 4 9 5 4 5 4" xfId="40433"/>
    <cellStyle name="Normal 4 9 5 4 6" xfId="9174"/>
    <cellStyle name="Normal 4 9 5 4 6 2" xfId="25624"/>
    <cellStyle name="Normal 4 9 5 4 7" xfId="17398"/>
    <cellStyle name="Normal 4 9 5 4 8" xfId="33852"/>
    <cellStyle name="Normal 4 9 5 4 9" xfId="42079"/>
    <cellStyle name="Normal 4 9 5 5" xfId="1134"/>
    <cellStyle name="Normal 4 9 5 5 2" xfId="2829"/>
    <cellStyle name="Normal 4 9 5 5 2 2" xfId="11054"/>
    <cellStyle name="Normal 4 9 5 5 2 2 2" xfId="27504"/>
    <cellStyle name="Normal 4 9 5 5 2 3" xfId="19279"/>
    <cellStyle name="Normal 4 9 5 5 2 4" xfId="35733"/>
    <cellStyle name="Normal 4 9 5 5 3" xfId="4474"/>
    <cellStyle name="Normal 4 9 5 5 3 2" xfId="12699"/>
    <cellStyle name="Normal 4 9 5 5 3 2 2" xfId="29149"/>
    <cellStyle name="Normal 4 9 5 5 3 3" xfId="20924"/>
    <cellStyle name="Normal 4 9 5 5 3 4" xfId="37378"/>
    <cellStyle name="Normal 4 9 5 5 4" xfId="6119"/>
    <cellStyle name="Normal 4 9 5 5 4 2" xfId="14344"/>
    <cellStyle name="Normal 4 9 5 5 4 2 2" xfId="30794"/>
    <cellStyle name="Normal 4 9 5 5 4 3" xfId="22569"/>
    <cellStyle name="Normal 4 9 5 5 4 4" xfId="39023"/>
    <cellStyle name="Normal 4 9 5 5 5" xfId="7764"/>
    <cellStyle name="Normal 4 9 5 5 5 2" xfId="15989"/>
    <cellStyle name="Normal 4 9 5 5 5 2 2" xfId="32439"/>
    <cellStyle name="Normal 4 9 5 5 5 3" xfId="24214"/>
    <cellStyle name="Normal 4 9 5 5 5 4" xfId="40668"/>
    <cellStyle name="Normal 4 9 5 5 6" xfId="9409"/>
    <cellStyle name="Normal 4 9 5 5 6 2" xfId="25859"/>
    <cellStyle name="Normal 4 9 5 5 7" xfId="17633"/>
    <cellStyle name="Normal 4 9 5 5 8" xfId="34087"/>
    <cellStyle name="Normal 4 9 5 5 9" xfId="42314"/>
    <cellStyle name="Normal 4 9 5 6" xfId="1414"/>
    <cellStyle name="Normal 4 9 5 6 2" xfId="3064"/>
    <cellStyle name="Normal 4 9 5 6 2 2" xfId="11289"/>
    <cellStyle name="Normal 4 9 5 6 2 2 2" xfId="27739"/>
    <cellStyle name="Normal 4 9 5 6 2 3" xfId="19514"/>
    <cellStyle name="Normal 4 9 5 6 2 4" xfId="35968"/>
    <cellStyle name="Normal 4 9 5 6 3" xfId="4709"/>
    <cellStyle name="Normal 4 9 5 6 3 2" xfId="12934"/>
    <cellStyle name="Normal 4 9 5 6 3 2 2" xfId="29384"/>
    <cellStyle name="Normal 4 9 5 6 3 3" xfId="21159"/>
    <cellStyle name="Normal 4 9 5 6 3 4" xfId="37613"/>
    <cellStyle name="Normal 4 9 5 6 4" xfId="6354"/>
    <cellStyle name="Normal 4 9 5 6 4 2" xfId="14579"/>
    <cellStyle name="Normal 4 9 5 6 4 2 2" xfId="31029"/>
    <cellStyle name="Normal 4 9 5 6 4 3" xfId="22804"/>
    <cellStyle name="Normal 4 9 5 6 4 4" xfId="39258"/>
    <cellStyle name="Normal 4 9 5 6 5" xfId="7999"/>
    <cellStyle name="Normal 4 9 5 6 5 2" xfId="16224"/>
    <cellStyle name="Normal 4 9 5 6 5 2 2" xfId="32674"/>
    <cellStyle name="Normal 4 9 5 6 5 3" xfId="24449"/>
    <cellStyle name="Normal 4 9 5 6 5 4" xfId="40903"/>
    <cellStyle name="Normal 4 9 5 6 6" xfId="9644"/>
    <cellStyle name="Normal 4 9 5 6 6 2" xfId="26094"/>
    <cellStyle name="Normal 4 9 5 6 7" xfId="17868"/>
    <cellStyle name="Normal 4 9 5 6 8" xfId="34322"/>
    <cellStyle name="Normal 4 9 5 7" xfId="1649"/>
    <cellStyle name="Normal 4 9 5 7 2" xfId="3299"/>
    <cellStyle name="Normal 4 9 5 7 2 2" xfId="11524"/>
    <cellStyle name="Normal 4 9 5 7 2 2 2" xfId="27974"/>
    <cellStyle name="Normal 4 9 5 7 2 3" xfId="19749"/>
    <cellStyle name="Normal 4 9 5 7 2 4" xfId="36203"/>
    <cellStyle name="Normal 4 9 5 7 3" xfId="4944"/>
    <cellStyle name="Normal 4 9 5 7 3 2" xfId="13169"/>
    <cellStyle name="Normal 4 9 5 7 3 2 2" xfId="29619"/>
    <cellStyle name="Normal 4 9 5 7 3 3" xfId="21394"/>
    <cellStyle name="Normal 4 9 5 7 3 4" xfId="37848"/>
    <cellStyle name="Normal 4 9 5 7 4" xfId="6589"/>
    <cellStyle name="Normal 4 9 5 7 4 2" xfId="14814"/>
    <cellStyle name="Normal 4 9 5 7 4 2 2" xfId="31264"/>
    <cellStyle name="Normal 4 9 5 7 4 3" xfId="23039"/>
    <cellStyle name="Normal 4 9 5 7 4 4" xfId="39493"/>
    <cellStyle name="Normal 4 9 5 7 5" xfId="8234"/>
    <cellStyle name="Normal 4 9 5 7 5 2" xfId="16459"/>
    <cellStyle name="Normal 4 9 5 7 5 2 2" xfId="32909"/>
    <cellStyle name="Normal 4 9 5 7 5 3" xfId="24684"/>
    <cellStyle name="Normal 4 9 5 7 5 4" xfId="41138"/>
    <cellStyle name="Normal 4 9 5 7 6" xfId="9879"/>
    <cellStyle name="Normal 4 9 5 7 6 2" xfId="26329"/>
    <cellStyle name="Normal 4 9 5 7 7" xfId="18103"/>
    <cellStyle name="Normal 4 9 5 7 8" xfId="34557"/>
    <cellStyle name="Normal 4 9 5 8" xfId="1884"/>
    <cellStyle name="Normal 4 9 5 8 2" xfId="10114"/>
    <cellStyle name="Normal 4 9 5 8 2 2" xfId="26564"/>
    <cellStyle name="Normal 4 9 5 8 3" xfId="18338"/>
    <cellStyle name="Normal 4 9 5 8 4" xfId="34792"/>
    <cellStyle name="Normal 4 9 5 9" xfId="3534"/>
    <cellStyle name="Normal 4 9 5 9 2" xfId="11759"/>
    <cellStyle name="Normal 4 9 5 9 2 2" xfId="28209"/>
    <cellStyle name="Normal 4 9 5 9 3" xfId="19984"/>
    <cellStyle name="Normal 4 9 5 9 4" xfId="36438"/>
    <cellStyle name="Normal 4 9 6" xfId="209"/>
    <cellStyle name="Normal 4 9 6 10" xfId="5206"/>
    <cellStyle name="Normal 4 9 6 10 2" xfId="13431"/>
    <cellStyle name="Normal 4 9 6 10 2 2" xfId="29881"/>
    <cellStyle name="Normal 4 9 6 10 3" xfId="21656"/>
    <cellStyle name="Normal 4 9 6 10 4" xfId="38110"/>
    <cellStyle name="Normal 4 9 6 11" xfId="6851"/>
    <cellStyle name="Normal 4 9 6 11 2" xfId="15076"/>
    <cellStyle name="Normal 4 9 6 11 2 2" xfId="31526"/>
    <cellStyle name="Normal 4 9 6 11 3" xfId="23301"/>
    <cellStyle name="Normal 4 9 6 11 4" xfId="39755"/>
    <cellStyle name="Normal 4 9 6 12" xfId="8496"/>
    <cellStyle name="Normal 4 9 6 12 2" xfId="24946"/>
    <cellStyle name="Normal 4 9 6 13" xfId="16720"/>
    <cellStyle name="Normal 4 9 6 14" xfId="33173"/>
    <cellStyle name="Normal 4 9 6 15" xfId="41401"/>
    <cellStyle name="Normal 4 9 6 2" xfId="452"/>
    <cellStyle name="Normal 4 9 6 2 2" xfId="2149"/>
    <cellStyle name="Normal 4 9 6 2 2 2" xfId="10376"/>
    <cellStyle name="Normal 4 9 6 2 2 2 2" xfId="26826"/>
    <cellStyle name="Normal 4 9 6 2 2 3" xfId="18601"/>
    <cellStyle name="Normal 4 9 6 2 2 4" xfId="35055"/>
    <cellStyle name="Normal 4 9 6 2 3" xfId="3796"/>
    <cellStyle name="Normal 4 9 6 2 3 2" xfId="12021"/>
    <cellStyle name="Normal 4 9 6 2 3 2 2" xfId="28471"/>
    <cellStyle name="Normal 4 9 6 2 3 3" xfId="20246"/>
    <cellStyle name="Normal 4 9 6 2 3 4" xfId="36700"/>
    <cellStyle name="Normal 4 9 6 2 4" xfId="5441"/>
    <cellStyle name="Normal 4 9 6 2 4 2" xfId="13666"/>
    <cellStyle name="Normal 4 9 6 2 4 2 2" xfId="30116"/>
    <cellStyle name="Normal 4 9 6 2 4 3" xfId="21891"/>
    <cellStyle name="Normal 4 9 6 2 4 4" xfId="38345"/>
    <cellStyle name="Normal 4 9 6 2 5" xfId="7086"/>
    <cellStyle name="Normal 4 9 6 2 5 2" xfId="15311"/>
    <cellStyle name="Normal 4 9 6 2 5 2 2" xfId="31761"/>
    <cellStyle name="Normal 4 9 6 2 5 3" xfId="23536"/>
    <cellStyle name="Normal 4 9 6 2 5 4" xfId="39990"/>
    <cellStyle name="Normal 4 9 6 2 6" xfId="8731"/>
    <cellStyle name="Normal 4 9 6 2 6 2" xfId="25181"/>
    <cellStyle name="Normal 4 9 6 2 7" xfId="16955"/>
    <cellStyle name="Normal 4 9 6 2 8" xfId="33409"/>
    <cellStyle name="Normal 4 9 6 2 9" xfId="41636"/>
    <cellStyle name="Normal 4 9 6 3" xfId="691"/>
    <cellStyle name="Normal 4 9 6 3 2" xfId="2386"/>
    <cellStyle name="Normal 4 9 6 3 2 2" xfId="10611"/>
    <cellStyle name="Normal 4 9 6 3 2 2 2" xfId="27061"/>
    <cellStyle name="Normal 4 9 6 3 2 3" xfId="18836"/>
    <cellStyle name="Normal 4 9 6 3 2 4" xfId="35290"/>
    <cellStyle name="Normal 4 9 6 3 3" xfId="4031"/>
    <cellStyle name="Normal 4 9 6 3 3 2" xfId="12256"/>
    <cellStyle name="Normal 4 9 6 3 3 2 2" xfId="28706"/>
    <cellStyle name="Normal 4 9 6 3 3 3" xfId="20481"/>
    <cellStyle name="Normal 4 9 6 3 3 4" xfId="36935"/>
    <cellStyle name="Normal 4 9 6 3 4" xfId="5676"/>
    <cellStyle name="Normal 4 9 6 3 4 2" xfId="13901"/>
    <cellStyle name="Normal 4 9 6 3 4 2 2" xfId="30351"/>
    <cellStyle name="Normal 4 9 6 3 4 3" xfId="22126"/>
    <cellStyle name="Normal 4 9 6 3 4 4" xfId="38580"/>
    <cellStyle name="Normal 4 9 6 3 5" xfId="7321"/>
    <cellStyle name="Normal 4 9 6 3 5 2" xfId="15546"/>
    <cellStyle name="Normal 4 9 6 3 5 2 2" xfId="31996"/>
    <cellStyle name="Normal 4 9 6 3 5 3" xfId="23771"/>
    <cellStyle name="Normal 4 9 6 3 5 4" xfId="40225"/>
    <cellStyle name="Normal 4 9 6 3 6" xfId="8966"/>
    <cellStyle name="Normal 4 9 6 3 6 2" xfId="25416"/>
    <cellStyle name="Normal 4 9 6 3 7" xfId="17190"/>
    <cellStyle name="Normal 4 9 6 3 8" xfId="33644"/>
    <cellStyle name="Normal 4 9 6 3 9" xfId="41871"/>
    <cellStyle name="Normal 4 9 6 4" xfId="926"/>
    <cellStyle name="Normal 4 9 6 4 2" xfId="2621"/>
    <cellStyle name="Normal 4 9 6 4 2 2" xfId="10846"/>
    <cellStyle name="Normal 4 9 6 4 2 2 2" xfId="27296"/>
    <cellStyle name="Normal 4 9 6 4 2 3" xfId="19071"/>
    <cellStyle name="Normal 4 9 6 4 2 4" xfId="35525"/>
    <cellStyle name="Normal 4 9 6 4 3" xfId="4266"/>
    <cellStyle name="Normal 4 9 6 4 3 2" xfId="12491"/>
    <cellStyle name="Normal 4 9 6 4 3 2 2" xfId="28941"/>
    <cellStyle name="Normal 4 9 6 4 3 3" xfId="20716"/>
    <cellStyle name="Normal 4 9 6 4 3 4" xfId="37170"/>
    <cellStyle name="Normal 4 9 6 4 4" xfId="5911"/>
    <cellStyle name="Normal 4 9 6 4 4 2" xfId="14136"/>
    <cellStyle name="Normal 4 9 6 4 4 2 2" xfId="30586"/>
    <cellStyle name="Normal 4 9 6 4 4 3" xfId="22361"/>
    <cellStyle name="Normal 4 9 6 4 4 4" xfId="38815"/>
    <cellStyle name="Normal 4 9 6 4 5" xfId="7556"/>
    <cellStyle name="Normal 4 9 6 4 5 2" xfId="15781"/>
    <cellStyle name="Normal 4 9 6 4 5 2 2" xfId="32231"/>
    <cellStyle name="Normal 4 9 6 4 5 3" xfId="24006"/>
    <cellStyle name="Normal 4 9 6 4 5 4" xfId="40460"/>
    <cellStyle name="Normal 4 9 6 4 6" xfId="9201"/>
    <cellStyle name="Normal 4 9 6 4 6 2" xfId="25651"/>
    <cellStyle name="Normal 4 9 6 4 7" xfId="17425"/>
    <cellStyle name="Normal 4 9 6 4 8" xfId="33879"/>
    <cellStyle name="Normal 4 9 6 4 9" xfId="42106"/>
    <cellStyle name="Normal 4 9 6 5" xfId="1161"/>
    <cellStyle name="Normal 4 9 6 5 2" xfId="2856"/>
    <cellStyle name="Normal 4 9 6 5 2 2" xfId="11081"/>
    <cellStyle name="Normal 4 9 6 5 2 2 2" xfId="27531"/>
    <cellStyle name="Normal 4 9 6 5 2 3" xfId="19306"/>
    <cellStyle name="Normal 4 9 6 5 2 4" xfId="35760"/>
    <cellStyle name="Normal 4 9 6 5 3" xfId="4501"/>
    <cellStyle name="Normal 4 9 6 5 3 2" xfId="12726"/>
    <cellStyle name="Normal 4 9 6 5 3 2 2" xfId="29176"/>
    <cellStyle name="Normal 4 9 6 5 3 3" xfId="20951"/>
    <cellStyle name="Normal 4 9 6 5 3 4" xfId="37405"/>
    <cellStyle name="Normal 4 9 6 5 4" xfId="6146"/>
    <cellStyle name="Normal 4 9 6 5 4 2" xfId="14371"/>
    <cellStyle name="Normal 4 9 6 5 4 2 2" xfId="30821"/>
    <cellStyle name="Normal 4 9 6 5 4 3" xfId="22596"/>
    <cellStyle name="Normal 4 9 6 5 4 4" xfId="39050"/>
    <cellStyle name="Normal 4 9 6 5 5" xfId="7791"/>
    <cellStyle name="Normal 4 9 6 5 5 2" xfId="16016"/>
    <cellStyle name="Normal 4 9 6 5 5 2 2" xfId="32466"/>
    <cellStyle name="Normal 4 9 6 5 5 3" xfId="24241"/>
    <cellStyle name="Normal 4 9 6 5 5 4" xfId="40695"/>
    <cellStyle name="Normal 4 9 6 5 6" xfId="9436"/>
    <cellStyle name="Normal 4 9 6 5 6 2" xfId="25886"/>
    <cellStyle name="Normal 4 9 6 5 7" xfId="17660"/>
    <cellStyle name="Normal 4 9 6 5 8" xfId="34114"/>
    <cellStyle name="Normal 4 9 6 5 9" xfId="42341"/>
    <cellStyle name="Normal 4 9 6 6" xfId="1441"/>
    <cellStyle name="Normal 4 9 6 6 2" xfId="3091"/>
    <cellStyle name="Normal 4 9 6 6 2 2" xfId="11316"/>
    <cellStyle name="Normal 4 9 6 6 2 2 2" xfId="27766"/>
    <cellStyle name="Normal 4 9 6 6 2 3" xfId="19541"/>
    <cellStyle name="Normal 4 9 6 6 2 4" xfId="35995"/>
    <cellStyle name="Normal 4 9 6 6 3" xfId="4736"/>
    <cellStyle name="Normal 4 9 6 6 3 2" xfId="12961"/>
    <cellStyle name="Normal 4 9 6 6 3 2 2" xfId="29411"/>
    <cellStyle name="Normal 4 9 6 6 3 3" xfId="21186"/>
    <cellStyle name="Normal 4 9 6 6 3 4" xfId="37640"/>
    <cellStyle name="Normal 4 9 6 6 4" xfId="6381"/>
    <cellStyle name="Normal 4 9 6 6 4 2" xfId="14606"/>
    <cellStyle name="Normal 4 9 6 6 4 2 2" xfId="31056"/>
    <cellStyle name="Normal 4 9 6 6 4 3" xfId="22831"/>
    <cellStyle name="Normal 4 9 6 6 4 4" xfId="39285"/>
    <cellStyle name="Normal 4 9 6 6 5" xfId="8026"/>
    <cellStyle name="Normal 4 9 6 6 5 2" xfId="16251"/>
    <cellStyle name="Normal 4 9 6 6 5 2 2" xfId="32701"/>
    <cellStyle name="Normal 4 9 6 6 5 3" xfId="24476"/>
    <cellStyle name="Normal 4 9 6 6 5 4" xfId="40930"/>
    <cellStyle name="Normal 4 9 6 6 6" xfId="9671"/>
    <cellStyle name="Normal 4 9 6 6 6 2" xfId="26121"/>
    <cellStyle name="Normal 4 9 6 6 7" xfId="17895"/>
    <cellStyle name="Normal 4 9 6 6 8" xfId="34349"/>
    <cellStyle name="Normal 4 9 6 7" xfId="1676"/>
    <cellStyle name="Normal 4 9 6 7 2" xfId="3326"/>
    <cellStyle name="Normal 4 9 6 7 2 2" xfId="11551"/>
    <cellStyle name="Normal 4 9 6 7 2 2 2" xfId="28001"/>
    <cellStyle name="Normal 4 9 6 7 2 3" xfId="19776"/>
    <cellStyle name="Normal 4 9 6 7 2 4" xfId="36230"/>
    <cellStyle name="Normal 4 9 6 7 3" xfId="4971"/>
    <cellStyle name="Normal 4 9 6 7 3 2" xfId="13196"/>
    <cellStyle name="Normal 4 9 6 7 3 2 2" xfId="29646"/>
    <cellStyle name="Normal 4 9 6 7 3 3" xfId="21421"/>
    <cellStyle name="Normal 4 9 6 7 3 4" xfId="37875"/>
    <cellStyle name="Normal 4 9 6 7 4" xfId="6616"/>
    <cellStyle name="Normal 4 9 6 7 4 2" xfId="14841"/>
    <cellStyle name="Normal 4 9 6 7 4 2 2" xfId="31291"/>
    <cellStyle name="Normal 4 9 6 7 4 3" xfId="23066"/>
    <cellStyle name="Normal 4 9 6 7 4 4" xfId="39520"/>
    <cellStyle name="Normal 4 9 6 7 5" xfId="8261"/>
    <cellStyle name="Normal 4 9 6 7 5 2" xfId="16486"/>
    <cellStyle name="Normal 4 9 6 7 5 2 2" xfId="32936"/>
    <cellStyle name="Normal 4 9 6 7 5 3" xfId="24711"/>
    <cellStyle name="Normal 4 9 6 7 5 4" xfId="41165"/>
    <cellStyle name="Normal 4 9 6 7 6" xfId="9906"/>
    <cellStyle name="Normal 4 9 6 7 6 2" xfId="26356"/>
    <cellStyle name="Normal 4 9 6 7 7" xfId="18130"/>
    <cellStyle name="Normal 4 9 6 7 8" xfId="34584"/>
    <cellStyle name="Normal 4 9 6 8" xfId="1911"/>
    <cellStyle name="Normal 4 9 6 8 2" xfId="10141"/>
    <cellStyle name="Normal 4 9 6 8 2 2" xfId="26591"/>
    <cellStyle name="Normal 4 9 6 8 3" xfId="18365"/>
    <cellStyle name="Normal 4 9 6 8 4" xfId="34819"/>
    <cellStyle name="Normal 4 9 6 9" xfId="3561"/>
    <cellStyle name="Normal 4 9 6 9 2" xfId="11786"/>
    <cellStyle name="Normal 4 9 6 9 2 2" xfId="28236"/>
    <cellStyle name="Normal 4 9 6 9 3" xfId="20011"/>
    <cellStyle name="Normal 4 9 6 9 4" xfId="36465"/>
    <cellStyle name="Normal 4 9 7" xfId="236"/>
    <cellStyle name="Normal 4 9 7 10" xfId="5233"/>
    <cellStyle name="Normal 4 9 7 10 2" xfId="13458"/>
    <cellStyle name="Normal 4 9 7 10 2 2" xfId="29908"/>
    <cellStyle name="Normal 4 9 7 10 3" xfId="21683"/>
    <cellStyle name="Normal 4 9 7 10 4" xfId="38137"/>
    <cellStyle name="Normal 4 9 7 11" xfId="6878"/>
    <cellStyle name="Normal 4 9 7 11 2" xfId="15103"/>
    <cellStyle name="Normal 4 9 7 11 2 2" xfId="31553"/>
    <cellStyle name="Normal 4 9 7 11 3" xfId="23328"/>
    <cellStyle name="Normal 4 9 7 11 4" xfId="39782"/>
    <cellStyle name="Normal 4 9 7 12" xfId="8523"/>
    <cellStyle name="Normal 4 9 7 12 2" xfId="24973"/>
    <cellStyle name="Normal 4 9 7 13" xfId="16747"/>
    <cellStyle name="Normal 4 9 7 14" xfId="33200"/>
    <cellStyle name="Normal 4 9 7 15" xfId="41428"/>
    <cellStyle name="Normal 4 9 7 2" xfId="479"/>
    <cellStyle name="Normal 4 9 7 2 2" xfId="2176"/>
    <cellStyle name="Normal 4 9 7 2 2 2" xfId="10403"/>
    <cellStyle name="Normal 4 9 7 2 2 2 2" xfId="26853"/>
    <cellStyle name="Normal 4 9 7 2 2 3" xfId="18628"/>
    <cellStyle name="Normal 4 9 7 2 2 4" xfId="35082"/>
    <cellStyle name="Normal 4 9 7 2 3" xfId="3823"/>
    <cellStyle name="Normal 4 9 7 2 3 2" xfId="12048"/>
    <cellStyle name="Normal 4 9 7 2 3 2 2" xfId="28498"/>
    <cellStyle name="Normal 4 9 7 2 3 3" xfId="20273"/>
    <cellStyle name="Normal 4 9 7 2 3 4" xfId="36727"/>
    <cellStyle name="Normal 4 9 7 2 4" xfId="5468"/>
    <cellStyle name="Normal 4 9 7 2 4 2" xfId="13693"/>
    <cellStyle name="Normal 4 9 7 2 4 2 2" xfId="30143"/>
    <cellStyle name="Normal 4 9 7 2 4 3" xfId="21918"/>
    <cellStyle name="Normal 4 9 7 2 4 4" xfId="38372"/>
    <cellStyle name="Normal 4 9 7 2 5" xfId="7113"/>
    <cellStyle name="Normal 4 9 7 2 5 2" xfId="15338"/>
    <cellStyle name="Normal 4 9 7 2 5 2 2" xfId="31788"/>
    <cellStyle name="Normal 4 9 7 2 5 3" xfId="23563"/>
    <cellStyle name="Normal 4 9 7 2 5 4" xfId="40017"/>
    <cellStyle name="Normal 4 9 7 2 6" xfId="8758"/>
    <cellStyle name="Normal 4 9 7 2 6 2" xfId="25208"/>
    <cellStyle name="Normal 4 9 7 2 7" xfId="16982"/>
    <cellStyle name="Normal 4 9 7 2 8" xfId="33436"/>
    <cellStyle name="Normal 4 9 7 2 9" xfId="41663"/>
    <cellStyle name="Normal 4 9 7 3" xfId="718"/>
    <cellStyle name="Normal 4 9 7 3 2" xfId="2413"/>
    <cellStyle name="Normal 4 9 7 3 2 2" xfId="10638"/>
    <cellStyle name="Normal 4 9 7 3 2 2 2" xfId="27088"/>
    <cellStyle name="Normal 4 9 7 3 2 3" xfId="18863"/>
    <cellStyle name="Normal 4 9 7 3 2 4" xfId="35317"/>
    <cellStyle name="Normal 4 9 7 3 3" xfId="4058"/>
    <cellStyle name="Normal 4 9 7 3 3 2" xfId="12283"/>
    <cellStyle name="Normal 4 9 7 3 3 2 2" xfId="28733"/>
    <cellStyle name="Normal 4 9 7 3 3 3" xfId="20508"/>
    <cellStyle name="Normal 4 9 7 3 3 4" xfId="36962"/>
    <cellStyle name="Normal 4 9 7 3 4" xfId="5703"/>
    <cellStyle name="Normal 4 9 7 3 4 2" xfId="13928"/>
    <cellStyle name="Normal 4 9 7 3 4 2 2" xfId="30378"/>
    <cellStyle name="Normal 4 9 7 3 4 3" xfId="22153"/>
    <cellStyle name="Normal 4 9 7 3 4 4" xfId="38607"/>
    <cellStyle name="Normal 4 9 7 3 5" xfId="7348"/>
    <cellStyle name="Normal 4 9 7 3 5 2" xfId="15573"/>
    <cellStyle name="Normal 4 9 7 3 5 2 2" xfId="32023"/>
    <cellStyle name="Normal 4 9 7 3 5 3" xfId="23798"/>
    <cellStyle name="Normal 4 9 7 3 5 4" xfId="40252"/>
    <cellStyle name="Normal 4 9 7 3 6" xfId="8993"/>
    <cellStyle name="Normal 4 9 7 3 6 2" xfId="25443"/>
    <cellStyle name="Normal 4 9 7 3 7" xfId="17217"/>
    <cellStyle name="Normal 4 9 7 3 8" xfId="33671"/>
    <cellStyle name="Normal 4 9 7 3 9" xfId="41898"/>
    <cellStyle name="Normal 4 9 7 4" xfId="953"/>
    <cellStyle name="Normal 4 9 7 4 2" xfId="2648"/>
    <cellStyle name="Normal 4 9 7 4 2 2" xfId="10873"/>
    <cellStyle name="Normal 4 9 7 4 2 2 2" xfId="27323"/>
    <cellStyle name="Normal 4 9 7 4 2 3" xfId="19098"/>
    <cellStyle name="Normal 4 9 7 4 2 4" xfId="35552"/>
    <cellStyle name="Normal 4 9 7 4 3" xfId="4293"/>
    <cellStyle name="Normal 4 9 7 4 3 2" xfId="12518"/>
    <cellStyle name="Normal 4 9 7 4 3 2 2" xfId="28968"/>
    <cellStyle name="Normal 4 9 7 4 3 3" xfId="20743"/>
    <cellStyle name="Normal 4 9 7 4 3 4" xfId="37197"/>
    <cellStyle name="Normal 4 9 7 4 4" xfId="5938"/>
    <cellStyle name="Normal 4 9 7 4 4 2" xfId="14163"/>
    <cellStyle name="Normal 4 9 7 4 4 2 2" xfId="30613"/>
    <cellStyle name="Normal 4 9 7 4 4 3" xfId="22388"/>
    <cellStyle name="Normal 4 9 7 4 4 4" xfId="38842"/>
    <cellStyle name="Normal 4 9 7 4 5" xfId="7583"/>
    <cellStyle name="Normal 4 9 7 4 5 2" xfId="15808"/>
    <cellStyle name="Normal 4 9 7 4 5 2 2" xfId="32258"/>
    <cellStyle name="Normal 4 9 7 4 5 3" xfId="24033"/>
    <cellStyle name="Normal 4 9 7 4 5 4" xfId="40487"/>
    <cellStyle name="Normal 4 9 7 4 6" xfId="9228"/>
    <cellStyle name="Normal 4 9 7 4 6 2" xfId="25678"/>
    <cellStyle name="Normal 4 9 7 4 7" xfId="17452"/>
    <cellStyle name="Normal 4 9 7 4 8" xfId="33906"/>
    <cellStyle name="Normal 4 9 7 4 9" xfId="42133"/>
    <cellStyle name="Normal 4 9 7 5" xfId="1188"/>
    <cellStyle name="Normal 4 9 7 5 2" xfId="2883"/>
    <cellStyle name="Normal 4 9 7 5 2 2" xfId="11108"/>
    <cellStyle name="Normal 4 9 7 5 2 2 2" xfId="27558"/>
    <cellStyle name="Normal 4 9 7 5 2 3" xfId="19333"/>
    <cellStyle name="Normal 4 9 7 5 2 4" xfId="35787"/>
    <cellStyle name="Normal 4 9 7 5 3" xfId="4528"/>
    <cellStyle name="Normal 4 9 7 5 3 2" xfId="12753"/>
    <cellStyle name="Normal 4 9 7 5 3 2 2" xfId="29203"/>
    <cellStyle name="Normal 4 9 7 5 3 3" xfId="20978"/>
    <cellStyle name="Normal 4 9 7 5 3 4" xfId="37432"/>
    <cellStyle name="Normal 4 9 7 5 4" xfId="6173"/>
    <cellStyle name="Normal 4 9 7 5 4 2" xfId="14398"/>
    <cellStyle name="Normal 4 9 7 5 4 2 2" xfId="30848"/>
    <cellStyle name="Normal 4 9 7 5 4 3" xfId="22623"/>
    <cellStyle name="Normal 4 9 7 5 4 4" xfId="39077"/>
    <cellStyle name="Normal 4 9 7 5 5" xfId="7818"/>
    <cellStyle name="Normal 4 9 7 5 5 2" xfId="16043"/>
    <cellStyle name="Normal 4 9 7 5 5 2 2" xfId="32493"/>
    <cellStyle name="Normal 4 9 7 5 5 3" xfId="24268"/>
    <cellStyle name="Normal 4 9 7 5 5 4" xfId="40722"/>
    <cellStyle name="Normal 4 9 7 5 6" xfId="9463"/>
    <cellStyle name="Normal 4 9 7 5 6 2" xfId="25913"/>
    <cellStyle name="Normal 4 9 7 5 7" xfId="17687"/>
    <cellStyle name="Normal 4 9 7 5 8" xfId="34141"/>
    <cellStyle name="Normal 4 9 7 5 9" xfId="42368"/>
    <cellStyle name="Normal 4 9 7 6" xfId="1468"/>
    <cellStyle name="Normal 4 9 7 6 2" xfId="3118"/>
    <cellStyle name="Normal 4 9 7 6 2 2" xfId="11343"/>
    <cellStyle name="Normal 4 9 7 6 2 2 2" xfId="27793"/>
    <cellStyle name="Normal 4 9 7 6 2 3" xfId="19568"/>
    <cellStyle name="Normal 4 9 7 6 2 4" xfId="36022"/>
    <cellStyle name="Normal 4 9 7 6 3" xfId="4763"/>
    <cellStyle name="Normal 4 9 7 6 3 2" xfId="12988"/>
    <cellStyle name="Normal 4 9 7 6 3 2 2" xfId="29438"/>
    <cellStyle name="Normal 4 9 7 6 3 3" xfId="21213"/>
    <cellStyle name="Normal 4 9 7 6 3 4" xfId="37667"/>
    <cellStyle name="Normal 4 9 7 6 4" xfId="6408"/>
    <cellStyle name="Normal 4 9 7 6 4 2" xfId="14633"/>
    <cellStyle name="Normal 4 9 7 6 4 2 2" xfId="31083"/>
    <cellStyle name="Normal 4 9 7 6 4 3" xfId="22858"/>
    <cellStyle name="Normal 4 9 7 6 4 4" xfId="39312"/>
    <cellStyle name="Normal 4 9 7 6 5" xfId="8053"/>
    <cellStyle name="Normal 4 9 7 6 5 2" xfId="16278"/>
    <cellStyle name="Normal 4 9 7 6 5 2 2" xfId="32728"/>
    <cellStyle name="Normal 4 9 7 6 5 3" xfId="24503"/>
    <cellStyle name="Normal 4 9 7 6 5 4" xfId="40957"/>
    <cellStyle name="Normal 4 9 7 6 6" xfId="9698"/>
    <cellStyle name="Normal 4 9 7 6 6 2" xfId="26148"/>
    <cellStyle name="Normal 4 9 7 6 7" xfId="17922"/>
    <cellStyle name="Normal 4 9 7 6 8" xfId="34376"/>
    <cellStyle name="Normal 4 9 7 7" xfId="1703"/>
    <cellStyle name="Normal 4 9 7 7 2" xfId="3353"/>
    <cellStyle name="Normal 4 9 7 7 2 2" xfId="11578"/>
    <cellStyle name="Normal 4 9 7 7 2 2 2" xfId="28028"/>
    <cellStyle name="Normal 4 9 7 7 2 3" xfId="19803"/>
    <cellStyle name="Normal 4 9 7 7 2 4" xfId="36257"/>
    <cellStyle name="Normal 4 9 7 7 3" xfId="4998"/>
    <cellStyle name="Normal 4 9 7 7 3 2" xfId="13223"/>
    <cellStyle name="Normal 4 9 7 7 3 2 2" xfId="29673"/>
    <cellStyle name="Normal 4 9 7 7 3 3" xfId="21448"/>
    <cellStyle name="Normal 4 9 7 7 3 4" xfId="37902"/>
    <cellStyle name="Normal 4 9 7 7 4" xfId="6643"/>
    <cellStyle name="Normal 4 9 7 7 4 2" xfId="14868"/>
    <cellStyle name="Normal 4 9 7 7 4 2 2" xfId="31318"/>
    <cellStyle name="Normal 4 9 7 7 4 3" xfId="23093"/>
    <cellStyle name="Normal 4 9 7 7 4 4" xfId="39547"/>
    <cellStyle name="Normal 4 9 7 7 5" xfId="8288"/>
    <cellStyle name="Normal 4 9 7 7 5 2" xfId="16513"/>
    <cellStyle name="Normal 4 9 7 7 5 2 2" xfId="32963"/>
    <cellStyle name="Normal 4 9 7 7 5 3" xfId="24738"/>
    <cellStyle name="Normal 4 9 7 7 5 4" xfId="41192"/>
    <cellStyle name="Normal 4 9 7 7 6" xfId="9933"/>
    <cellStyle name="Normal 4 9 7 7 6 2" xfId="26383"/>
    <cellStyle name="Normal 4 9 7 7 7" xfId="18157"/>
    <cellStyle name="Normal 4 9 7 7 8" xfId="34611"/>
    <cellStyle name="Normal 4 9 7 8" xfId="1938"/>
    <cellStyle name="Normal 4 9 7 8 2" xfId="10168"/>
    <cellStyle name="Normal 4 9 7 8 2 2" xfId="26618"/>
    <cellStyle name="Normal 4 9 7 8 3" xfId="18392"/>
    <cellStyle name="Normal 4 9 7 8 4" xfId="34846"/>
    <cellStyle name="Normal 4 9 7 9" xfId="3588"/>
    <cellStyle name="Normal 4 9 7 9 2" xfId="11813"/>
    <cellStyle name="Normal 4 9 7 9 2 2" xfId="28263"/>
    <cellStyle name="Normal 4 9 7 9 3" xfId="20038"/>
    <cellStyle name="Normal 4 9 7 9 4" xfId="36492"/>
    <cellStyle name="Normal 4 9 8" xfId="265"/>
    <cellStyle name="Normal 4 9 8 10" xfId="5260"/>
    <cellStyle name="Normal 4 9 8 10 2" xfId="13485"/>
    <cellStyle name="Normal 4 9 8 10 2 2" xfId="29935"/>
    <cellStyle name="Normal 4 9 8 10 3" xfId="21710"/>
    <cellStyle name="Normal 4 9 8 10 4" xfId="38164"/>
    <cellStyle name="Normal 4 9 8 11" xfId="6905"/>
    <cellStyle name="Normal 4 9 8 11 2" xfId="15130"/>
    <cellStyle name="Normal 4 9 8 11 2 2" xfId="31580"/>
    <cellStyle name="Normal 4 9 8 11 3" xfId="23355"/>
    <cellStyle name="Normal 4 9 8 11 4" xfId="39809"/>
    <cellStyle name="Normal 4 9 8 12" xfId="8550"/>
    <cellStyle name="Normal 4 9 8 12 2" xfId="25000"/>
    <cellStyle name="Normal 4 9 8 13" xfId="16774"/>
    <cellStyle name="Normal 4 9 8 14" xfId="33227"/>
    <cellStyle name="Normal 4 9 8 15" xfId="41455"/>
    <cellStyle name="Normal 4 9 8 2" xfId="508"/>
    <cellStyle name="Normal 4 9 8 2 2" xfId="2203"/>
    <cellStyle name="Normal 4 9 8 2 2 2" xfId="10430"/>
    <cellStyle name="Normal 4 9 8 2 2 2 2" xfId="26880"/>
    <cellStyle name="Normal 4 9 8 2 2 3" xfId="18655"/>
    <cellStyle name="Normal 4 9 8 2 2 4" xfId="35109"/>
    <cellStyle name="Normal 4 9 8 2 3" xfId="3850"/>
    <cellStyle name="Normal 4 9 8 2 3 2" xfId="12075"/>
    <cellStyle name="Normal 4 9 8 2 3 2 2" xfId="28525"/>
    <cellStyle name="Normal 4 9 8 2 3 3" xfId="20300"/>
    <cellStyle name="Normal 4 9 8 2 3 4" xfId="36754"/>
    <cellStyle name="Normal 4 9 8 2 4" xfId="5495"/>
    <cellStyle name="Normal 4 9 8 2 4 2" xfId="13720"/>
    <cellStyle name="Normal 4 9 8 2 4 2 2" xfId="30170"/>
    <cellStyle name="Normal 4 9 8 2 4 3" xfId="21945"/>
    <cellStyle name="Normal 4 9 8 2 4 4" xfId="38399"/>
    <cellStyle name="Normal 4 9 8 2 5" xfId="7140"/>
    <cellStyle name="Normal 4 9 8 2 5 2" xfId="15365"/>
    <cellStyle name="Normal 4 9 8 2 5 2 2" xfId="31815"/>
    <cellStyle name="Normal 4 9 8 2 5 3" xfId="23590"/>
    <cellStyle name="Normal 4 9 8 2 5 4" xfId="40044"/>
    <cellStyle name="Normal 4 9 8 2 6" xfId="8785"/>
    <cellStyle name="Normal 4 9 8 2 6 2" xfId="25235"/>
    <cellStyle name="Normal 4 9 8 2 7" xfId="17009"/>
    <cellStyle name="Normal 4 9 8 2 8" xfId="33463"/>
    <cellStyle name="Normal 4 9 8 2 9" xfId="41690"/>
    <cellStyle name="Normal 4 9 8 3" xfId="745"/>
    <cellStyle name="Normal 4 9 8 3 2" xfId="2440"/>
    <cellStyle name="Normal 4 9 8 3 2 2" xfId="10665"/>
    <cellStyle name="Normal 4 9 8 3 2 2 2" xfId="27115"/>
    <cellStyle name="Normal 4 9 8 3 2 3" xfId="18890"/>
    <cellStyle name="Normal 4 9 8 3 2 4" xfId="35344"/>
    <cellStyle name="Normal 4 9 8 3 3" xfId="4085"/>
    <cellStyle name="Normal 4 9 8 3 3 2" xfId="12310"/>
    <cellStyle name="Normal 4 9 8 3 3 2 2" xfId="28760"/>
    <cellStyle name="Normal 4 9 8 3 3 3" xfId="20535"/>
    <cellStyle name="Normal 4 9 8 3 3 4" xfId="36989"/>
    <cellStyle name="Normal 4 9 8 3 4" xfId="5730"/>
    <cellStyle name="Normal 4 9 8 3 4 2" xfId="13955"/>
    <cellStyle name="Normal 4 9 8 3 4 2 2" xfId="30405"/>
    <cellStyle name="Normal 4 9 8 3 4 3" xfId="22180"/>
    <cellStyle name="Normal 4 9 8 3 4 4" xfId="38634"/>
    <cellStyle name="Normal 4 9 8 3 5" xfId="7375"/>
    <cellStyle name="Normal 4 9 8 3 5 2" xfId="15600"/>
    <cellStyle name="Normal 4 9 8 3 5 2 2" xfId="32050"/>
    <cellStyle name="Normal 4 9 8 3 5 3" xfId="23825"/>
    <cellStyle name="Normal 4 9 8 3 5 4" xfId="40279"/>
    <cellStyle name="Normal 4 9 8 3 6" xfId="9020"/>
    <cellStyle name="Normal 4 9 8 3 6 2" xfId="25470"/>
    <cellStyle name="Normal 4 9 8 3 7" xfId="17244"/>
    <cellStyle name="Normal 4 9 8 3 8" xfId="33698"/>
    <cellStyle name="Normal 4 9 8 3 9" xfId="41925"/>
    <cellStyle name="Normal 4 9 8 4" xfId="980"/>
    <cellStyle name="Normal 4 9 8 4 2" xfId="2675"/>
    <cellStyle name="Normal 4 9 8 4 2 2" xfId="10900"/>
    <cellStyle name="Normal 4 9 8 4 2 2 2" xfId="27350"/>
    <cellStyle name="Normal 4 9 8 4 2 3" xfId="19125"/>
    <cellStyle name="Normal 4 9 8 4 2 4" xfId="35579"/>
    <cellStyle name="Normal 4 9 8 4 3" xfId="4320"/>
    <cellStyle name="Normal 4 9 8 4 3 2" xfId="12545"/>
    <cellStyle name="Normal 4 9 8 4 3 2 2" xfId="28995"/>
    <cellStyle name="Normal 4 9 8 4 3 3" xfId="20770"/>
    <cellStyle name="Normal 4 9 8 4 3 4" xfId="37224"/>
    <cellStyle name="Normal 4 9 8 4 4" xfId="5965"/>
    <cellStyle name="Normal 4 9 8 4 4 2" xfId="14190"/>
    <cellStyle name="Normal 4 9 8 4 4 2 2" xfId="30640"/>
    <cellStyle name="Normal 4 9 8 4 4 3" xfId="22415"/>
    <cellStyle name="Normal 4 9 8 4 4 4" xfId="38869"/>
    <cellStyle name="Normal 4 9 8 4 5" xfId="7610"/>
    <cellStyle name="Normal 4 9 8 4 5 2" xfId="15835"/>
    <cellStyle name="Normal 4 9 8 4 5 2 2" xfId="32285"/>
    <cellStyle name="Normal 4 9 8 4 5 3" xfId="24060"/>
    <cellStyle name="Normal 4 9 8 4 5 4" xfId="40514"/>
    <cellStyle name="Normal 4 9 8 4 6" xfId="9255"/>
    <cellStyle name="Normal 4 9 8 4 6 2" xfId="25705"/>
    <cellStyle name="Normal 4 9 8 4 7" xfId="17479"/>
    <cellStyle name="Normal 4 9 8 4 8" xfId="33933"/>
    <cellStyle name="Normal 4 9 8 4 9" xfId="42160"/>
    <cellStyle name="Normal 4 9 8 5" xfId="1215"/>
    <cellStyle name="Normal 4 9 8 5 2" xfId="2910"/>
    <cellStyle name="Normal 4 9 8 5 2 2" xfId="11135"/>
    <cellStyle name="Normal 4 9 8 5 2 2 2" xfId="27585"/>
    <cellStyle name="Normal 4 9 8 5 2 3" xfId="19360"/>
    <cellStyle name="Normal 4 9 8 5 2 4" xfId="35814"/>
    <cellStyle name="Normal 4 9 8 5 3" xfId="4555"/>
    <cellStyle name="Normal 4 9 8 5 3 2" xfId="12780"/>
    <cellStyle name="Normal 4 9 8 5 3 2 2" xfId="29230"/>
    <cellStyle name="Normal 4 9 8 5 3 3" xfId="21005"/>
    <cellStyle name="Normal 4 9 8 5 3 4" xfId="37459"/>
    <cellStyle name="Normal 4 9 8 5 4" xfId="6200"/>
    <cellStyle name="Normal 4 9 8 5 4 2" xfId="14425"/>
    <cellStyle name="Normal 4 9 8 5 4 2 2" xfId="30875"/>
    <cellStyle name="Normal 4 9 8 5 4 3" xfId="22650"/>
    <cellStyle name="Normal 4 9 8 5 4 4" xfId="39104"/>
    <cellStyle name="Normal 4 9 8 5 5" xfId="7845"/>
    <cellStyle name="Normal 4 9 8 5 5 2" xfId="16070"/>
    <cellStyle name="Normal 4 9 8 5 5 2 2" xfId="32520"/>
    <cellStyle name="Normal 4 9 8 5 5 3" xfId="24295"/>
    <cellStyle name="Normal 4 9 8 5 5 4" xfId="40749"/>
    <cellStyle name="Normal 4 9 8 5 6" xfId="9490"/>
    <cellStyle name="Normal 4 9 8 5 6 2" xfId="25940"/>
    <cellStyle name="Normal 4 9 8 5 7" xfId="17714"/>
    <cellStyle name="Normal 4 9 8 5 8" xfId="34168"/>
    <cellStyle name="Normal 4 9 8 5 9" xfId="42395"/>
    <cellStyle name="Normal 4 9 8 6" xfId="1495"/>
    <cellStyle name="Normal 4 9 8 6 2" xfId="3145"/>
    <cellStyle name="Normal 4 9 8 6 2 2" xfId="11370"/>
    <cellStyle name="Normal 4 9 8 6 2 2 2" xfId="27820"/>
    <cellStyle name="Normal 4 9 8 6 2 3" xfId="19595"/>
    <cellStyle name="Normal 4 9 8 6 2 4" xfId="36049"/>
    <cellStyle name="Normal 4 9 8 6 3" xfId="4790"/>
    <cellStyle name="Normal 4 9 8 6 3 2" xfId="13015"/>
    <cellStyle name="Normal 4 9 8 6 3 2 2" xfId="29465"/>
    <cellStyle name="Normal 4 9 8 6 3 3" xfId="21240"/>
    <cellStyle name="Normal 4 9 8 6 3 4" xfId="37694"/>
    <cellStyle name="Normal 4 9 8 6 4" xfId="6435"/>
    <cellStyle name="Normal 4 9 8 6 4 2" xfId="14660"/>
    <cellStyle name="Normal 4 9 8 6 4 2 2" xfId="31110"/>
    <cellStyle name="Normal 4 9 8 6 4 3" xfId="22885"/>
    <cellStyle name="Normal 4 9 8 6 4 4" xfId="39339"/>
    <cellStyle name="Normal 4 9 8 6 5" xfId="8080"/>
    <cellStyle name="Normal 4 9 8 6 5 2" xfId="16305"/>
    <cellStyle name="Normal 4 9 8 6 5 2 2" xfId="32755"/>
    <cellStyle name="Normal 4 9 8 6 5 3" xfId="24530"/>
    <cellStyle name="Normal 4 9 8 6 5 4" xfId="40984"/>
    <cellStyle name="Normal 4 9 8 6 6" xfId="9725"/>
    <cellStyle name="Normal 4 9 8 6 6 2" xfId="26175"/>
    <cellStyle name="Normal 4 9 8 6 7" xfId="17949"/>
    <cellStyle name="Normal 4 9 8 6 8" xfId="34403"/>
    <cellStyle name="Normal 4 9 8 7" xfId="1730"/>
    <cellStyle name="Normal 4 9 8 7 2" xfId="3380"/>
    <cellStyle name="Normal 4 9 8 7 2 2" xfId="11605"/>
    <cellStyle name="Normal 4 9 8 7 2 2 2" xfId="28055"/>
    <cellStyle name="Normal 4 9 8 7 2 3" xfId="19830"/>
    <cellStyle name="Normal 4 9 8 7 2 4" xfId="36284"/>
    <cellStyle name="Normal 4 9 8 7 3" xfId="5025"/>
    <cellStyle name="Normal 4 9 8 7 3 2" xfId="13250"/>
    <cellStyle name="Normal 4 9 8 7 3 2 2" xfId="29700"/>
    <cellStyle name="Normal 4 9 8 7 3 3" xfId="21475"/>
    <cellStyle name="Normal 4 9 8 7 3 4" xfId="37929"/>
    <cellStyle name="Normal 4 9 8 7 4" xfId="6670"/>
    <cellStyle name="Normal 4 9 8 7 4 2" xfId="14895"/>
    <cellStyle name="Normal 4 9 8 7 4 2 2" xfId="31345"/>
    <cellStyle name="Normal 4 9 8 7 4 3" xfId="23120"/>
    <cellStyle name="Normal 4 9 8 7 4 4" xfId="39574"/>
    <cellStyle name="Normal 4 9 8 7 5" xfId="8315"/>
    <cellStyle name="Normal 4 9 8 7 5 2" xfId="16540"/>
    <cellStyle name="Normal 4 9 8 7 5 2 2" xfId="32990"/>
    <cellStyle name="Normal 4 9 8 7 5 3" xfId="24765"/>
    <cellStyle name="Normal 4 9 8 7 5 4" xfId="41219"/>
    <cellStyle name="Normal 4 9 8 7 6" xfId="9960"/>
    <cellStyle name="Normal 4 9 8 7 6 2" xfId="26410"/>
    <cellStyle name="Normal 4 9 8 7 7" xfId="18184"/>
    <cellStyle name="Normal 4 9 8 7 8" xfId="34638"/>
    <cellStyle name="Normal 4 9 8 8" xfId="1965"/>
    <cellStyle name="Normal 4 9 8 8 2" xfId="10195"/>
    <cellStyle name="Normal 4 9 8 8 2 2" xfId="26645"/>
    <cellStyle name="Normal 4 9 8 8 3" xfId="18419"/>
    <cellStyle name="Normal 4 9 8 8 4" xfId="34873"/>
    <cellStyle name="Normal 4 9 8 9" xfId="3615"/>
    <cellStyle name="Normal 4 9 8 9 2" xfId="11840"/>
    <cellStyle name="Normal 4 9 8 9 2 2" xfId="28290"/>
    <cellStyle name="Normal 4 9 8 9 3" xfId="20065"/>
    <cellStyle name="Normal 4 9 8 9 4" xfId="36519"/>
    <cellStyle name="Normal 4 9 9" xfId="294"/>
    <cellStyle name="Normal 4 9 9 2" xfId="1995"/>
    <cellStyle name="Normal 4 9 9 2 2" xfId="10222"/>
    <cellStyle name="Normal 4 9 9 2 2 2" xfId="26672"/>
    <cellStyle name="Normal 4 9 9 2 3" xfId="18447"/>
    <cellStyle name="Normal 4 9 9 2 4" xfId="34901"/>
    <cellStyle name="Normal 4 9 9 3" xfId="3642"/>
    <cellStyle name="Normal 4 9 9 3 2" xfId="11867"/>
    <cellStyle name="Normal 4 9 9 3 2 2" xfId="28317"/>
    <cellStyle name="Normal 4 9 9 3 3" xfId="20092"/>
    <cellStyle name="Normal 4 9 9 3 4" xfId="36546"/>
    <cellStyle name="Normal 4 9 9 4" xfId="5287"/>
    <cellStyle name="Normal 4 9 9 4 2" xfId="13512"/>
    <cellStyle name="Normal 4 9 9 4 2 2" xfId="29962"/>
    <cellStyle name="Normal 4 9 9 4 3" xfId="21737"/>
    <cellStyle name="Normal 4 9 9 4 4" xfId="38191"/>
    <cellStyle name="Normal 4 9 9 5" xfId="6932"/>
    <cellStyle name="Normal 4 9 9 5 2" xfId="15157"/>
    <cellStyle name="Normal 4 9 9 5 2 2" xfId="31607"/>
    <cellStyle name="Normal 4 9 9 5 3" xfId="23382"/>
    <cellStyle name="Normal 4 9 9 5 4" xfId="39836"/>
    <cellStyle name="Normal 4 9 9 6" xfId="8577"/>
    <cellStyle name="Normal 4 9 9 6 2" xfId="25027"/>
    <cellStyle name="Normal 4 9 9 7" xfId="16801"/>
    <cellStyle name="Normal 4 9 9 8" xfId="33255"/>
    <cellStyle name="Normal 4 9 9 9" xfId="41482"/>
    <cellStyle name="Normal 5" xfId="30"/>
    <cellStyle name="Normal 5 10" xfId="274"/>
    <cellStyle name="Normal 5 10 2" xfId="1975"/>
    <cellStyle name="Normal 5 10 2 2" xfId="10202"/>
    <cellStyle name="Normal 5 10 2 2 2" xfId="26652"/>
    <cellStyle name="Normal 5 10 2 3" xfId="18427"/>
    <cellStyle name="Normal 5 10 2 4" xfId="34881"/>
    <cellStyle name="Normal 5 10 3" xfId="3622"/>
    <cellStyle name="Normal 5 10 3 2" xfId="11847"/>
    <cellStyle name="Normal 5 10 3 2 2" xfId="28297"/>
    <cellStyle name="Normal 5 10 3 3" xfId="20072"/>
    <cellStyle name="Normal 5 10 3 4" xfId="36526"/>
    <cellStyle name="Normal 5 10 4" xfId="5267"/>
    <cellStyle name="Normal 5 10 4 2" xfId="13492"/>
    <cellStyle name="Normal 5 10 4 2 2" xfId="29942"/>
    <cellStyle name="Normal 5 10 4 3" xfId="21717"/>
    <cellStyle name="Normal 5 10 4 4" xfId="38171"/>
    <cellStyle name="Normal 5 10 5" xfId="6912"/>
    <cellStyle name="Normal 5 10 5 2" xfId="15137"/>
    <cellStyle name="Normal 5 10 5 2 2" xfId="31587"/>
    <cellStyle name="Normal 5 10 5 3" xfId="23362"/>
    <cellStyle name="Normal 5 10 5 4" xfId="39816"/>
    <cellStyle name="Normal 5 10 6" xfId="8557"/>
    <cellStyle name="Normal 5 10 6 2" xfId="25007"/>
    <cellStyle name="Normal 5 10 7" xfId="16781"/>
    <cellStyle name="Normal 5 10 8" xfId="33235"/>
    <cellStyle name="Normal 5 10 9" xfId="41462"/>
    <cellStyle name="Normal 5 11" xfId="517"/>
    <cellStyle name="Normal 5 11 2" xfId="2212"/>
    <cellStyle name="Normal 5 11 2 2" xfId="10437"/>
    <cellStyle name="Normal 5 11 2 2 2" xfId="26887"/>
    <cellStyle name="Normal 5 11 2 3" xfId="18662"/>
    <cellStyle name="Normal 5 11 2 4" xfId="35116"/>
    <cellStyle name="Normal 5 11 3" xfId="3857"/>
    <cellStyle name="Normal 5 11 3 2" xfId="12082"/>
    <cellStyle name="Normal 5 11 3 2 2" xfId="28532"/>
    <cellStyle name="Normal 5 11 3 3" xfId="20307"/>
    <cellStyle name="Normal 5 11 3 4" xfId="36761"/>
    <cellStyle name="Normal 5 11 4" xfId="5502"/>
    <cellStyle name="Normal 5 11 4 2" xfId="13727"/>
    <cellStyle name="Normal 5 11 4 2 2" xfId="30177"/>
    <cellStyle name="Normal 5 11 4 3" xfId="21952"/>
    <cellStyle name="Normal 5 11 4 4" xfId="38406"/>
    <cellStyle name="Normal 5 11 5" xfId="7147"/>
    <cellStyle name="Normal 5 11 5 2" xfId="15372"/>
    <cellStyle name="Normal 5 11 5 2 2" xfId="31822"/>
    <cellStyle name="Normal 5 11 5 3" xfId="23597"/>
    <cellStyle name="Normal 5 11 5 4" xfId="40051"/>
    <cellStyle name="Normal 5 11 6" xfId="8792"/>
    <cellStyle name="Normal 5 11 6 2" xfId="25242"/>
    <cellStyle name="Normal 5 11 7" xfId="17016"/>
    <cellStyle name="Normal 5 11 8" xfId="33470"/>
    <cellStyle name="Normal 5 11 9" xfId="41697"/>
    <cellStyle name="Normal 5 12" xfId="752"/>
    <cellStyle name="Normal 5 12 2" xfId="2447"/>
    <cellStyle name="Normal 5 12 2 2" xfId="10672"/>
    <cellStyle name="Normal 5 12 2 2 2" xfId="27122"/>
    <cellStyle name="Normal 5 12 2 3" xfId="18897"/>
    <cellStyle name="Normal 5 12 2 4" xfId="35351"/>
    <cellStyle name="Normal 5 12 3" xfId="4092"/>
    <cellStyle name="Normal 5 12 3 2" xfId="12317"/>
    <cellStyle name="Normal 5 12 3 2 2" xfId="28767"/>
    <cellStyle name="Normal 5 12 3 3" xfId="20542"/>
    <cellStyle name="Normal 5 12 3 4" xfId="36996"/>
    <cellStyle name="Normal 5 12 4" xfId="5737"/>
    <cellStyle name="Normal 5 12 4 2" xfId="13962"/>
    <cellStyle name="Normal 5 12 4 2 2" xfId="30412"/>
    <cellStyle name="Normal 5 12 4 3" xfId="22187"/>
    <cellStyle name="Normal 5 12 4 4" xfId="38641"/>
    <cellStyle name="Normal 5 12 5" xfId="7382"/>
    <cellStyle name="Normal 5 12 5 2" xfId="15607"/>
    <cellStyle name="Normal 5 12 5 2 2" xfId="32057"/>
    <cellStyle name="Normal 5 12 5 3" xfId="23832"/>
    <cellStyle name="Normal 5 12 5 4" xfId="40286"/>
    <cellStyle name="Normal 5 12 6" xfId="9027"/>
    <cellStyle name="Normal 5 12 6 2" xfId="25477"/>
    <cellStyle name="Normal 5 12 7" xfId="17251"/>
    <cellStyle name="Normal 5 12 8" xfId="33705"/>
    <cellStyle name="Normal 5 12 9" xfId="41932"/>
    <cellStyle name="Normal 5 13" xfId="987"/>
    <cellStyle name="Normal 5 13 2" xfId="2682"/>
    <cellStyle name="Normal 5 13 2 2" xfId="10907"/>
    <cellStyle name="Normal 5 13 2 2 2" xfId="27357"/>
    <cellStyle name="Normal 5 13 2 3" xfId="19132"/>
    <cellStyle name="Normal 5 13 2 4" xfId="35586"/>
    <cellStyle name="Normal 5 13 3" xfId="4327"/>
    <cellStyle name="Normal 5 13 3 2" xfId="12552"/>
    <cellStyle name="Normal 5 13 3 2 2" xfId="29002"/>
    <cellStyle name="Normal 5 13 3 3" xfId="20777"/>
    <cellStyle name="Normal 5 13 3 4" xfId="37231"/>
    <cellStyle name="Normal 5 13 4" xfId="5972"/>
    <cellStyle name="Normal 5 13 4 2" xfId="14197"/>
    <cellStyle name="Normal 5 13 4 2 2" xfId="30647"/>
    <cellStyle name="Normal 5 13 4 3" xfId="22422"/>
    <cellStyle name="Normal 5 13 4 4" xfId="38876"/>
    <cellStyle name="Normal 5 13 5" xfId="7617"/>
    <cellStyle name="Normal 5 13 5 2" xfId="15842"/>
    <cellStyle name="Normal 5 13 5 2 2" xfId="32292"/>
    <cellStyle name="Normal 5 13 5 3" xfId="24067"/>
    <cellStyle name="Normal 5 13 5 4" xfId="40521"/>
    <cellStyle name="Normal 5 13 6" xfId="9262"/>
    <cellStyle name="Normal 5 13 6 2" xfId="25712"/>
    <cellStyle name="Normal 5 13 7" xfId="17486"/>
    <cellStyle name="Normal 5 13 8" xfId="33940"/>
    <cellStyle name="Normal 5 13 9" xfId="42167"/>
    <cellStyle name="Normal 5 14" xfId="1267"/>
    <cellStyle name="Normal 5 14 2" xfId="2917"/>
    <cellStyle name="Normal 5 14 2 2" xfId="11142"/>
    <cellStyle name="Normal 5 14 2 2 2" xfId="27592"/>
    <cellStyle name="Normal 5 14 2 3" xfId="19367"/>
    <cellStyle name="Normal 5 14 2 4" xfId="35821"/>
    <cellStyle name="Normal 5 14 3" xfId="4562"/>
    <cellStyle name="Normal 5 14 3 2" xfId="12787"/>
    <cellStyle name="Normal 5 14 3 2 2" xfId="29237"/>
    <cellStyle name="Normal 5 14 3 3" xfId="21012"/>
    <cellStyle name="Normal 5 14 3 4" xfId="37466"/>
    <cellStyle name="Normal 5 14 4" xfId="6207"/>
    <cellStyle name="Normal 5 14 4 2" xfId="14432"/>
    <cellStyle name="Normal 5 14 4 2 2" xfId="30882"/>
    <cellStyle name="Normal 5 14 4 3" xfId="22657"/>
    <cellStyle name="Normal 5 14 4 4" xfId="39111"/>
    <cellStyle name="Normal 5 14 5" xfId="7852"/>
    <cellStyle name="Normal 5 14 5 2" xfId="16077"/>
    <cellStyle name="Normal 5 14 5 2 2" xfId="32527"/>
    <cellStyle name="Normal 5 14 5 3" xfId="24302"/>
    <cellStyle name="Normal 5 14 5 4" xfId="40756"/>
    <cellStyle name="Normal 5 14 6" xfId="9497"/>
    <cellStyle name="Normal 5 14 6 2" xfId="25947"/>
    <cellStyle name="Normal 5 14 7" xfId="17721"/>
    <cellStyle name="Normal 5 14 8" xfId="34175"/>
    <cellStyle name="Normal 5 15" xfId="1502"/>
    <cellStyle name="Normal 5 15 2" xfId="3152"/>
    <cellStyle name="Normal 5 15 2 2" xfId="11377"/>
    <cellStyle name="Normal 5 15 2 2 2" xfId="27827"/>
    <cellStyle name="Normal 5 15 2 3" xfId="19602"/>
    <cellStyle name="Normal 5 15 2 4" xfId="36056"/>
    <cellStyle name="Normal 5 15 3" xfId="4797"/>
    <cellStyle name="Normal 5 15 3 2" xfId="13022"/>
    <cellStyle name="Normal 5 15 3 2 2" xfId="29472"/>
    <cellStyle name="Normal 5 15 3 3" xfId="21247"/>
    <cellStyle name="Normal 5 15 3 4" xfId="37701"/>
    <cellStyle name="Normal 5 15 4" xfId="6442"/>
    <cellStyle name="Normal 5 15 4 2" xfId="14667"/>
    <cellStyle name="Normal 5 15 4 2 2" xfId="31117"/>
    <cellStyle name="Normal 5 15 4 3" xfId="22892"/>
    <cellStyle name="Normal 5 15 4 4" xfId="39346"/>
    <cellStyle name="Normal 5 15 5" xfId="8087"/>
    <cellStyle name="Normal 5 15 5 2" xfId="16312"/>
    <cellStyle name="Normal 5 15 5 2 2" xfId="32762"/>
    <cellStyle name="Normal 5 15 5 3" xfId="24537"/>
    <cellStyle name="Normal 5 15 5 4" xfId="40991"/>
    <cellStyle name="Normal 5 15 6" xfId="9732"/>
    <cellStyle name="Normal 5 15 6 2" xfId="26182"/>
    <cellStyle name="Normal 5 15 7" xfId="17956"/>
    <cellStyle name="Normal 5 15 8" xfId="34410"/>
    <cellStyle name="Normal 5 16" xfId="1737"/>
    <cellStyle name="Normal 5 16 2" xfId="9967"/>
    <cellStyle name="Normal 5 16 2 2" xfId="26417"/>
    <cellStyle name="Normal 5 16 3" xfId="18191"/>
    <cellStyle name="Normal 5 16 4" xfId="34645"/>
    <cellStyle name="Normal 5 17" xfId="3387"/>
    <cellStyle name="Normal 5 17 2" xfId="11612"/>
    <cellStyle name="Normal 5 17 2 2" xfId="28062"/>
    <cellStyle name="Normal 5 17 3" xfId="19837"/>
    <cellStyle name="Normal 5 17 4" xfId="36291"/>
    <cellStyle name="Normal 5 18" xfId="5032"/>
    <cellStyle name="Normal 5 18 2" xfId="13257"/>
    <cellStyle name="Normal 5 18 2 2" xfId="29707"/>
    <cellStyle name="Normal 5 18 3" xfId="21482"/>
    <cellStyle name="Normal 5 18 4" xfId="37936"/>
    <cellStyle name="Normal 5 19" xfId="6677"/>
    <cellStyle name="Normal 5 19 2" xfId="14902"/>
    <cellStyle name="Normal 5 19 2 2" xfId="31352"/>
    <cellStyle name="Normal 5 19 3" xfId="23127"/>
    <cellStyle name="Normal 5 19 4" xfId="39581"/>
    <cellStyle name="Normal 5 2" xfId="38"/>
    <cellStyle name="Normal 5 2 10" xfId="524"/>
    <cellStyle name="Normal 5 2 10 2" xfId="2219"/>
    <cellStyle name="Normal 5 2 10 2 2" xfId="10444"/>
    <cellStyle name="Normal 5 2 10 2 2 2" xfId="26894"/>
    <cellStyle name="Normal 5 2 10 2 3" xfId="18669"/>
    <cellStyle name="Normal 5 2 10 2 4" xfId="35123"/>
    <cellStyle name="Normal 5 2 10 3" xfId="3864"/>
    <cellStyle name="Normal 5 2 10 3 2" xfId="12089"/>
    <cellStyle name="Normal 5 2 10 3 2 2" xfId="28539"/>
    <cellStyle name="Normal 5 2 10 3 3" xfId="20314"/>
    <cellStyle name="Normal 5 2 10 3 4" xfId="36768"/>
    <cellStyle name="Normal 5 2 10 4" xfId="5509"/>
    <cellStyle name="Normal 5 2 10 4 2" xfId="13734"/>
    <cellStyle name="Normal 5 2 10 4 2 2" xfId="30184"/>
    <cellStyle name="Normal 5 2 10 4 3" xfId="21959"/>
    <cellStyle name="Normal 5 2 10 4 4" xfId="38413"/>
    <cellStyle name="Normal 5 2 10 5" xfId="7154"/>
    <cellStyle name="Normal 5 2 10 5 2" xfId="15379"/>
    <cellStyle name="Normal 5 2 10 5 2 2" xfId="31829"/>
    <cellStyle name="Normal 5 2 10 5 3" xfId="23604"/>
    <cellStyle name="Normal 5 2 10 5 4" xfId="40058"/>
    <cellStyle name="Normal 5 2 10 6" xfId="8799"/>
    <cellStyle name="Normal 5 2 10 6 2" xfId="25249"/>
    <cellStyle name="Normal 5 2 10 7" xfId="17023"/>
    <cellStyle name="Normal 5 2 10 8" xfId="33477"/>
    <cellStyle name="Normal 5 2 10 9" xfId="41704"/>
    <cellStyle name="Normal 5 2 11" xfId="759"/>
    <cellStyle name="Normal 5 2 11 2" xfId="2454"/>
    <cellStyle name="Normal 5 2 11 2 2" xfId="10679"/>
    <cellStyle name="Normal 5 2 11 2 2 2" xfId="27129"/>
    <cellStyle name="Normal 5 2 11 2 3" xfId="18904"/>
    <cellStyle name="Normal 5 2 11 2 4" xfId="35358"/>
    <cellStyle name="Normal 5 2 11 3" xfId="4099"/>
    <cellStyle name="Normal 5 2 11 3 2" xfId="12324"/>
    <cellStyle name="Normal 5 2 11 3 2 2" xfId="28774"/>
    <cellStyle name="Normal 5 2 11 3 3" xfId="20549"/>
    <cellStyle name="Normal 5 2 11 3 4" xfId="37003"/>
    <cellStyle name="Normal 5 2 11 4" xfId="5744"/>
    <cellStyle name="Normal 5 2 11 4 2" xfId="13969"/>
    <cellStyle name="Normal 5 2 11 4 2 2" xfId="30419"/>
    <cellStyle name="Normal 5 2 11 4 3" xfId="22194"/>
    <cellStyle name="Normal 5 2 11 4 4" xfId="38648"/>
    <cellStyle name="Normal 5 2 11 5" xfId="7389"/>
    <cellStyle name="Normal 5 2 11 5 2" xfId="15614"/>
    <cellStyle name="Normal 5 2 11 5 2 2" xfId="32064"/>
    <cellStyle name="Normal 5 2 11 5 3" xfId="23839"/>
    <cellStyle name="Normal 5 2 11 5 4" xfId="40293"/>
    <cellStyle name="Normal 5 2 11 6" xfId="9034"/>
    <cellStyle name="Normal 5 2 11 6 2" xfId="25484"/>
    <cellStyle name="Normal 5 2 11 7" xfId="17258"/>
    <cellStyle name="Normal 5 2 11 8" xfId="33712"/>
    <cellStyle name="Normal 5 2 11 9" xfId="41939"/>
    <cellStyle name="Normal 5 2 12" xfId="994"/>
    <cellStyle name="Normal 5 2 12 2" xfId="2689"/>
    <cellStyle name="Normal 5 2 12 2 2" xfId="10914"/>
    <cellStyle name="Normal 5 2 12 2 2 2" xfId="27364"/>
    <cellStyle name="Normal 5 2 12 2 3" xfId="19139"/>
    <cellStyle name="Normal 5 2 12 2 4" xfId="35593"/>
    <cellStyle name="Normal 5 2 12 3" xfId="4334"/>
    <cellStyle name="Normal 5 2 12 3 2" xfId="12559"/>
    <cellStyle name="Normal 5 2 12 3 2 2" xfId="29009"/>
    <cellStyle name="Normal 5 2 12 3 3" xfId="20784"/>
    <cellStyle name="Normal 5 2 12 3 4" xfId="37238"/>
    <cellStyle name="Normal 5 2 12 4" xfId="5979"/>
    <cellStyle name="Normal 5 2 12 4 2" xfId="14204"/>
    <cellStyle name="Normal 5 2 12 4 2 2" xfId="30654"/>
    <cellStyle name="Normal 5 2 12 4 3" xfId="22429"/>
    <cellStyle name="Normal 5 2 12 4 4" xfId="38883"/>
    <cellStyle name="Normal 5 2 12 5" xfId="7624"/>
    <cellStyle name="Normal 5 2 12 5 2" xfId="15849"/>
    <cellStyle name="Normal 5 2 12 5 2 2" xfId="32299"/>
    <cellStyle name="Normal 5 2 12 5 3" xfId="24074"/>
    <cellStyle name="Normal 5 2 12 5 4" xfId="40528"/>
    <cellStyle name="Normal 5 2 12 6" xfId="9269"/>
    <cellStyle name="Normal 5 2 12 6 2" xfId="25719"/>
    <cellStyle name="Normal 5 2 12 7" xfId="17493"/>
    <cellStyle name="Normal 5 2 12 8" xfId="33947"/>
    <cellStyle name="Normal 5 2 12 9" xfId="42174"/>
    <cellStyle name="Normal 5 2 13" xfId="1274"/>
    <cellStyle name="Normal 5 2 13 2" xfId="2924"/>
    <cellStyle name="Normal 5 2 13 2 2" xfId="11149"/>
    <cellStyle name="Normal 5 2 13 2 2 2" xfId="27599"/>
    <cellStyle name="Normal 5 2 13 2 3" xfId="19374"/>
    <cellStyle name="Normal 5 2 13 2 4" xfId="35828"/>
    <cellStyle name="Normal 5 2 13 3" xfId="4569"/>
    <cellStyle name="Normal 5 2 13 3 2" xfId="12794"/>
    <cellStyle name="Normal 5 2 13 3 2 2" xfId="29244"/>
    <cellStyle name="Normal 5 2 13 3 3" xfId="21019"/>
    <cellStyle name="Normal 5 2 13 3 4" xfId="37473"/>
    <cellStyle name="Normal 5 2 13 4" xfId="6214"/>
    <cellStyle name="Normal 5 2 13 4 2" xfId="14439"/>
    <cellStyle name="Normal 5 2 13 4 2 2" xfId="30889"/>
    <cellStyle name="Normal 5 2 13 4 3" xfId="22664"/>
    <cellStyle name="Normal 5 2 13 4 4" xfId="39118"/>
    <cellStyle name="Normal 5 2 13 5" xfId="7859"/>
    <cellStyle name="Normal 5 2 13 5 2" xfId="16084"/>
    <cellStyle name="Normal 5 2 13 5 2 2" xfId="32534"/>
    <cellStyle name="Normal 5 2 13 5 3" xfId="24309"/>
    <cellStyle name="Normal 5 2 13 5 4" xfId="40763"/>
    <cellStyle name="Normal 5 2 13 6" xfId="9504"/>
    <cellStyle name="Normal 5 2 13 6 2" xfId="25954"/>
    <cellStyle name="Normal 5 2 13 7" xfId="17728"/>
    <cellStyle name="Normal 5 2 13 8" xfId="34182"/>
    <cellStyle name="Normal 5 2 14" xfId="1509"/>
    <cellStyle name="Normal 5 2 14 2" xfId="3159"/>
    <cellStyle name="Normal 5 2 14 2 2" xfId="11384"/>
    <cellStyle name="Normal 5 2 14 2 2 2" xfId="27834"/>
    <cellStyle name="Normal 5 2 14 2 3" xfId="19609"/>
    <cellStyle name="Normal 5 2 14 2 4" xfId="36063"/>
    <cellStyle name="Normal 5 2 14 3" xfId="4804"/>
    <cellStyle name="Normal 5 2 14 3 2" xfId="13029"/>
    <cellStyle name="Normal 5 2 14 3 2 2" xfId="29479"/>
    <cellStyle name="Normal 5 2 14 3 3" xfId="21254"/>
    <cellStyle name="Normal 5 2 14 3 4" xfId="37708"/>
    <cellStyle name="Normal 5 2 14 4" xfId="6449"/>
    <cellStyle name="Normal 5 2 14 4 2" xfId="14674"/>
    <cellStyle name="Normal 5 2 14 4 2 2" xfId="31124"/>
    <cellStyle name="Normal 5 2 14 4 3" xfId="22899"/>
    <cellStyle name="Normal 5 2 14 4 4" xfId="39353"/>
    <cellStyle name="Normal 5 2 14 5" xfId="8094"/>
    <cellStyle name="Normal 5 2 14 5 2" xfId="16319"/>
    <cellStyle name="Normal 5 2 14 5 2 2" xfId="32769"/>
    <cellStyle name="Normal 5 2 14 5 3" xfId="24544"/>
    <cellStyle name="Normal 5 2 14 5 4" xfId="40998"/>
    <cellStyle name="Normal 5 2 14 6" xfId="9739"/>
    <cellStyle name="Normal 5 2 14 6 2" xfId="26189"/>
    <cellStyle name="Normal 5 2 14 7" xfId="17963"/>
    <cellStyle name="Normal 5 2 14 8" xfId="34417"/>
    <cellStyle name="Normal 5 2 15" xfId="1744"/>
    <cellStyle name="Normal 5 2 15 2" xfId="9974"/>
    <cellStyle name="Normal 5 2 15 2 2" xfId="26424"/>
    <cellStyle name="Normal 5 2 15 3" xfId="18198"/>
    <cellStyle name="Normal 5 2 15 4" xfId="34652"/>
    <cellStyle name="Normal 5 2 16" xfId="3394"/>
    <cellStyle name="Normal 5 2 16 2" xfId="11619"/>
    <cellStyle name="Normal 5 2 16 2 2" xfId="28069"/>
    <cellStyle name="Normal 5 2 16 3" xfId="19844"/>
    <cellStyle name="Normal 5 2 16 4" xfId="36298"/>
    <cellStyle name="Normal 5 2 17" xfId="5039"/>
    <cellStyle name="Normal 5 2 17 2" xfId="13264"/>
    <cellStyle name="Normal 5 2 17 2 2" xfId="29714"/>
    <cellStyle name="Normal 5 2 17 3" xfId="21489"/>
    <cellStyle name="Normal 5 2 17 4" xfId="37943"/>
    <cellStyle name="Normal 5 2 18" xfId="6684"/>
    <cellStyle name="Normal 5 2 18 2" xfId="14909"/>
    <cellStyle name="Normal 5 2 18 2 2" xfId="31359"/>
    <cellStyle name="Normal 5 2 18 3" xfId="23134"/>
    <cellStyle name="Normal 5 2 18 4" xfId="39588"/>
    <cellStyle name="Normal 5 2 19" xfId="8329"/>
    <cellStyle name="Normal 5 2 19 2" xfId="24779"/>
    <cellStyle name="Normal 5 2 2" xfId="65"/>
    <cellStyle name="Normal 5 2 2 10" xfId="3419"/>
    <cellStyle name="Normal 5 2 2 10 2" xfId="11644"/>
    <cellStyle name="Normal 5 2 2 10 2 2" xfId="28094"/>
    <cellStyle name="Normal 5 2 2 10 3" xfId="19869"/>
    <cellStyle name="Normal 5 2 2 10 4" xfId="36323"/>
    <cellStyle name="Normal 5 2 2 11" xfId="5064"/>
    <cellStyle name="Normal 5 2 2 11 2" xfId="13289"/>
    <cellStyle name="Normal 5 2 2 11 2 2" xfId="29739"/>
    <cellStyle name="Normal 5 2 2 11 3" xfId="21514"/>
    <cellStyle name="Normal 5 2 2 11 4" xfId="37968"/>
    <cellStyle name="Normal 5 2 2 12" xfId="6709"/>
    <cellStyle name="Normal 5 2 2 12 2" xfId="14934"/>
    <cellStyle name="Normal 5 2 2 12 2 2" xfId="31384"/>
    <cellStyle name="Normal 5 2 2 12 3" xfId="23159"/>
    <cellStyle name="Normal 5 2 2 12 4" xfId="39613"/>
    <cellStyle name="Normal 5 2 2 13" xfId="8354"/>
    <cellStyle name="Normal 5 2 2 13 2" xfId="24804"/>
    <cellStyle name="Normal 5 2 2 14" xfId="16578"/>
    <cellStyle name="Normal 5 2 2 15" xfId="33031"/>
    <cellStyle name="Normal 5 2 2 16" xfId="41259"/>
    <cellStyle name="Normal 5 2 2 2" xfId="115"/>
    <cellStyle name="Normal 5 2 2 2 10" xfId="5114"/>
    <cellStyle name="Normal 5 2 2 2 10 2" xfId="13339"/>
    <cellStyle name="Normal 5 2 2 2 10 2 2" xfId="29789"/>
    <cellStyle name="Normal 5 2 2 2 10 3" xfId="21564"/>
    <cellStyle name="Normal 5 2 2 2 10 4" xfId="38018"/>
    <cellStyle name="Normal 5 2 2 2 11" xfId="6759"/>
    <cellStyle name="Normal 5 2 2 2 11 2" xfId="14984"/>
    <cellStyle name="Normal 5 2 2 2 11 2 2" xfId="31434"/>
    <cellStyle name="Normal 5 2 2 2 11 3" xfId="23209"/>
    <cellStyle name="Normal 5 2 2 2 11 4" xfId="39663"/>
    <cellStyle name="Normal 5 2 2 2 12" xfId="8404"/>
    <cellStyle name="Normal 5 2 2 2 12 2" xfId="24854"/>
    <cellStyle name="Normal 5 2 2 2 13" xfId="16628"/>
    <cellStyle name="Normal 5 2 2 2 14" xfId="33081"/>
    <cellStyle name="Normal 5 2 2 2 15" xfId="41309"/>
    <cellStyle name="Normal 5 2 2 2 2" xfId="358"/>
    <cellStyle name="Normal 5 2 2 2 2 2" xfId="2057"/>
    <cellStyle name="Normal 5 2 2 2 2 2 2" xfId="10284"/>
    <cellStyle name="Normal 5 2 2 2 2 2 2 2" xfId="26734"/>
    <cellStyle name="Normal 5 2 2 2 2 2 3" xfId="18509"/>
    <cellStyle name="Normal 5 2 2 2 2 2 4" xfId="34963"/>
    <cellStyle name="Normal 5 2 2 2 2 3" xfId="3704"/>
    <cellStyle name="Normal 5 2 2 2 2 3 2" xfId="11929"/>
    <cellStyle name="Normal 5 2 2 2 2 3 2 2" xfId="28379"/>
    <cellStyle name="Normal 5 2 2 2 2 3 3" xfId="20154"/>
    <cellStyle name="Normal 5 2 2 2 2 3 4" xfId="36608"/>
    <cellStyle name="Normal 5 2 2 2 2 4" xfId="5349"/>
    <cellStyle name="Normal 5 2 2 2 2 4 2" xfId="13574"/>
    <cellStyle name="Normal 5 2 2 2 2 4 2 2" xfId="30024"/>
    <cellStyle name="Normal 5 2 2 2 2 4 3" xfId="21799"/>
    <cellStyle name="Normal 5 2 2 2 2 4 4" xfId="38253"/>
    <cellStyle name="Normal 5 2 2 2 2 5" xfId="6994"/>
    <cellStyle name="Normal 5 2 2 2 2 5 2" xfId="15219"/>
    <cellStyle name="Normal 5 2 2 2 2 5 2 2" xfId="31669"/>
    <cellStyle name="Normal 5 2 2 2 2 5 3" xfId="23444"/>
    <cellStyle name="Normal 5 2 2 2 2 5 4" xfId="39898"/>
    <cellStyle name="Normal 5 2 2 2 2 6" xfId="8639"/>
    <cellStyle name="Normal 5 2 2 2 2 6 2" xfId="25089"/>
    <cellStyle name="Normal 5 2 2 2 2 7" xfId="16863"/>
    <cellStyle name="Normal 5 2 2 2 2 8" xfId="33317"/>
    <cellStyle name="Normal 5 2 2 2 2 9" xfId="41544"/>
    <cellStyle name="Normal 5 2 2 2 3" xfId="599"/>
    <cellStyle name="Normal 5 2 2 2 3 2" xfId="2294"/>
    <cellStyle name="Normal 5 2 2 2 3 2 2" xfId="10519"/>
    <cellStyle name="Normal 5 2 2 2 3 2 2 2" xfId="26969"/>
    <cellStyle name="Normal 5 2 2 2 3 2 3" xfId="18744"/>
    <cellStyle name="Normal 5 2 2 2 3 2 4" xfId="35198"/>
    <cellStyle name="Normal 5 2 2 2 3 3" xfId="3939"/>
    <cellStyle name="Normal 5 2 2 2 3 3 2" xfId="12164"/>
    <cellStyle name="Normal 5 2 2 2 3 3 2 2" xfId="28614"/>
    <cellStyle name="Normal 5 2 2 2 3 3 3" xfId="20389"/>
    <cellStyle name="Normal 5 2 2 2 3 3 4" xfId="36843"/>
    <cellStyle name="Normal 5 2 2 2 3 4" xfId="5584"/>
    <cellStyle name="Normal 5 2 2 2 3 4 2" xfId="13809"/>
    <cellStyle name="Normal 5 2 2 2 3 4 2 2" xfId="30259"/>
    <cellStyle name="Normal 5 2 2 2 3 4 3" xfId="22034"/>
    <cellStyle name="Normal 5 2 2 2 3 4 4" xfId="38488"/>
    <cellStyle name="Normal 5 2 2 2 3 5" xfId="7229"/>
    <cellStyle name="Normal 5 2 2 2 3 5 2" xfId="15454"/>
    <cellStyle name="Normal 5 2 2 2 3 5 2 2" xfId="31904"/>
    <cellStyle name="Normal 5 2 2 2 3 5 3" xfId="23679"/>
    <cellStyle name="Normal 5 2 2 2 3 5 4" xfId="40133"/>
    <cellStyle name="Normal 5 2 2 2 3 6" xfId="8874"/>
    <cellStyle name="Normal 5 2 2 2 3 6 2" xfId="25324"/>
    <cellStyle name="Normal 5 2 2 2 3 7" xfId="17098"/>
    <cellStyle name="Normal 5 2 2 2 3 8" xfId="33552"/>
    <cellStyle name="Normal 5 2 2 2 3 9" xfId="41779"/>
    <cellStyle name="Normal 5 2 2 2 4" xfId="834"/>
    <cellStyle name="Normal 5 2 2 2 4 2" xfId="2529"/>
    <cellStyle name="Normal 5 2 2 2 4 2 2" xfId="10754"/>
    <cellStyle name="Normal 5 2 2 2 4 2 2 2" xfId="27204"/>
    <cellStyle name="Normal 5 2 2 2 4 2 3" xfId="18979"/>
    <cellStyle name="Normal 5 2 2 2 4 2 4" xfId="35433"/>
    <cellStyle name="Normal 5 2 2 2 4 3" xfId="4174"/>
    <cellStyle name="Normal 5 2 2 2 4 3 2" xfId="12399"/>
    <cellStyle name="Normal 5 2 2 2 4 3 2 2" xfId="28849"/>
    <cellStyle name="Normal 5 2 2 2 4 3 3" xfId="20624"/>
    <cellStyle name="Normal 5 2 2 2 4 3 4" xfId="37078"/>
    <cellStyle name="Normal 5 2 2 2 4 4" xfId="5819"/>
    <cellStyle name="Normal 5 2 2 2 4 4 2" xfId="14044"/>
    <cellStyle name="Normal 5 2 2 2 4 4 2 2" xfId="30494"/>
    <cellStyle name="Normal 5 2 2 2 4 4 3" xfId="22269"/>
    <cellStyle name="Normal 5 2 2 2 4 4 4" xfId="38723"/>
    <cellStyle name="Normal 5 2 2 2 4 5" xfId="7464"/>
    <cellStyle name="Normal 5 2 2 2 4 5 2" xfId="15689"/>
    <cellStyle name="Normal 5 2 2 2 4 5 2 2" xfId="32139"/>
    <cellStyle name="Normal 5 2 2 2 4 5 3" xfId="23914"/>
    <cellStyle name="Normal 5 2 2 2 4 5 4" xfId="40368"/>
    <cellStyle name="Normal 5 2 2 2 4 6" xfId="9109"/>
    <cellStyle name="Normal 5 2 2 2 4 6 2" xfId="25559"/>
    <cellStyle name="Normal 5 2 2 2 4 7" xfId="17333"/>
    <cellStyle name="Normal 5 2 2 2 4 8" xfId="33787"/>
    <cellStyle name="Normal 5 2 2 2 4 9" xfId="42014"/>
    <cellStyle name="Normal 5 2 2 2 5" xfId="1069"/>
    <cellStyle name="Normal 5 2 2 2 5 2" xfId="2764"/>
    <cellStyle name="Normal 5 2 2 2 5 2 2" xfId="10989"/>
    <cellStyle name="Normal 5 2 2 2 5 2 2 2" xfId="27439"/>
    <cellStyle name="Normal 5 2 2 2 5 2 3" xfId="19214"/>
    <cellStyle name="Normal 5 2 2 2 5 2 4" xfId="35668"/>
    <cellStyle name="Normal 5 2 2 2 5 3" xfId="4409"/>
    <cellStyle name="Normal 5 2 2 2 5 3 2" xfId="12634"/>
    <cellStyle name="Normal 5 2 2 2 5 3 2 2" xfId="29084"/>
    <cellStyle name="Normal 5 2 2 2 5 3 3" xfId="20859"/>
    <cellStyle name="Normal 5 2 2 2 5 3 4" xfId="37313"/>
    <cellStyle name="Normal 5 2 2 2 5 4" xfId="6054"/>
    <cellStyle name="Normal 5 2 2 2 5 4 2" xfId="14279"/>
    <cellStyle name="Normal 5 2 2 2 5 4 2 2" xfId="30729"/>
    <cellStyle name="Normal 5 2 2 2 5 4 3" xfId="22504"/>
    <cellStyle name="Normal 5 2 2 2 5 4 4" xfId="38958"/>
    <cellStyle name="Normal 5 2 2 2 5 5" xfId="7699"/>
    <cellStyle name="Normal 5 2 2 2 5 5 2" xfId="15924"/>
    <cellStyle name="Normal 5 2 2 2 5 5 2 2" xfId="32374"/>
    <cellStyle name="Normal 5 2 2 2 5 5 3" xfId="24149"/>
    <cellStyle name="Normal 5 2 2 2 5 5 4" xfId="40603"/>
    <cellStyle name="Normal 5 2 2 2 5 6" xfId="9344"/>
    <cellStyle name="Normal 5 2 2 2 5 6 2" xfId="25794"/>
    <cellStyle name="Normal 5 2 2 2 5 7" xfId="17568"/>
    <cellStyle name="Normal 5 2 2 2 5 8" xfId="34022"/>
    <cellStyle name="Normal 5 2 2 2 5 9" xfId="42249"/>
    <cellStyle name="Normal 5 2 2 2 6" xfId="1349"/>
    <cellStyle name="Normal 5 2 2 2 6 2" xfId="2999"/>
    <cellStyle name="Normal 5 2 2 2 6 2 2" xfId="11224"/>
    <cellStyle name="Normal 5 2 2 2 6 2 2 2" xfId="27674"/>
    <cellStyle name="Normal 5 2 2 2 6 2 3" xfId="19449"/>
    <cellStyle name="Normal 5 2 2 2 6 2 4" xfId="35903"/>
    <cellStyle name="Normal 5 2 2 2 6 3" xfId="4644"/>
    <cellStyle name="Normal 5 2 2 2 6 3 2" xfId="12869"/>
    <cellStyle name="Normal 5 2 2 2 6 3 2 2" xfId="29319"/>
    <cellStyle name="Normal 5 2 2 2 6 3 3" xfId="21094"/>
    <cellStyle name="Normal 5 2 2 2 6 3 4" xfId="37548"/>
    <cellStyle name="Normal 5 2 2 2 6 4" xfId="6289"/>
    <cellStyle name="Normal 5 2 2 2 6 4 2" xfId="14514"/>
    <cellStyle name="Normal 5 2 2 2 6 4 2 2" xfId="30964"/>
    <cellStyle name="Normal 5 2 2 2 6 4 3" xfId="22739"/>
    <cellStyle name="Normal 5 2 2 2 6 4 4" xfId="39193"/>
    <cellStyle name="Normal 5 2 2 2 6 5" xfId="7934"/>
    <cellStyle name="Normal 5 2 2 2 6 5 2" xfId="16159"/>
    <cellStyle name="Normal 5 2 2 2 6 5 2 2" xfId="32609"/>
    <cellStyle name="Normal 5 2 2 2 6 5 3" xfId="24384"/>
    <cellStyle name="Normal 5 2 2 2 6 5 4" xfId="40838"/>
    <cellStyle name="Normal 5 2 2 2 6 6" xfId="9579"/>
    <cellStyle name="Normal 5 2 2 2 6 6 2" xfId="26029"/>
    <cellStyle name="Normal 5 2 2 2 6 7" xfId="17803"/>
    <cellStyle name="Normal 5 2 2 2 6 8" xfId="34257"/>
    <cellStyle name="Normal 5 2 2 2 7" xfId="1584"/>
    <cellStyle name="Normal 5 2 2 2 7 2" xfId="3234"/>
    <cellStyle name="Normal 5 2 2 2 7 2 2" xfId="11459"/>
    <cellStyle name="Normal 5 2 2 2 7 2 2 2" xfId="27909"/>
    <cellStyle name="Normal 5 2 2 2 7 2 3" xfId="19684"/>
    <cellStyle name="Normal 5 2 2 2 7 2 4" xfId="36138"/>
    <cellStyle name="Normal 5 2 2 2 7 3" xfId="4879"/>
    <cellStyle name="Normal 5 2 2 2 7 3 2" xfId="13104"/>
    <cellStyle name="Normal 5 2 2 2 7 3 2 2" xfId="29554"/>
    <cellStyle name="Normal 5 2 2 2 7 3 3" xfId="21329"/>
    <cellStyle name="Normal 5 2 2 2 7 3 4" xfId="37783"/>
    <cellStyle name="Normal 5 2 2 2 7 4" xfId="6524"/>
    <cellStyle name="Normal 5 2 2 2 7 4 2" xfId="14749"/>
    <cellStyle name="Normal 5 2 2 2 7 4 2 2" xfId="31199"/>
    <cellStyle name="Normal 5 2 2 2 7 4 3" xfId="22974"/>
    <cellStyle name="Normal 5 2 2 2 7 4 4" xfId="39428"/>
    <cellStyle name="Normal 5 2 2 2 7 5" xfId="8169"/>
    <cellStyle name="Normal 5 2 2 2 7 5 2" xfId="16394"/>
    <cellStyle name="Normal 5 2 2 2 7 5 2 2" xfId="32844"/>
    <cellStyle name="Normal 5 2 2 2 7 5 3" xfId="24619"/>
    <cellStyle name="Normal 5 2 2 2 7 5 4" xfId="41073"/>
    <cellStyle name="Normal 5 2 2 2 7 6" xfId="9814"/>
    <cellStyle name="Normal 5 2 2 2 7 6 2" xfId="26264"/>
    <cellStyle name="Normal 5 2 2 2 7 7" xfId="18038"/>
    <cellStyle name="Normal 5 2 2 2 7 8" xfId="34492"/>
    <cellStyle name="Normal 5 2 2 2 8" xfId="1819"/>
    <cellStyle name="Normal 5 2 2 2 8 2" xfId="10049"/>
    <cellStyle name="Normal 5 2 2 2 8 2 2" xfId="26499"/>
    <cellStyle name="Normal 5 2 2 2 8 3" xfId="18273"/>
    <cellStyle name="Normal 5 2 2 2 8 4" xfId="34727"/>
    <cellStyle name="Normal 5 2 2 2 9" xfId="3469"/>
    <cellStyle name="Normal 5 2 2 2 9 2" xfId="11694"/>
    <cellStyle name="Normal 5 2 2 2 9 2 2" xfId="28144"/>
    <cellStyle name="Normal 5 2 2 2 9 3" xfId="19919"/>
    <cellStyle name="Normal 5 2 2 2 9 4" xfId="36373"/>
    <cellStyle name="Normal 5 2 2 3" xfId="308"/>
    <cellStyle name="Normal 5 2 2 3 2" xfId="2007"/>
    <cellStyle name="Normal 5 2 2 3 2 2" xfId="10234"/>
    <cellStyle name="Normal 5 2 2 3 2 2 2" xfId="26684"/>
    <cellStyle name="Normal 5 2 2 3 2 3" xfId="18459"/>
    <cellStyle name="Normal 5 2 2 3 2 4" xfId="34913"/>
    <cellStyle name="Normal 5 2 2 3 3" xfId="3654"/>
    <cellStyle name="Normal 5 2 2 3 3 2" xfId="11879"/>
    <cellStyle name="Normal 5 2 2 3 3 2 2" xfId="28329"/>
    <cellStyle name="Normal 5 2 2 3 3 3" xfId="20104"/>
    <cellStyle name="Normal 5 2 2 3 3 4" xfId="36558"/>
    <cellStyle name="Normal 5 2 2 3 4" xfId="5299"/>
    <cellStyle name="Normal 5 2 2 3 4 2" xfId="13524"/>
    <cellStyle name="Normal 5 2 2 3 4 2 2" xfId="29974"/>
    <cellStyle name="Normal 5 2 2 3 4 3" xfId="21749"/>
    <cellStyle name="Normal 5 2 2 3 4 4" xfId="38203"/>
    <cellStyle name="Normal 5 2 2 3 5" xfId="6944"/>
    <cellStyle name="Normal 5 2 2 3 5 2" xfId="15169"/>
    <cellStyle name="Normal 5 2 2 3 5 2 2" xfId="31619"/>
    <cellStyle name="Normal 5 2 2 3 5 3" xfId="23394"/>
    <cellStyle name="Normal 5 2 2 3 5 4" xfId="39848"/>
    <cellStyle name="Normal 5 2 2 3 6" xfId="8589"/>
    <cellStyle name="Normal 5 2 2 3 6 2" xfId="25039"/>
    <cellStyle name="Normal 5 2 2 3 7" xfId="16813"/>
    <cellStyle name="Normal 5 2 2 3 8" xfId="33267"/>
    <cellStyle name="Normal 5 2 2 3 9" xfId="41494"/>
    <cellStyle name="Normal 5 2 2 4" xfId="549"/>
    <cellStyle name="Normal 5 2 2 4 2" xfId="2244"/>
    <cellStyle name="Normal 5 2 2 4 2 2" xfId="10469"/>
    <cellStyle name="Normal 5 2 2 4 2 2 2" xfId="26919"/>
    <cellStyle name="Normal 5 2 2 4 2 3" xfId="18694"/>
    <cellStyle name="Normal 5 2 2 4 2 4" xfId="35148"/>
    <cellStyle name="Normal 5 2 2 4 3" xfId="3889"/>
    <cellStyle name="Normal 5 2 2 4 3 2" xfId="12114"/>
    <cellStyle name="Normal 5 2 2 4 3 2 2" xfId="28564"/>
    <cellStyle name="Normal 5 2 2 4 3 3" xfId="20339"/>
    <cellStyle name="Normal 5 2 2 4 3 4" xfId="36793"/>
    <cellStyle name="Normal 5 2 2 4 4" xfId="5534"/>
    <cellStyle name="Normal 5 2 2 4 4 2" xfId="13759"/>
    <cellStyle name="Normal 5 2 2 4 4 2 2" xfId="30209"/>
    <cellStyle name="Normal 5 2 2 4 4 3" xfId="21984"/>
    <cellStyle name="Normal 5 2 2 4 4 4" xfId="38438"/>
    <cellStyle name="Normal 5 2 2 4 5" xfId="7179"/>
    <cellStyle name="Normal 5 2 2 4 5 2" xfId="15404"/>
    <cellStyle name="Normal 5 2 2 4 5 2 2" xfId="31854"/>
    <cellStyle name="Normal 5 2 2 4 5 3" xfId="23629"/>
    <cellStyle name="Normal 5 2 2 4 5 4" xfId="40083"/>
    <cellStyle name="Normal 5 2 2 4 6" xfId="8824"/>
    <cellStyle name="Normal 5 2 2 4 6 2" xfId="25274"/>
    <cellStyle name="Normal 5 2 2 4 7" xfId="17048"/>
    <cellStyle name="Normal 5 2 2 4 8" xfId="33502"/>
    <cellStyle name="Normal 5 2 2 4 9" xfId="41729"/>
    <cellStyle name="Normal 5 2 2 5" xfId="784"/>
    <cellStyle name="Normal 5 2 2 5 2" xfId="2479"/>
    <cellStyle name="Normal 5 2 2 5 2 2" xfId="10704"/>
    <cellStyle name="Normal 5 2 2 5 2 2 2" xfId="27154"/>
    <cellStyle name="Normal 5 2 2 5 2 3" xfId="18929"/>
    <cellStyle name="Normal 5 2 2 5 2 4" xfId="35383"/>
    <cellStyle name="Normal 5 2 2 5 3" xfId="4124"/>
    <cellStyle name="Normal 5 2 2 5 3 2" xfId="12349"/>
    <cellStyle name="Normal 5 2 2 5 3 2 2" xfId="28799"/>
    <cellStyle name="Normal 5 2 2 5 3 3" xfId="20574"/>
    <cellStyle name="Normal 5 2 2 5 3 4" xfId="37028"/>
    <cellStyle name="Normal 5 2 2 5 4" xfId="5769"/>
    <cellStyle name="Normal 5 2 2 5 4 2" xfId="13994"/>
    <cellStyle name="Normal 5 2 2 5 4 2 2" xfId="30444"/>
    <cellStyle name="Normal 5 2 2 5 4 3" xfId="22219"/>
    <cellStyle name="Normal 5 2 2 5 4 4" xfId="38673"/>
    <cellStyle name="Normal 5 2 2 5 5" xfId="7414"/>
    <cellStyle name="Normal 5 2 2 5 5 2" xfId="15639"/>
    <cellStyle name="Normal 5 2 2 5 5 2 2" xfId="32089"/>
    <cellStyle name="Normal 5 2 2 5 5 3" xfId="23864"/>
    <cellStyle name="Normal 5 2 2 5 5 4" xfId="40318"/>
    <cellStyle name="Normal 5 2 2 5 6" xfId="9059"/>
    <cellStyle name="Normal 5 2 2 5 6 2" xfId="25509"/>
    <cellStyle name="Normal 5 2 2 5 7" xfId="17283"/>
    <cellStyle name="Normal 5 2 2 5 8" xfId="33737"/>
    <cellStyle name="Normal 5 2 2 5 9" xfId="41964"/>
    <cellStyle name="Normal 5 2 2 6" xfId="1019"/>
    <cellStyle name="Normal 5 2 2 6 2" xfId="2714"/>
    <cellStyle name="Normal 5 2 2 6 2 2" xfId="10939"/>
    <cellStyle name="Normal 5 2 2 6 2 2 2" xfId="27389"/>
    <cellStyle name="Normal 5 2 2 6 2 3" xfId="19164"/>
    <cellStyle name="Normal 5 2 2 6 2 4" xfId="35618"/>
    <cellStyle name="Normal 5 2 2 6 3" xfId="4359"/>
    <cellStyle name="Normal 5 2 2 6 3 2" xfId="12584"/>
    <cellStyle name="Normal 5 2 2 6 3 2 2" xfId="29034"/>
    <cellStyle name="Normal 5 2 2 6 3 3" xfId="20809"/>
    <cellStyle name="Normal 5 2 2 6 3 4" xfId="37263"/>
    <cellStyle name="Normal 5 2 2 6 4" xfId="6004"/>
    <cellStyle name="Normal 5 2 2 6 4 2" xfId="14229"/>
    <cellStyle name="Normal 5 2 2 6 4 2 2" xfId="30679"/>
    <cellStyle name="Normal 5 2 2 6 4 3" xfId="22454"/>
    <cellStyle name="Normal 5 2 2 6 4 4" xfId="38908"/>
    <cellStyle name="Normal 5 2 2 6 5" xfId="7649"/>
    <cellStyle name="Normal 5 2 2 6 5 2" xfId="15874"/>
    <cellStyle name="Normal 5 2 2 6 5 2 2" xfId="32324"/>
    <cellStyle name="Normal 5 2 2 6 5 3" xfId="24099"/>
    <cellStyle name="Normal 5 2 2 6 5 4" xfId="40553"/>
    <cellStyle name="Normal 5 2 2 6 6" xfId="9294"/>
    <cellStyle name="Normal 5 2 2 6 6 2" xfId="25744"/>
    <cellStyle name="Normal 5 2 2 6 7" xfId="17518"/>
    <cellStyle name="Normal 5 2 2 6 8" xfId="33972"/>
    <cellStyle name="Normal 5 2 2 6 9" xfId="42199"/>
    <cellStyle name="Normal 5 2 2 7" xfId="1299"/>
    <cellStyle name="Normal 5 2 2 7 2" xfId="2949"/>
    <cellStyle name="Normal 5 2 2 7 2 2" xfId="11174"/>
    <cellStyle name="Normal 5 2 2 7 2 2 2" xfId="27624"/>
    <cellStyle name="Normal 5 2 2 7 2 3" xfId="19399"/>
    <cellStyle name="Normal 5 2 2 7 2 4" xfId="35853"/>
    <cellStyle name="Normal 5 2 2 7 3" xfId="4594"/>
    <cellStyle name="Normal 5 2 2 7 3 2" xfId="12819"/>
    <cellStyle name="Normal 5 2 2 7 3 2 2" xfId="29269"/>
    <cellStyle name="Normal 5 2 2 7 3 3" xfId="21044"/>
    <cellStyle name="Normal 5 2 2 7 3 4" xfId="37498"/>
    <cellStyle name="Normal 5 2 2 7 4" xfId="6239"/>
    <cellStyle name="Normal 5 2 2 7 4 2" xfId="14464"/>
    <cellStyle name="Normal 5 2 2 7 4 2 2" xfId="30914"/>
    <cellStyle name="Normal 5 2 2 7 4 3" xfId="22689"/>
    <cellStyle name="Normal 5 2 2 7 4 4" xfId="39143"/>
    <cellStyle name="Normal 5 2 2 7 5" xfId="7884"/>
    <cellStyle name="Normal 5 2 2 7 5 2" xfId="16109"/>
    <cellStyle name="Normal 5 2 2 7 5 2 2" xfId="32559"/>
    <cellStyle name="Normal 5 2 2 7 5 3" xfId="24334"/>
    <cellStyle name="Normal 5 2 2 7 5 4" xfId="40788"/>
    <cellStyle name="Normal 5 2 2 7 6" xfId="9529"/>
    <cellStyle name="Normal 5 2 2 7 6 2" xfId="25979"/>
    <cellStyle name="Normal 5 2 2 7 7" xfId="17753"/>
    <cellStyle name="Normal 5 2 2 7 8" xfId="34207"/>
    <cellStyle name="Normal 5 2 2 8" xfId="1534"/>
    <cellStyle name="Normal 5 2 2 8 2" xfId="3184"/>
    <cellStyle name="Normal 5 2 2 8 2 2" xfId="11409"/>
    <cellStyle name="Normal 5 2 2 8 2 2 2" xfId="27859"/>
    <cellStyle name="Normal 5 2 2 8 2 3" xfId="19634"/>
    <cellStyle name="Normal 5 2 2 8 2 4" xfId="36088"/>
    <cellStyle name="Normal 5 2 2 8 3" xfId="4829"/>
    <cellStyle name="Normal 5 2 2 8 3 2" xfId="13054"/>
    <cellStyle name="Normal 5 2 2 8 3 2 2" xfId="29504"/>
    <cellStyle name="Normal 5 2 2 8 3 3" xfId="21279"/>
    <cellStyle name="Normal 5 2 2 8 3 4" xfId="37733"/>
    <cellStyle name="Normal 5 2 2 8 4" xfId="6474"/>
    <cellStyle name="Normal 5 2 2 8 4 2" xfId="14699"/>
    <cellStyle name="Normal 5 2 2 8 4 2 2" xfId="31149"/>
    <cellStyle name="Normal 5 2 2 8 4 3" xfId="22924"/>
    <cellStyle name="Normal 5 2 2 8 4 4" xfId="39378"/>
    <cellStyle name="Normal 5 2 2 8 5" xfId="8119"/>
    <cellStyle name="Normal 5 2 2 8 5 2" xfId="16344"/>
    <cellStyle name="Normal 5 2 2 8 5 2 2" xfId="32794"/>
    <cellStyle name="Normal 5 2 2 8 5 3" xfId="24569"/>
    <cellStyle name="Normal 5 2 2 8 5 4" xfId="41023"/>
    <cellStyle name="Normal 5 2 2 8 6" xfId="9764"/>
    <cellStyle name="Normal 5 2 2 8 6 2" xfId="26214"/>
    <cellStyle name="Normal 5 2 2 8 7" xfId="17988"/>
    <cellStyle name="Normal 5 2 2 8 8" xfId="34442"/>
    <cellStyle name="Normal 5 2 2 9" xfId="1769"/>
    <cellStyle name="Normal 5 2 2 9 2" xfId="9999"/>
    <cellStyle name="Normal 5 2 2 9 2 2" xfId="26449"/>
    <cellStyle name="Normal 5 2 2 9 3" xfId="18223"/>
    <cellStyle name="Normal 5 2 2 9 4" xfId="34677"/>
    <cellStyle name="Normal 5 2 20" xfId="16553"/>
    <cellStyle name="Normal 5 2 21" xfId="33006"/>
    <cellStyle name="Normal 5 2 22" xfId="41234"/>
    <cellStyle name="Normal 5 2 3" xfId="90"/>
    <cellStyle name="Normal 5 2 3 10" xfId="5089"/>
    <cellStyle name="Normal 5 2 3 10 2" xfId="13314"/>
    <cellStyle name="Normal 5 2 3 10 2 2" xfId="29764"/>
    <cellStyle name="Normal 5 2 3 10 3" xfId="21539"/>
    <cellStyle name="Normal 5 2 3 10 4" xfId="37993"/>
    <cellStyle name="Normal 5 2 3 11" xfId="6734"/>
    <cellStyle name="Normal 5 2 3 11 2" xfId="14959"/>
    <cellStyle name="Normal 5 2 3 11 2 2" xfId="31409"/>
    <cellStyle name="Normal 5 2 3 11 3" xfId="23184"/>
    <cellStyle name="Normal 5 2 3 11 4" xfId="39638"/>
    <cellStyle name="Normal 5 2 3 12" xfId="8379"/>
    <cellStyle name="Normal 5 2 3 12 2" xfId="24829"/>
    <cellStyle name="Normal 5 2 3 13" xfId="16603"/>
    <cellStyle name="Normal 5 2 3 14" xfId="33056"/>
    <cellStyle name="Normal 5 2 3 15" xfId="41284"/>
    <cellStyle name="Normal 5 2 3 2" xfId="333"/>
    <cellStyle name="Normal 5 2 3 2 2" xfId="2032"/>
    <cellStyle name="Normal 5 2 3 2 2 2" xfId="10259"/>
    <cellStyle name="Normal 5 2 3 2 2 2 2" xfId="26709"/>
    <cellStyle name="Normal 5 2 3 2 2 3" xfId="18484"/>
    <cellStyle name="Normal 5 2 3 2 2 4" xfId="34938"/>
    <cellStyle name="Normal 5 2 3 2 3" xfId="3679"/>
    <cellStyle name="Normal 5 2 3 2 3 2" xfId="11904"/>
    <cellStyle name="Normal 5 2 3 2 3 2 2" xfId="28354"/>
    <cellStyle name="Normal 5 2 3 2 3 3" xfId="20129"/>
    <cellStyle name="Normal 5 2 3 2 3 4" xfId="36583"/>
    <cellStyle name="Normal 5 2 3 2 4" xfId="5324"/>
    <cellStyle name="Normal 5 2 3 2 4 2" xfId="13549"/>
    <cellStyle name="Normal 5 2 3 2 4 2 2" xfId="29999"/>
    <cellStyle name="Normal 5 2 3 2 4 3" xfId="21774"/>
    <cellStyle name="Normal 5 2 3 2 4 4" xfId="38228"/>
    <cellStyle name="Normal 5 2 3 2 5" xfId="6969"/>
    <cellStyle name="Normal 5 2 3 2 5 2" xfId="15194"/>
    <cellStyle name="Normal 5 2 3 2 5 2 2" xfId="31644"/>
    <cellStyle name="Normal 5 2 3 2 5 3" xfId="23419"/>
    <cellStyle name="Normal 5 2 3 2 5 4" xfId="39873"/>
    <cellStyle name="Normal 5 2 3 2 6" xfId="8614"/>
    <cellStyle name="Normal 5 2 3 2 6 2" xfId="25064"/>
    <cellStyle name="Normal 5 2 3 2 7" xfId="16838"/>
    <cellStyle name="Normal 5 2 3 2 8" xfId="33292"/>
    <cellStyle name="Normal 5 2 3 2 9" xfId="41519"/>
    <cellStyle name="Normal 5 2 3 3" xfId="574"/>
    <cellStyle name="Normal 5 2 3 3 2" xfId="2269"/>
    <cellStyle name="Normal 5 2 3 3 2 2" xfId="10494"/>
    <cellStyle name="Normal 5 2 3 3 2 2 2" xfId="26944"/>
    <cellStyle name="Normal 5 2 3 3 2 3" xfId="18719"/>
    <cellStyle name="Normal 5 2 3 3 2 4" xfId="35173"/>
    <cellStyle name="Normal 5 2 3 3 3" xfId="3914"/>
    <cellStyle name="Normal 5 2 3 3 3 2" xfId="12139"/>
    <cellStyle name="Normal 5 2 3 3 3 2 2" xfId="28589"/>
    <cellStyle name="Normal 5 2 3 3 3 3" xfId="20364"/>
    <cellStyle name="Normal 5 2 3 3 3 4" xfId="36818"/>
    <cellStyle name="Normal 5 2 3 3 4" xfId="5559"/>
    <cellStyle name="Normal 5 2 3 3 4 2" xfId="13784"/>
    <cellStyle name="Normal 5 2 3 3 4 2 2" xfId="30234"/>
    <cellStyle name="Normal 5 2 3 3 4 3" xfId="22009"/>
    <cellStyle name="Normal 5 2 3 3 4 4" xfId="38463"/>
    <cellStyle name="Normal 5 2 3 3 5" xfId="7204"/>
    <cellStyle name="Normal 5 2 3 3 5 2" xfId="15429"/>
    <cellStyle name="Normal 5 2 3 3 5 2 2" xfId="31879"/>
    <cellStyle name="Normal 5 2 3 3 5 3" xfId="23654"/>
    <cellStyle name="Normal 5 2 3 3 5 4" xfId="40108"/>
    <cellStyle name="Normal 5 2 3 3 6" xfId="8849"/>
    <cellStyle name="Normal 5 2 3 3 6 2" xfId="25299"/>
    <cellStyle name="Normal 5 2 3 3 7" xfId="17073"/>
    <cellStyle name="Normal 5 2 3 3 8" xfId="33527"/>
    <cellStyle name="Normal 5 2 3 3 9" xfId="41754"/>
    <cellStyle name="Normal 5 2 3 4" xfId="809"/>
    <cellStyle name="Normal 5 2 3 4 2" xfId="2504"/>
    <cellStyle name="Normal 5 2 3 4 2 2" xfId="10729"/>
    <cellStyle name="Normal 5 2 3 4 2 2 2" xfId="27179"/>
    <cellStyle name="Normal 5 2 3 4 2 3" xfId="18954"/>
    <cellStyle name="Normal 5 2 3 4 2 4" xfId="35408"/>
    <cellStyle name="Normal 5 2 3 4 3" xfId="4149"/>
    <cellStyle name="Normal 5 2 3 4 3 2" xfId="12374"/>
    <cellStyle name="Normal 5 2 3 4 3 2 2" xfId="28824"/>
    <cellStyle name="Normal 5 2 3 4 3 3" xfId="20599"/>
    <cellStyle name="Normal 5 2 3 4 3 4" xfId="37053"/>
    <cellStyle name="Normal 5 2 3 4 4" xfId="5794"/>
    <cellStyle name="Normal 5 2 3 4 4 2" xfId="14019"/>
    <cellStyle name="Normal 5 2 3 4 4 2 2" xfId="30469"/>
    <cellStyle name="Normal 5 2 3 4 4 3" xfId="22244"/>
    <cellStyle name="Normal 5 2 3 4 4 4" xfId="38698"/>
    <cellStyle name="Normal 5 2 3 4 5" xfId="7439"/>
    <cellStyle name="Normal 5 2 3 4 5 2" xfId="15664"/>
    <cellStyle name="Normal 5 2 3 4 5 2 2" xfId="32114"/>
    <cellStyle name="Normal 5 2 3 4 5 3" xfId="23889"/>
    <cellStyle name="Normal 5 2 3 4 5 4" xfId="40343"/>
    <cellStyle name="Normal 5 2 3 4 6" xfId="9084"/>
    <cellStyle name="Normal 5 2 3 4 6 2" xfId="25534"/>
    <cellStyle name="Normal 5 2 3 4 7" xfId="17308"/>
    <cellStyle name="Normal 5 2 3 4 8" xfId="33762"/>
    <cellStyle name="Normal 5 2 3 4 9" xfId="41989"/>
    <cellStyle name="Normal 5 2 3 5" xfId="1044"/>
    <cellStyle name="Normal 5 2 3 5 2" xfId="2739"/>
    <cellStyle name="Normal 5 2 3 5 2 2" xfId="10964"/>
    <cellStyle name="Normal 5 2 3 5 2 2 2" xfId="27414"/>
    <cellStyle name="Normal 5 2 3 5 2 3" xfId="19189"/>
    <cellStyle name="Normal 5 2 3 5 2 4" xfId="35643"/>
    <cellStyle name="Normal 5 2 3 5 3" xfId="4384"/>
    <cellStyle name="Normal 5 2 3 5 3 2" xfId="12609"/>
    <cellStyle name="Normal 5 2 3 5 3 2 2" xfId="29059"/>
    <cellStyle name="Normal 5 2 3 5 3 3" xfId="20834"/>
    <cellStyle name="Normal 5 2 3 5 3 4" xfId="37288"/>
    <cellStyle name="Normal 5 2 3 5 4" xfId="6029"/>
    <cellStyle name="Normal 5 2 3 5 4 2" xfId="14254"/>
    <cellStyle name="Normal 5 2 3 5 4 2 2" xfId="30704"/>
    <cellStyle name="Normal 5 2 3 5 4 3" xfId="22479"/>
    <cellStyle name="Normal 5 2 3 5 4 4" xfId="38933"/>
    <cellStyle name="Normal 5 2 3 5 5" xfId="7674"/>
    <cellStyle name="Normal 5 2 3 5 5 2" xfId="15899"/>
    <cellStyle name="Normal 5 2 3 5 5 2 2" xfId="32349"/>
    <cellStyle name="Normal 5 2 3 5 5 3" xfId="24124"/>
    <cellStyle name="Normal 5 2 3 5 5 4" xfId="40578"/>
    <cellStyle name="Normal 5 2 3 5 6" xfId="9319"/>
    <cellStyle name="Normal 5 2 3 5 6 2" xfId="25769"/>
    <cellStyle name="Normal 5 2 3 5 7" xfId="17543"/>
    <cellStyle name="Normal 5 2 3 5 8" xfId="33997"/>
    <cellStyle name="Normal 5 2 3 5 9" xfId="42224"/>
    <cellStyle name="Normal 5 2 3 6" xfId="1324"/>
    <cellStyle name="Normal 5 2 3 6 2" xfId="2974"/>
    <cellStyle name="Normal 5 2 3 6 2 2" xfId="11199"/>
    <cellStyle name="Normal 5 2 3 6 2 2 2" xfId="27649"/>
    <cellStyle name="Normal 5 2 3 6 2 3" xfId="19424"/>
    <cellStyle name="Normal 5 2 3 6 2 4" xfId="35878"/>
    <cellStyle name="Normal 5 2 3 6 3" xfId="4619"/>
    <cellStyle name="Normal 5 2 3 6 3 2" xfId="12844"/>
    <cellStyle name="Normal 5 2 3 6 3 2 2" xfId="29294"/>
    <cellStyle name="Normal 5 2 3 6 3 3" xfId="21069"/>
    <cellStyle name="Normal 5 2 3 6 3 4" xfId="37523"/>
    <cellStyle name="Normal 5 2 3 6 4" xfId="6264"/>
    <cellStyle name="Normal 5 2 3 6 4 2" xfId="14489"/>
    <cellStyle name="Normal 5 2 3 6 4 2 2" xfId="30939"/>
    <cellStyle name="Normal 5 2 3 6 4 3" xfId="22714"/>
    <cellStyle name="Normal 5 2 3 6 4 4" xfId="39168"/>
    <cellStyle name="Normal 5 2 3 6 5" xfId="7909"/>
    <cellStyle name="Normal 5 2 3 6 5 2" xfId="16134"/>
    <cellStyle name="Normal 5 2 3 6 5 2 2" xfId="32584"/>
    <cellStyle name="Normal 5 2 3 6 5 3" xfId="24359"/>
    <cellStyle name="Normal 5 2 3 6 5 4" xfId="40813"/>
    <cellStyle name="Normal 5 2 3 6 6" xfId="9554"/>
    <cellStyle name="Normal 5 2 3 6 6 2" xfId="26004"/>
    <cellStyle name="Normal 5 2 3 6 7" xfId="17778"/>
    <cellStyle name="Normal 5 2 3 6 8" xfId="34232"/>
    <cellStyle name="Normal 5 2 3 7" xfId="1559"/>
    <cellStyle name="Normal 5 2 3 7 2" xfId="3209"/>
    <cellStyle name="Normal 5 2 3 7 2 2" xfId="11434"/>
    <cellStyle name="Normal 5 2 3 7 2 2 2" xfId="27884"/>
    <cellStyle name="Normal 5 2 3 7 2 3" xfId="19659"/>
    <cellStyle name="Normal 5 2 3 7 2 4" xfId="36113"/>
    <cellStyle name="Normal 5 2 3 7 3" xfId="4854"/>
    <cellStyle name="Normal 5 2 3 7 3 2" xfId="13079"/>
    <cellStyle name="Normal 5 2 3 7 3 2 2" xfId="29529"/>
    <cellStyle name="Normal 5 2 3 7 3 3" xfId="21304"/>
    <cellStyle name="Normal 5 2 3 7 3 4" xfId="37758"/>
    <cellStyle name="Normal 5 2 3 7 4" xfId="6499"/>
    <cellStyle name="Normal 5 2 3 7 4 2" xfId="14724"/>
    <cellStyle name="Normal 5 2 3 7 4 2 2" xfId="31174"/>
    <cellStyle name="Normal 5 2 3 7 4 3" xfId="22949"/>
    <cellStyle name="Normal 5 2 3 7 4 4" xfId="39403"/>
    <cellStyle name="Normal 5 2 3 7 5" xfId="8144"/>
    <cellStyle name="Normal 5 2 3 7 5 2" xfId="16369"/>
    <cellStyle name="Normal 5 2 3 7 5 2 2" xfId="32819"/>
    <cellStyle name="Normal 5 2 3 7 5 3" xfId="24594"/>
    <cellStyle name="Normal 5 2 3 7 5 4" xfId="41048"/>
    <cellStyle name="Normal 5 2 3 7 6" xfId="9789"/>
    <cellStyle name="Normal 5 2 3 7 6 2" xfId="26239"/>
    <cellStyle name="Normal 5 2 3 7 7" xfId="18013"/>
    <cellStyle name="Normal 5 2 3 7 8" xfId="34467"/>
    <cellStyle name="Normal 5 2 3 8" xfId="1794"/>
    <cellStyle name="Normal 5 2 3 8 2" xfId="10024"/>
    <cellStyle name="Normal 5 2 3 8 2 2" xfId="26474"/>
    <cellStyle name="Normal 5 2 3 8 3" xfId="18248"/>
    <cellStyle name="Normal 5 2 3 8 4" xfId="34702"/>
    <cellStyle name="Normal 5 2 3 9" xfId="3444"/>
    <cellStyle name="Normal 5 2 3 9 2" xfId="11669"/>
    <cellStyle name="Normal 5 2 3 9 2 2" xfId="28119"/>
    <cellStyle name="Normal 5 2 3 9 3" xfId="19894"/>
    <cellStyle name="Normal 5 2 3 9 4" xfId="36348"/>
    <cellStyle name="Normal 5 2 4" xfId="140"/>
    <cellStyle name="Normal 5 2 4 10" xfId="5139"/>
    <cellStyle name="Normal 5 2 4 10 2" xfId="13364"/>
    <cellStyle name="Normal 5 2 4 10 2 2" xfId="29814"/>
    <cellStyle name="Normal 5 2 4 10 3" xfId="21589"/>
    <cellStyle name="Normal 5 2 4 10 4" xfId="38043"/>
    <cellStyle name="Normal 5 2 4 11" xfId="6784"/>
    <cellStyle name="Normal 5 2 4 11 2" xfId="15009"/>
    <cellStyle name="Normal 5 2 4 11 2 2" xfId="31459"/>
    <cellStyle name="Normal 5 2 4 11 3" xfId="23234"/>
    <cellStyle name="Normal 5 2 4 11 4" xfId="39688"/>
    <cellStyle name="Normal 5 2 4 12" xfId="8429"/>
    <cellStyle name="Normal 5 2 4 12 2" xfId="24879"/>
    <cellStyle name="Normal 5 2 4 13" xfId="16653"/>
    <cellStyle name="Normal 5 2 4 14" xfId="33106"/>
    <cellStyle name="Normal 5 2 4 15" xfId="41334"/>
    <cellStyle name="Normal 5 2 4 2" xfId="383"/>
    <cellStyle name="Normal 5 2 4 2 2" xfId="2082"/>
    <cellStyle name="Normal 5 2 4 2 2 2" xfId="10309"/>
    <cellStyle name="Normal 5 2 4 2 2 2 2" xfId="26759"/>
    <cellStyle name="Normal 5 2 4 2 2 3" xfId="18534"/>
    <cellStyle name="Normal 5 2 4 2 2 4" xfId="34988"/>
    <cellStyle name="Normal 5 2 4 2 3" xfId="3729"/>
    <cellStyle name="Normal 5 2 4 2 3 2" xfId="11954"/>
    <cellStyle name="Normal 5 2 4 2 3 2 2" xfId="28404"/>
    <cellStyle name="Normal 5 2 4 2 3 3" xfId="20179"/>
    <cellStyle name="Normal 5 2 4 2 3 4" xfId="36633"/>
    <cellStyle name="Normal 5 2 4 2 4" xfId="5374"/>
    <cellStyle name="Normal 5 2 4 2 4 2" xfId="13599"/>
    <cellStyle name="Normal 5 2 4 2 4 2 2" xfId="30049"/>
    <cellStyle name="Normal 5 2 4 2 4 3" xfId="21824"/>
    <cellStyle name="Normal 5 2 4 2 4 4" xfId="38278"/>
    <cellStyle name="Normal 5 2 4 2 5" xfId="7019"/>
    <cellStyle name="Normal 5 2 4 2 5 2" xfId="15244"/>
    <cellStyle name="Normal 5 2 4 2 5 2 2" xfId="31694"/>
    <cellStyle name="Normal 5 2 4 2 5 3" xfId="23469"/>
    <cellStyle name="Normal 5 2 4 2 5 4" xfId="39923"/>
    <cellStyle name="Normal 5 2 4 2 6" xfId="8664"/>
    <cellStyle name="Normal 5 2 4 2 6 2" xfId="25114"/>
    <cellStyle name="Normal 5 2 4 2 7" xfId="16888"/>
    <cellStyle name="Normal 5 2 4 2 8" xfId="33342"/>
    <cellStyle name="Normal 5 2 4 2 9" xfId="41569"/>
    <cellStyle name="Normal 5 2 4 3" xfId="624"/>
    <cellStyle name="Normal 5 2 4 3 2" xfId="2319"/>
    <cellStyle name="Normal 5 2 4 3 2 2" xfId="10544"/>
    <cellStyle name="Normal 5 2 4 3 2 2 2" xfId="26994"/>
    <cellStyle name="Normal 5 2 4 3 2 3" xfId="18769"/>
    <cellStyle name="Normal 5 2 4 3 2 4" xfId="35223"/>
    <cellStyle name="Normal 5 2 4 3 3" xfId="3964"/>
    <cellStyle name="Normal 5 2 4 3 3 2" xfId="12189"/>
    <cellStyle name="Normal 5 2 4 3 3 2 2" xfId="28639"/>
    <cellStyle name="Normal 5 2 4 3 3 3" xfId="20414"/>
    <cellStyle name="Normal 5 2 4 3 3 4" xfId="36868"/>
    <cellStyle name="Normal 5 2 4 3 4" xfId="5609"/>
    <cellStyle name="Normal 5 2 4 3 4 2" xfId="13834"/>
    <cellStyle name="Normal 5 2 4 3 4 2 2" xfId="30284"/>
    <cellStyle name="Normal 5 2 4 3 4 3" xfId="22059"/>
    <cellStyle name="Normal 5 2 4 3 4 4" xfId="38513"/>
    <cellStyle name="Normal 5 2 4 3 5" xfId="7254"/>
    <cellStyle name="Normal 5 2 4 3 5 2" xfId="15479"/>
    <cellStyle name="Normal 5 2 4 3 5 2 2" xfId="31929"/>
    <cellStyle name="Normal 5 2 4 3 5 3" xfId="23704"/>
    <cellStyle name="Normal 5 2 4 3 5 4" xfId="40158"/>
    <cellStyle name="Normal 5 2 4 3 6" xfId="8899"/>
    <cellStyle name="Normal 5 2 4 3 6 2" xfId="25349"/>
    <cellStyle name="Normal 5 2 4 3 7" xfId="17123"/>
    <cellStyle name="Normal 5 2 4 3 8" xfId="33577"/>
    <cellStyle name="Normal 5 2 4 3 9" xfId="41804"/>
    <cellStyle name="Normal 5 2 4 4" xfId="859"/>
    <cellStyle name="Normal 5 2 4 4 2" xfId="2554"/>
    <cellStyle name="Normal 5 2 4 4 2 2" xfId="10779"/>
    <cellStyle name="Normal 5 2 4 4 2 2 2" xfId="27229"/>
    <cellStyle name="Normal 5 2 4 4 2 3" xfId="19004"/>
    <cellStyle name="Normal 5 2 4 4 2 4" xfId="35458"/>
    <cellStyle name="Normal 5 2 4 4 3" xfId="4199"/>
    <cellStyle name="Normal 5 2 4 4 3 2" xfId="12424"/>
    <cellStyle name="Normal 5 2 4 4 3 2 2" xfId="28874"/>
    <cellStyle name="Normal 5 2 4 4 3 3" xfId="20649"/>
    <cellStyle name="Normal 5 2 4 4 3 4" xfId="37103"/>
    <cellStyle name="Normal 5 2 4 4 4" xfId="5844"/>
    <cellStyle name="Normal 5 2 4 4 4 2" xfId="14069"/>
    <cellStyle name="Normal 5 2 4 4 4 2 2" xfId="30519"/>
    <cellStyle name="Normal 5 2 4 4 4 3" xfId="22294"/>
    <cellStyle name="Normal 5 2 4 4 4 4" xfId="38748"/>
    <cellStyle name="Normal 5 2 4 4 5" xfId="7489"/>
    <cellStyle name="Normal 5 2 4 4 5 2" xfId="15714"/>
    <cellStyle name="Normal 5 2 4 4 5 2 2" xfId="32164"/>
    <cellStyle name="Normal 5 2 4 4 5 3" xfId="23939"/>
    <cellStyle name="Normal 5 2 4 4 5 4" xfId="40393"/>
    <cellStyle name="Normal 5 2 4 4 6" xfId="9134"/>
    <cellStyle name="Normal 5 2 4 4 6 2" xfId="25584"/>
    <cellStyle name="Normal 5 2 4 4 7" xfId="17358"/>
    <cellStyle name="Normal 5 2 4 4 8" xfId="33812"/>
    <cellStyle name="Normal 5 2 4 4 9" xfId="42039"/>
    <cellStyle name="Normal 5 2 4 5" xfId="1094"/>
    <cellStyle name="Normal 5 2 4 5 2" xfId="2789"/>
    <cellStyle name="Normal 5 2 4 5 2 2" xfId="11014"/>
    <cellStyle name="Normal 5 2 4 5 2 2 2" xfId="27464"/>
    <cellStyle name="Normal 5 2 4 5 2 3" xfId="19239"/>
    <cellStyle name="Normal 5 2 4 5 2 4" xfId="35693"/>
    <cellStyle name="Normal 5 2 4 5 3" xfId="4434"/>
    <cellStyle name="Normal 5 2 4 5 3 2" xfId="12659"/>
    <cellStyle name="Normal 5 2 4 5 3 2 2" xfId="29109"/>
    <cellStyle name="Normal 5 2 4 5 3 3" xfId="20884"/>
    <cellStyle name="Normal 5 2 4 5 3 4" xfId="37338"/>
    <cellStyle name="Normal 5 2 4 5 4" xfId="6079"/>
    <cellStyle name="Normal 5 2 4 5 4 2" xfId="14304"/>
    <cellStyle name="Normal 5 2 4 5 4 2 2" xfId="30754"/>
    <cellStyle name="Normal 5 2 4 5 4 3" xfId="22529"/>
    <cellStyle name="Normal 5 2 4 5 4 4" xfId="38983"/>
    <cellStyle name="Normal 5 2 4 5 5" xfId="7724"/>
    <cellStyle name="Normal 5 2 4 5 5 2" xfId="15949"/>
    <cellStyle name="Normal 5 2 4 5 5 2 2" xfId="32399"/>
    <cellStyle name="Normal 5 2 4 5 5 3" xfId="24174"/>
    <cellStyle name="Normal 5 2 4 5 5 4" xfId="40628"/>
    <cellStyle name="Normal 5 2 4 5 6" xfId="9369"/>
    <cellStyle name="Normal 5 2 4 5 6 2" xfId="25819"/>
    <cellStyle name="Normal 5 2 4 5 7" xfId="17593"/>
    <cellStyle name="Normal 5 2 4 5 8" xfId="34047"/>
    <cellStyle name="Normal 5 2 4 5 9" xfId="42274"/>
    <cellStyle name="Normal 5 2 4 6" xfId="1374"/>
    <cellStyle name="Normal 5 2 4 6 2" xfId="3024"/>
    <cellStyle name="Normal 5 2 4 6 2 2" xfId="11249"/>
    <cellStyle name="Normal 5 2 4 6 2 2 2" xfId="27699"/>
    <cellStyle name="Normal 5 2 4 6 2 3" xfId="19474"/>
    <cellStyle name="Normal 5 2 4 6 2 4" xfId="35928"/>
    <cellStyle name="Normal 5 2 4 6 3" xfId="4669"/>
    <cellStyle name="Normal 5 2 4 6 3 2" xfId="12894"/>
    <cellStyle name="Normal 5 2 4 6 3 2 2" xfId="29344"/>
    <cellStyle name="Normal 5 2 4 6 3 3" xfId="21119"/>
    <cellStyle name="Normal 5 2 4 6 3 4" xfId="37573"/>
    <cellStyle name="Normal 5 2 4 6 4" xfId="6314"/>
    <cellStyle name="Normal 5 2 4 6 4 2" xfId="14539"/>
    <cellStyle name="Normal 5 2 4 6 4 2 2" xfId="30989"/>
    <cellStyle name="Normal 5 2 4 6 4 3" xfId="22764"/>
    <cellStyle name="Normal 5 2 4 6 4 4" xfId="39218"/>
    <cellStyle name="Normal 5 2 4 6 5" xfId="7959"/>
    <cellStyle name="Normal 5 2 4 6 5 2" xfId="16184"/>
    <cellStyle name="Normal 5 2 4 6 5 2 2" xfId="32634"/>
    <cellStyle name="Normal 5 2 4 6 5 3" xfId="24409"/>
    <cellStyle name="Normal 5 2 4 6 5 4" xfId="40863"/>
    <cellStyle name="Normal 5 2 4 6 6" xfId="9604"/>
    <cellStyle name="Normal 5 2 4 6 6 2" xfId="26054"/>
    <cellStyle name="Normal 5 2 4 6 7" xfId="17828"/>
    <cellStyle name="Normal 5 2 4 6 8" xfId="34282"/>
    <cellStyle name="Normal 5 2 4 7" xfId="1609"/>
    <cellStyle name="Normal 5 2 4 7 2" xfId="3259"/>
    <cellStyle name="Normal 5 2 4 7 2 2" xfId="11484"/>
    <cellStyle name="Normal 5 2 4 7 2 2 2" xfId="27934"/>
    <cellStyle name="Normal 5 2 4 7 2 3" xfId="19709"/>
    <cellStyle name="Normal 5 2 4 7 2 4" xfId="36163"/>
    <cellStyle name="Normal 5 2 4 7 3" xfId="4904"/>
    <cellStyle name="Normal 5 2 4 7 3 2" xfId="13129"/>
    <cellStyle name="Normal 5 2 4 7 3 2 2" xfId="29579"/>
    <cellStyle name="Normal 5 2 4 7 3 3" xfId="21354"/>
    <cellStyle name="Normal 5 2 4 7 3 4" xfId="37808"/>
    <cellStyle name="Normal 5 2 4 7 4" xfId="6549"/>
    <cellStyle name="Normal 5 2 4 7 4 2" xfId="14774"/>
    <cellStyle name="Normal 5 2 4 7 4 2 2" xfId="31224"/>
    <cellStyle name="Normal 5 2 4 7 4 3" xfId="22999"/>
    <cellStyle name="Normal 5 2 4 7 4 4" xfId="39453"/>
    <cellStyle name="Normal 5 2 4 7 5" xfId="8194"/>
    <cellStyle name="Normal 5 2 4 7 5 2" xfId="16419"/>
    <cellStyle name="Normal 5 2 4 7 5 2 2" xfId="32869"/>
    <cellStyle name="Normal 5 2 4 7 5 3" xfId="24644"/>
    <cellStyle name="Normal 5 2 4 7 5 4" xfId="41098"/>
    <cellStyle name="Normal 5 2 4 7 6" xfId="9839"/>
    <cellStyle name="Normal 5 2 4 7 6 2" xfId="26289"/>
    <cellStyle name="Normal 5 2 4 7 7" xfId="18063"/>
    <cellStyle name="Normal 5 2 4 7 8" xfId="34517"/>
    <cellStyle name="Normal 5 2 4 8" xfId="1844"/>
    <cellStyle name="Normal 5 2 4 8 2" xfId="10074"/>
    <cellStyle name="Normal 5 2 4 8 2 2" xfId="26524"/>
    <cellStyle name="Normal 5 2 4 8 3" xfId="18298"/>
    <cellStyle name="Normal 5 2 4 8 4" xfId="34752"/>
    <cellStyle name="Normal 5 2 4 9" xfId="3494"/>
    <cellStyle name="Normal 5 2 4 9 2" xfId="11719"/>
    <cellStyle name="Normal 5 2 4 9 2 2" xfId="28169"/>
    <cellStyle name="Normal 5 2 4 9 3" xfId="19944"/>
    <cellStyle name="Normal 5 2 4 9 4" xfId="36398"/>
    <cellStyle name="Normal 5 2 5" xfId="167"/>
    <cellStyle name="Normal 5 2 5 10" xfId="5166"/>
    <cellStyle name="Normal 5 2 5 10 2" xfId="13391"/>
    <cellStyle name="Normal 5 2 5 10 2 2" xfId="29841"/>
    <cellStyle name="Normal 5 2 5 10 3" xfId="21616"/>
    <cellStyle name="Normal 5 2 5 10 4" xfId="38070"/>
    <cellStyle name="Normal 5 2 5 11" xfId="6811"/>
    <cellStyle name="Normal 5 2 5 11 2" xfId="15036"/>
    <cellStyle name="Normal 5 2 5 11 2 2" xfId="31486"/>
    <cellStyle name="Normal 5 2 5 11 3" xfId="23261"/>
    <cellStyle name="Normal 5 2 5 11 4" xfId="39715"/>
    <cellStyle name="Normal 5 2 5 12" xfId="8456"/>
    <cellStyle name="Normal 5 2 5 12 2" xfId="24906"/>
    <cellStyle name="Normal 5 2 5 13" xfId="16680"/>
    <cellStyle name="Normal 5 2 5 14" xfId="33133"/>
    <cellStyle name="Normal 5 2 5 15" xfId="41361"/>
    <cellStyle name="Normal 5 2 5 2" xfId="410"/>
    <cellStyle name="Normal 5 2 5 2 2" xfId="2109"/>
    <cellStyle name="Normal 5 2 5 2 2 2" xfId="10336"/>
    <cellStyle name="Normal 5 2 5 2 2 2 2" xfId="26786"/>
    <cellStyle name="Normal 5 2 5 2 2 3" xfId="18561"/>
    <cellStyle name="Normal 5 2 5 2 2 4" xfId="35015"/>
    <cellStyle name="Normal 5 2 5 2 3" xfId="3756"/>
    <cellStyle name="Normal 5 2 5 2 3 2" xfId="11981"/>
    <cellStyle name="Normal 5 2 5 2 3 2 2" xfId="28431"/>
    <cellStyle name="Normal 5 2 5 2 3 3" xfId="20206"/>
    <cellStyle name="Normal 5 2 5 2 3 4" xfId="36660"/>
    <cellStyle name="Normal 5 2 5 2 4" xfId="5401"/>
    <cellStyle name="Normal 5 2 5 2 4 2" xfId="13626"/>
    <cellStyle name="Normal 5 2 5 2 4 2 2" xfId="30076"/>
    <cellStyle name="Normal 5 2 5 2 4 3" xfId="21851"/>
    <cellStyle name="Normal 5 2 5 2 4 4" xfId="38305"/>
    <cellStyle name="Normal 5 2 5 2 5" xfId="7046"/>
    <cellStyle name="Normal 5 2 5 2 5 2" xfId="15271"/>
    <cellStyle name="Normal 5 2 5 2 5 2 2" xfId="31721"/>
    <cellStyle name="Normal 5 2 5 2 5 3" xfId="23496"/>
    <cellStyle name="Normal 5 2 5 2 5 4" xfId="39950"/>
    <cellStyle name="Normal 5 2 5 2 6" xfId="8691"/>
    <cellStyle name="Normal 5 2 5 2 6 2" xfId="25141"/>
    <cellStyle name="Normal 5 2 5 2 7" xfId="16915"/>
    <cellStyle name="Normal 5 2 5 2 8" xfId="33369"/>
    <cellStyle name="Normal 5 2 5 2 9" xfId="41596"/>
    <cellStyle name="Normal 5 2 5 3" xfId="651"/>
    <cellStyle name="Normal 5 2 5 3 2" xfId="2346"/>
    <cellStyle name="Normal 5 2 5 3 2 2" xfId="10571"/>
    <cellStyle name="Normal 5 2 5 3 2 2 2" xfId="27021"/>
    <cellStyle name="Normal 5 2 5 3 2 3" xfId="18796"/>
    <cellStyle name="Normal 5 2 5 3 2 4" xfId="35250"/>
    <cellStyle name="Normal 5 2 5 3 3" xfId="3991"/>
    <cellStyle name="Normal 5 2 5 3 3 2" xfId="12216"/>
    <cellStyle name="Normal 5 2 5 3 3 2 2" xfId="28666"/>
    <cellStyle name="Normal 5 2 5 3 3 3" xfId="20441"/>
    <cellStyle name="Normal 5 2 5 3 3 4" xfId="36895"/>
    <cellStyle name="Normal 5 2 5 3 4" xfId="5636"/>
    <cellStyle name="Normal 5 2 5 3 4 2" xfId="13861"/>
    <cellStyle name="Normal 5 2 5 3 4 2 2" xfId="30311"/>
    <cellStyle name="Normal 5 2 5 3 4 3" xfId="22086"/>
    <cellStyle name="Normal 5 2 5 3 4 4" xfId="38540"/>
    <cellStyle name="Normal 5 2 5 3 5" xfId="7281"/>
    <cellStyle name="Normal 5 2 5 3 5 2" xfId="15506"/>
    <cellStyle name="Normal 5 2 5 3 5 2 2" xfId="31956"/>
    <cellStyle name="Normal 5 2 5 3 5 3" xfId="23731"/>
    <cellStyle name="Normal 5 2 5 3 5 4" xfId="40185"/>
    <cellStyle name="Normal 5 2 5 3 6" xfId="8926"/>
    <cellStyle name="Normal 5 2 5 3 6 2" xfId="25376"/>
    <cellStyle name="Normal 5 2 5 3 7" xfId="17150"/>
    <cellStyle name="Normal 5 2 5 3 8" xfId="33604"/>
    <cellStyle name="Normal 5 2 5 3 9" xfId="41831"/>
    <cellStyle name="Normal 5 2 5 4" xfId="886"/>
    <cellStyle name="Normal 5 2 5 4 2" xfId="2581"/>
    <cellStyle name="Normal 5 2 5 4 2 2" xfId="10806"/>
    <cellStyle name="Normal 5 2 5 4 2 2 2" xfId="27256"/>
    <cellStyle name="Normal 5 2 5 4 2 3" xfId="19031"/>
    <cellStyle name="Normal 5 2 5 4 2 4" xfId="35485"/>
    <cellStyle name="Normal 5 2 5 4 3" xfId="4226"/>
    <cellStyle name="Normal 5 2 5 4 3 2" xfId="12451"/>
    <cellStyle name="Normal 5 2 5 4 3 2 2" xfId="28901"/>
    <cellStyle name="Normal 5 2 5 4 3 3" xfId="20676"/>
    <cellStyle name="Normal 5 2 5 4 3 4" xfId="37130"/>
    <cellStyle name="Normal 5 2 5 4 4" xfId="5871"/>
    <cellStyle name="Normal 5 2 5 4 4 2" xfId="14096"/>
    <cellStyle name="Normal 5 2 5 4 4 2 2" xfId="30546"/>
    <cellStyle name="Normal 5 2 5 4 4 3" xfId="22321"/>
    <cellStyle name="Normal 5 2 5 4 4 4" xfId="38775"/>
    <cellStyle name="Normal 5 2 5 4 5" xfId="7516"/>
    <cellStyle name="Normal 5 2 5 4 5 2" xfId="15741"/>
    <cellStyle name="Normal 5 2 5 4 5 2 2" xfId="32191"/>
    <cellStyle name="Normal 5 2 5 4 5 3" xfId="23966"/>
    <cellStyle name="Normal 5 2 5 4 5 4" xfId="40420"/>
    <cellStyle name="Normal 5 2 5 4 6" xfId="9161"/>
    <cellStyle name="Normal 5 2 5 4 6 2" xfId="25611"/>
    <cellStyle name="Normal 5 2 5 4 7" xfId="17385"/>
    <cellStyle name="Normal 5 2 5 4 8" xfId="33839"/>
    <cellStyle name="Normal 5 2 5 4 9" xfId="42066"/>
    <cellStyle name="Normal 5 2 5 5" xfId="1121"/>
    <cellStyle name="Normal 5 2 5 5 2" xfId="2816"/>
    <cellStyle name="Normal 5 2 5 5 2 2" xfId="11041"/>
    <cellStyle name="Normal 5 2 5 5 2 2 2" xfId="27491"/>
    <cellStyle name="Normal 5 2 5 5 2 3" xfId="19266"/>
    <cellStyle name="Normal 5 2 5 5 2 4" xfId="35720"/>
    <cellStyle name="Normal 5 2 5 5 3" xfId="4461"/>
    <cellStyle name="Normal 5 2 5 5 3 2" xfId="12686"/>
    <cellStyle name="Normal 5 2 5 5 3 2 2" xfId="29136"/>
    <cellStyle name="Normal 5 2 5 5 3 3" xfId="20911"/>
    <cellStyle name="Normal 5 2 5 5 3 4" xfId="37365"/>
    <cellStyle name="Normal 5 2 5 5 4" xfId="6106"/>
    <cellStyle name="Normal 5 2 5 5 4 2" xfId="14331"/>
    <cellStyle name="Normal 5 2 5 5 4 2 2" xfId="30781"/>
    <cellStyle name="Normal 5 2 5 5 4 3" xfId="22556"/>
    <cellStyle name="Normal 5 2 5 5 4 4" xfId="39010"/>
    <cellStyle name="Normal 5 2 5 5 5" xfId="7751"/>
    <cellStyle name="Normal 5 2 5 5 5 2" xfId="15976"/>
    <cellStyle name="Normal 5 2 5 5 5 2 2" xfId="32426"/>
    <cellStyle name="Normal 5 2 5 5 5 3" xfId="24201"/>
    <cellStyle name="Normal 5 2 5 5 5 4" xfId="40655"/>
    <cellStyle name="Normal 5 2 5 5 6" xfId="9396"/>
    <cellStyle name="Normal 5 2 5 5 6 2" xfId="25846"/>
    <cellStyle name="Normal 5 2 5 5 7" xfId="17620"/>
    <cellStyle name="Normal 5 2 5 5 8" xfId="34074"/>
    <cellStyle name="Normal 5 2 5 5 9" xfId="42301"/>
    <cellStyle name="Normal 5 2 5 6" xfId="1401"/>
    <cellStyle name="Normal 5 2 5 6 2" xfId="3051"/>
    <cellStyle name="Normal 5 2 5 6 2 2" xfId="11276"/>
    <cellStyle name="Normal 5 2 5 6 2 2 2" xfId="27726"/>
    <cellStyle name="Normal 5 2 5 6 2 3" xfId="19501"/>
    <cellStyle name="Normal 5 2 5 6 2 4" xfId="35955"/>
    <cellStyle name="Normal 5 2 5 6 3" xfId="4696"/>
    <cellStyle name="Normal 5 2 5 6 3 2" xfId="12921"/>
    <cellStyle name="Normal 5 2 5 6 3 2 2" xfId="29371"/>
    <cellStyle name="Normal 5 2 5 6 3 3" xfId="21146"/>
    <cellStyle name="Normal 5 2 5 6 3 4" xfId="37600"/>
    <cellStyle name="Normal 5 2 5 6 4" xfId="6341"/>
    <cellStyle name="Normal 5 2 5 6 4 2" xfId="14566"/>
    <cellStyle name="Normal 5 2 5 6 4 2 2" xfId="31016"/>
    <cellStyle name="Normal 5 2 5 6 4 3" xfId="22791"/>
    <cellStyle name="Normal 5 2 5 6 4 4" xfId="39245"/>
    <cellStyle name="Normal 5 2 5 6 5" xfId="7986"/>
    <cellStyle name="Normal 5 2 5 6 5 2" xfId="16211"/>
    <cellStyle name="Normal 5 2 5 6 5 2 2" xfId="32661"/>
    <cellStyle name="Normal 5 2 5 6 5 3" xfId="24436"/>
    <cellStyle name="Normal 5 2 5 6 5 4" xfId="40890"/>
    <cellStyle name="Normal 5 2 5 6 6" xfId="9631"/>
    <cellStyle name="Normal 5 2 5 6 6 2" xfId="26081"/>
    <cellStyle name="Normal 5 2 5 6 7" xfId="17855"/>
    <cellStyle name="Normal 5 2 5 6 8" xfId="34309"/>
    <cellStyle name="Normal 5 2 5 7" xfId="1636"/>
    <cellStyle name="Normal 5 2 5 7 2" xfId="3286"/>
    <cellStyle name="Normal 5 2 5 7 2 2" xfId="11511"/>
    <cellStyle name="Normal 5 2 5 7 2 2 2" xfId="27961"/>
    <cellStyle name="Normal 5 2 5 7 2 3" xfId="19736"/>
    <cellStyle name="Normal 5 2 5 7 2 4" xfId="36190"/>
    <cellStyle name="Normal 5 2 5 7 3" xfId="4931"/>
    <cellStyle name="Normal 5 2 5 7 3 2" xfId="13156"/>
    <cellStyle name="Normal 5 2 5 7 3 2 2" xfId="29606"/>
    <cellStyle name="Normal 5 2 5 7 3 3" xfId="21381"/>
    <cellStyle name="Normal 5 2 5 7 3 4" xfId="37835"/>
    <cellStyle name="Normal 5 2 5 7 4" xfId="6576"/>
    <cellStyle name="Normal 5 2 5 7 4 2" xfId="14801"/>
    <cellStyle name="Normal 5 2 5 7 4 2 2" xfId="31251"/>
    <cellStyle name="Normal 5 2 5 7 4 3" xfId="23026"/>
    <cellStyle name="Normal 5 2 5 7 4 4" xfId="39480"/>
    <cellStyle name="Normal 5 2 5 7 5" xfId="8221"/>
    <cellStyle name="Normal 5 2 5 7 5 2" xfId="16446"/>
    <cellStyle name="Normal 5 2 5 7 5 2 2" xfId="32896"/>
    <cellStyle name="Normal 5 2 5 7 5 3" xfId="24671"/>
    <cellStyle name="Normal 5 2 5 7 5 4" xfId="41125"/>
    <cellStyle name="Normal 5 2 5 7 6" xfId="9866"/>
    <cellStyle name="Normal 5 2 5 7 6 2" xfId="26316"/>
    <cellStyle name="Normal 5 2 5 7 7" xfId="18090"/>
    <cellStyle name="Normal 5 2 5 7 8" xfId="34544"/>
    <cellStyle name="Normal 5 2 5 8" xfId="1871"/>
    <cellStyle name="Normal 5 2 5 8 2" xfId="10101"/>
    <cellStyle name="Normal 5 2 5 8 2 2" xfId="26551"/>
    <cellStyle name="Normal 5 2 5 8 3" xfId="18325"/>
    <cellStyle name="Normal 5 2 5 8 4" xfId="34779"/>
    <cellStyle name="Normal 5 2 5 9" xfId="3521"/>
    <cellStyle name="Normal 5 2 5 9 2" xfId="11746"/>
    <cellStyle name="Normal 5 2 5 9 2 2" xfId="28196"/>
    <cellStyle name="Normal 5 2 5 9 3" xfId="19971"/>
    <cellStyle name="Normal 5 2 5 9 4" xfId="36425"/>
    <cellStyle name="Normal 5 2 6" xfId="196"/>
    <cellStyle name="Normal 5 2 6 10" xfId="5193"/>
    <cellStyle name="Normal 5 2 6 10 2" xfId="13418"/>
    <cellStyle name="Normal 5 2 6 10 2 2" xfId="29868"/>
    <cellStyle name="Normal 5 2 6 10 3" xfId="21643"/>
    <cellStyle name="Normal 5 2 6 10 4" xfId="38097"/>
    <cellStyle name="Normal 5 2 6 11" xfId="6838"/>
    <cellStyle name="Normal 5 2 6 11 2" xfId="15063"/>
    <cellStyle name="Normal 5 2 6 11 2 2" xfId="31513"/>
    <cellStyle name="Normal 5 2 6 11 3" xfId="23288"/>
    <cellStyle name="Normal 5 2 6 11 4" xfId="39742"/>
    <cellStyle name="Normal 5 2 6 12" xfId="8483"/>
    <cellStyle name="Normal 5 2 6 12 2" xfId="24933"/>
    <cellStyle name="Normal 5 2 6 13" xfId="16707"/>
    <cellStyle name="Normal 5 2 6 14" xfId="33160"/>
    <cellStyle name="Normal 5 2 6 15" xfId="41388"/>
    <cellStyle name="Normal 5 2 6 2" xfId="439"/>
    <cellStyle name="Normal 5 2 6 2 2" xfId="2136"/>
    <cellStyle name="Normal 5 2 6 2 2 2" xfId="10363"/>
    <cellStyle name="Normal 5 2 6 2 2 2 2" xfId="26813"/>
    <cellStyle name="Normal 5 2 6 2 2 3" xfId="18588"/>
    <cellStyle name="Normal 5 2 6 2 2 4" xfId="35042"/>
    <cellStyle name="Normal 5 2 6 2 3" xfId="3783"/>
    <cellStyle name="Normal 5 2 6 2 3 2" xfId="12008"/>
    <cellStyle name="Normal 5 2 6 2 3 2 2" xfId="28458"/>
    <cellStyle name="Normal 5 2 6 2 3 3" xfId="20233"/>
    <cellStyle name="Normal 5 2 6 2 3 4" xfId="36687"/>
    <cellStyle name="Normal 5 2 6 2 4" xfId="5428"/>
    <cellStyle name="Normal 5 2 6 2 4 2" xfId="13653"/>
    <cellStyle name="Normal 5 2 6 2 4 2 2" xfId="30103"/>
    <cellStyle name="Normal 5 2 6 2 4 3" xfId="21878"/>
    <cellStyle name="Normal 5 2 6 2 4 4" xfId="38332"/>
    <cellStyle name="Normal 5 2 6 2 5" xfId="7073"/>
    <cellStyle name="Normal 5 2 6 2 5 2" xfId="15298"/>
    <cellStyle name="Normal 5 2 6 2 5 2 2" xfId="31748"/>
    <cellStyle name="Normal 5 2 6 2 5 3" xfId="23523"/>
    <cellStyle name="Normal 5 2 6 2 5 4" xfId="39977"/>
    <cellStyle name="Normal 5 2 6 2 6" xfId="8718"/>
    <cellStyle name="Normal 5 2 6 2 6 2" xfId="25168"/>
    <cellStyle name="Normal 5 2 6 2 7" xfId="16942"/>
    <cellStyle name="Normal 5 2 6 2 8" xfId="33396"/>
    <cellStyle name="Normal 5 2 6 2 9" xfId="41623"/>
    <cellStyle name="Normal 5 2 6 3" xfId="678"/>
    <cellStyle name="Normal 5 2 6 3 2" xfId="2373"/>
    <cellStyle name="Normal 5 2 6 3 2 2" xfId="10598"/>
    <cellStyle name="Normal 5 2 6 3 2 2 2" xfId="27048"/>
    <cellStyle name="Normal 5 2 6 3 2 3" xfId="18823"/>
    <cellStyle name="Normal 5 2 6 3 2 4" xfId="35277"/>
    <cellStyle name="Normal 5 2 6 3 3" xfId="4018"/>
    <cellStyle name="Normal 5 2 6 3 3 2" xfId="12243"/>
    <cellStyle name="Normal 5 2 6 3 3 2 2" xfId="28693"/>
    <cellStyle name="Normal 5 2 6 3 3 3" xfId="20468"/>
    <cellStyle name="Normal 5 2 6 3 3 4" xfId="36922"/>
    <cellStyle name="Normal 5 2 6 3 4" xfId="5663"/>
    <cellStyle name="Normal 5 2 6 3 4 2" xfId="13888"/>
    <cellStyle name="Normal 5 2 6 3 4 2 2" xfId="30338"/>
    <cellStyle name="Normal 5 2 6 3 4 3" xfId="22113"/>
    <cellStyle name="Normal 5 2 6 3 4 4" xfId="38567"/>
    <cellStyle name="Normal 5 2 6 3 5" xfId="7308"/>
    <cellStyle name="Normal 5 2 6 3 5 2" xfId="15533"/>
    <cellStyle name="Normal 5 2 6 3 5 2 2" xfId="31983"/>
    <cellStyle name="Normal 5 2 6 3 5 3" xfId="23758"/>
    <cellStyle name="Normal 5 2 6 3 5 4" xfId="40212"/>
    <cellStyle name="Normal 5 2 6 3 6" xfId="8953"/>
    <cellStyle name="Normal 5 2 6 3 6 2" xfId="25403"/>
    <cellStyle name="Normal 5 2 6 3 7" xfId="17177"/>
    <cellStyle name="Normal 5 2 6 3 8" xfId="33631"/>
    <cellStyle name="Normal 5 2 6 3 9" xfId="41858"/>
    <cellStyle name="Normal 5 2 6 4" xfId="913"/>
    <cellStyle name="Normal 5 2 6 4 2" xfId="2608"/>
    <cellStyle name="Normal 5 2 6 4 2 2" xfId="10833"/>
    <cellStyle name="Normal 5 2 6 4 2 2 2" xfId="27283"/>
    <cellStyle name="Normal 5 2 6 4 2 3" xfId="19058"/>
    <cellStyle name="Normal 5 2 6 4 2 4" xfId="35512"/>
    <cellStyle name="Normal 5 2 6 4 3" xfId="4253"/>
    <cellStyle name="Normal 5 2 6 4 3 2" xfId="12478"/>
    <cellStyle name="Normal 5 2 6 4 3 2 2" xfId="28928"/>
    <cellStyle name="Normal 5 2 6 4 3 3" xfId="20703"/>
    <cellStyle name="Normal 5 2 6 4 3 4" xfId="37157"/>
    <cellStyle name="Normal 5 2 6 4 4" xfId="5898"/>
    <cellStyle name="Normal 5 2 6 4 4 2" xfId="14123"/>
    <cellStyle name="Normal 5 2 6 4 4 2 2" xfId="30573"/>
    <cellStyle name="Normal 5 2 6 4 4 3" xfId="22348"/>
    <cellStyle name="Normal 5 2 6 4 4 4" xfId="38802"/>
    <cellStyle name="Normal 5 2 6 4 5" xfId="7543"/>
    <cellStyle name="Normal 5 2 6 4 5 2" xfId="15768"/>
    <cellStyle name="Normal 5 2 6 4 5 2 2" xfId="32218"/>
    <cellStyle name="Normal 5 2 6 4 5 3" xfId="23993"/>
    <cellStyle name="Normal 5 2 6 4 5 4" xfId="40447"/>
    <cellStyle name="Normal 5 2 6 4 6" xfId="9188"/>
    <cellStyle name="Normal 5 2 6 4 6 2" xfId="25638"/>
    <cellStyle name="Normal 5 2 6 4 7" xfId="17412"/>
    <cellStyle name="Normal 5 2 6 4 8" xfId="33866"/>
    <cellStyle name="Normal 5 2 6 4 9" xfId="42093"/>
    <cellStyle name="Normal 5 2 6 5" xfId="1148"/>
    <cellStyle name="Normal 5 2 6 5 2" xfId="2843"/>
    <cellStyle name="Normal 5 2 6 5 2 2" xfId="11068"/>
    <cellStyle name="Normal 5 2 6 5 2 2 2" xfId="27518"/>
    <cellStyle name="Normal 5 2 6 5 2 3" xfId="19293"/>
    <cellStyle name="Normal 5 2 6 5 2 4" xfId="35747"/>
    <cellStyle name="Normal 5 2 6 5 3" xfId="4488"/>
    <cellStyle name="Normal 5 2 6 5 3 2" xfId="12713"/>
    <cellStyle name="Normal 5 2 6 5 3 2 2" xfId="29163"/>
    <cellStyle name="Normal 5 2 6 5 3 3" xfId="20938"/>
    <cellStyle name="Normal 5 2 6 5 3 4" xfId="37392"/>
    <cellStyle name="Normal 5 2 6 5 4" xfId="6133"/>
    <cellStyle name="Normal 5 2 6 5 4 2" xfId="14358"/>
    <cellStyle name="Normal 5 2 6 5 4 2 2" xfId="30808"/>
    <cellStyle name="Normal 5 2 6 5 4 3" xfId="22583"/>
    <cellStyle name="Normal 5 2 6 5 4 4" xfId="39037"/>
    <cellStyle name="Normal 5 2 6 5 5" xfId="7778"/>
    <cellStyle name="Normal 5 2 6 5 5 2" xfId="16003"/>
    <cellStyle name="Normal 5 2 6 5 5 2 2" xfId="32453"/>
    <cellStyle name="Normal 5 2 6 5 5 3" xfId="24228"/>
    <cellStyle name="Normal 5 2 6 5 5 4" xfId="40682"/>
    <cellStyle name="Normal 5 2 6 5 6" xfId="9423"/>
    <cellStyle name="Normal 5 2 6 5 6 2" xfId="25873"/>
    <cellStyle name="Normal 5 2 6 5 7" xfId="17647"/>
    <cellStyle name="Normal 5 2 6 5 8" xfId="34101"/>
    <cellStyle name="Normal 5 2 6 5 9" xfId="42328"/>
    <cellStyle name="Normal 5 2 6 6" xfId="1428"/>
    <cellStyle name="Normal 5 2 6 6 2" xfId="3078"/>
    <cellStyle name="Normal 5 2 6 6 2 2" xfId="11303"/>
    <cellStyle name="Normal 5 2 6 6 2 2 2" xfId="27753"/>
    <cellStyle name="Normal 5 2 6 6 2 3" xfId="19528"/>
    <cellStyle name="Normal 5 2 6 6 2 4" xfId="35982"/>
    <cellStyle name="Normal 5 2 6 6 3" xfId="4723"/>
    <cellStyle name="Normal 5 2 6 6 3 2" xfId="12948"/>
    <cellStyle name="Normal 5 2 6 6 3 2 2" xfId="29398"/>
    <cellStyle name="Normal 5 2 6 6 3 3" xfId="21173"/>
    <cellStyle name="Normal 5 2 6 6 3 4" xfId="37627"/>
    <cellStyle name="Normal 5 2 6 6 4" xfId="6368"/>
    <cellStyle name="Normal 5 2 6 6 4 2" xfId="14593"/>
    <cellStyle name="Normal 5 2 6 6 4 2 2" xfId="31043"/>
    <cellStyle name="Normal 5 2 6 6 4 3" xfId="22818"/>
    <cellStyle name="Normal 5 2 6 6 4 4" xfId="39272"/>
    <cellStyle name="Normal 5 2 6 6 5" xfId="8013"/>
    <cellStyle name="Normal 5 2 6 6 5 2" xfId="16238"/>
    <cellStyle name="Normal 5 2 6 6 5 2 2" xfId="32688"/>
    <cellStyle name="Normal 5 2 6 6 5 3" xfId="24463"/>
    <cellStyle name="Normal 5 2 6 6 5 4" xfId="40917"/>
    <cellStyle name="Normal 5 2 6 6 6" xfId="9658"/>
    <cellStyle name="Normal 5 2 6 6 6 2" xfId="26108"/>
    <cellStyle name="Normal 5 2 6 6 7" xfId="17882"/>
    <cellStyle name="Normal 5 2 6 6 8" xfId="34336"/>
    <cellStyle name="Normal 5 2 6 7" xfId="1663"/>
    <cellStyle name="Normal 5 2 6 7 2" xfId="3313"/>
    <cellStyle name="Normal 5 2 6 7 2 2" xfId="11538"/>
    <cellStyle name="Normal 5 2 6 7 2 2 2" xfId="27988"/>
    <cellStyle name="Normal 5 2 6 7 2 3" xfId="19763"/>
    <cellStyle name="Normal 5 2 6 7 2 4" xfId="36217"/>
    <cellStyle name="Normal 5 2 6 7 3" xfId="4958"/>
    <cellStyle name="Normal 5 2 6 7 3 2" xfId="13183"/>
    <cellStyle name="Normal 5 2 6 7 3 2 2" xfId="29633"/>
    <cellStyle name="Normal 5 2 6 7 3 3" xfId="21408"/>
    <cellStyle name="Normal 5 2 6 7 3 4" xfId="37862"/>
    <cellStyle name="Normal 5 2 6 7 4" xfId="6603"/>
    <cellStyle name="Normal 5 2 6 7 4 2" xfId="14828"/>
    <cellStyle name="Normal 5 2 6 7 4 2 2" xfId="31278"/>
    <cellStyle name="Normal 5 2 6 7 4 3" xfId="23053"/>
    <cellStyle name="Normal 5 2 6 7 4 4" xfId="39507"/>
    <cellStyle name="Normal 5 2 6 7 5" xfId="8248"/>
    <cellStyle name="Normal 5 2 6 7 5 2" xfId="16473"/>
    <cellStyle name="Normal 5 2 6 7 5 2 2" xfId="32923"/>
    <cellStyle name="Normal 5 2 6 7 5 3" xfId="24698"/>
    <cellStyle name="Normal 5 2 6 7 5 4" xfId="41152"/>
    <cellStyle name="Normal 5 2 6 7 6" xfId="9893"/>
    <cellStyle name="Normal 5 2 6 7 6 2" xfId="26343"/>
    <cellStyle name="Normal 5 2 6 7 7" xfId="18117"/>
    <cellStyle name="Normal 5 2 6 7 8" xfId="34571"/>
    <cellStyle name="Normal 5 2 6 8" xfId="1898"/>
    <cellStyle name="Normal 5 2 6 8 2" xfId="10128"/>
    <cellStyle name="Normal 5 2 6 8 2 2" xfId="26578"/>
    <cellStyle name="Normal 5 2 6 8 3" xfId="18352"/>
    <cellStyle name="Normal 5 2 6 8 4" xfId="34806"/>
    <cellStyle name="Normal 5 2 6 9" xfId="3548"/>
    <cellStyle name="Normal 5 2 6 9 2" xfId="11773"/>
    <cellStyle name="Normal 5 2 6 9 2 2" xfId="28223"/>
    <cellStyle name="Normal 5 2 6 9 3" xfId="19998"/>
    <cellStyle name="Normal 5 2 6 9 4" xfId="36452"/>
    <cellStyle name="Normal 5 2 7" xfId="223"/>
    <cellStyle name="Normal 5 2 7 10" xfId="5220"/>
    <cellStyle name="Normal 5 2 7 10 2" xfId="13445"/>
    <cellStyle name="Normal 5 2 7 10 2 2" xfId="29895"/>
    <cellStyle name="Normal 5 2 7 10 3" xfId="21670"/>
    <cellStyle name="Normal 5 2 7 10 4" xfId="38124"/>
    <cellStyle name="Normal 5 2 7 11" xfId="6865"/>
    <cellStyle name="Normal 5 2 7 11 2" xfId="15090"/>
    <cellStyle name="Normal 5 2 7 11 2 2" xfId="31540"/>
    <cellStyle name="Normal 5 2 7 11 3" xfId="23315"/>
    <cellStyle name="Normal 5 2 7 11 4" xfId="39769"/>
    <cellStyle name="Normal 5 2 7 12" xfId="8510"/>
    <cellStyle name="Normal 5 2 7 12 2" xfId="24960"/>
    <cellStyle name="Normal 5 2 7 13" xfId="16734"/>
    <cellStyle name="Normal 5 2 7 14" xfId="33187"/>
    <cellStyle name="Normal 5 2 7 15" xfId="41415"/>
    <cellStyle name="Normal 5 2 7 2" xfId="466"/>
    <cellStyle name="Normal 5 2 7 2 2" xfId="2163"/>
    <cellStyle name="Normal 5 2 7 2 2 2" xfId="10390"/>
    <cellStyle name="Normal 5 2 7 2 2 2 2" xfId="26840"/>
    <cellStyle name="Normal 5 2 7 2 2 3" xfId="18615"/>
    <cellStyle name="Normal 5 2 7 2 2 4" xfId="35069"/>
    <cellStyle name="Normal 5 2 7 2 3" xfId="3810"/>
    <cellStyle name="Normal 5 2 7 2 3 2" xfId="12035"/>
    <cellStyle name="Normal 5 2 7 2 3 2 2" xfId="28485"/>
    <cellStyle name="Normal 5 2 7 2 3 3" xfId="20260"/>
    <cellStyle name="Normal 5 2 7 2 3 4" xfId="36714"/>
    <cellStyle name="Normal 5 2 7 2 4" xfId="5455"/>
    <cellStyle name="Normal 5 2 7 2 4 2" xfId="13680"/>
    <cellStyle name="Normal 5 2 7 2 4 2 2" xfId="30130"/>
    <cellStyle name="Normal 5 2 7 2 4 3" xfId="21905"/>
    <cellStyle name="Normal 5 2 7 2 4 4" xfId="38359"/>
    <cellStyle name="Normal 5 2 7 2 5" xfId="7100"/>
    <cellStyle name="Normal 5 2 7 2 5 2" xfId="15325"/>
    <cellStyle name="Normal 5 2 7 2 5 2 2" xfId="31775"/>
    <cellStyle name="Normal 5 2 7 2 5 3" xfId="23550"/>
    <cellStyle name="Normal 5 2 7 2 5 4" xfId="40004"/>
    <cellStyle name="Normal 5 2 7 2 6" xfId="8745"/>
    <cellStyle name="Normal 5 2 7 2 6 2" xfId="25195"/>
    <cellStyle name="Normal 5 2 7 2 7" xfId="16969"/>
    <cellStyle name="Normal 5 2 7 2 8" xfId="33423"/>
    <cellStyle name="Normal 5 2 7 2 9" xfId="41650"/>
    <cellStyle name="Normal 5 2 7 3" xfId="705"/>
    <cellStyle name="Normal 5 2 7 3 2" xfId="2400"/>
    <cellStyle name="Normal 5 2 7 3 2 2" xfId="10625"/>
    <cellStyle name="Normal 5 2 7 3 2 2 2" xfId="27075"/>
    <cellStyle name="Normal 5 2 7 3 2 3" xfId="18850"/>
    <cellStyle name="Normal 5 2 7 3 2 4" xfId="35304"/>
    <cellStyle name="Normal 5 2 7 3 3" xfId="4045"/>
    <cellStyle name="Normal 5 2 7 3 3 2" xfId="12270"/>
    <cellStyle name="Normal 5 2 7 3 3 2 2" xfId="28720"/>
    <cellStyle name="Normal 5 2 7 3 3 3" xfId="20495"/>
    <cellStyle name="Normal 5 2 7 3 3 4" xfId="36949"/>
    <cellStyle name="Normal 5 2 7 3 4" xfId="5690"/>
    <cellStyle name="Normal 5 2 7 3 4 2" xfId="13915"/>
    <cellStyle name="Normal 5 2 7 3 4 2 2" xfId="30365"/>
    <cellStyle name="Normal 5 2 7 3 4 3" xfId="22140"/>
    <cellStyle name="Normal 5 2 7 3 4 4" xfId="38594"/>
    <cellStyle name="Normal 5 2 7 3 5" xfId="7335"/>
    <cellStyle name="Normal 5 2 7 3 5 2" xfId="15560"/>
    <cellStyle name="Normal 5 2 7 3 5 2 2" xfId="32010"/>
    <cellStyle name="Normal 5 2 7 3 5 3" xfId="23785"/>
    <cellStyle name="Normal 5 2 7 3 5 4" xfId="40239"/>
    <cellStyle name="Normal 5 2 7 3 6" xfId="8980"/>
    <cellStyle name="Normal 5 2 7 3 6 2" xfId="25430"/>
    <cellStyle name="Normal 5 2 7 3 7" xfId="17204"/>
    <cellStyle name="Normal 5 2 7 3 8" xfId="33658"/>
    <cellStyle name="Normal 5 2 7 3 9" xfId="41885"/>
    <cellStyle name="Normal 5 2 7 4" xfId="940"/>
    <cellStyle name="Normal 5 2 7 4 2" xfId="2635"/>
    <cellStyle name="Normal 5 2 7 4 2 2" xfId="10860"/>
    <cellStyle name="Normal 5 2 7 4 2 2 2" xfId="27310"/>
    <cellStyle name="Normal 5 2 7 4 2 3" xfId="19085"/>
    <cellStyle name="Normal 5 2 7 4 2 4" xfId="35539"/>
    <cellStyle name="Normal 5 2 7 4 3" xfId="4280"/>
    <cellStyle name="Normal 5 2 7 4 3 2" xfId="12505"/>
    <cellStyle name="Normal 5 2 7 4 3 2 2" xfId="28955"/>
    <cellStyle name="Normal 5 2 7 4 3 3" xfId="20730"/>
    <cellStyle name="Normal 5 2 7 4 3 4" xfId="37184"/>
    <cellStyle name="Normal 5 2 7 4 4" xfId="5925"/>
    <cellStyle name="Normal 5 2 7 4 4 2" xfId="14150"/>
    <cellStyle name="Normal 5 2 7 4 4 2 2" xfId="30600"/>
    <cellStyle name="Normal 5 2 7 4 4 3" xfId="22375"/>
    <cellStyle name="Normal 5 2 7 4 4 4" xfId="38829"/>
    <cellStyle name="Normal 5 2 7 4 5" xfId="7570"/>
    <cellStyle name="Normal 5 2 7 4 5 2" xfId="15795"/>
    <cellStyle name="Normal 5 2 7 4 5 2 2" xfId="32245"/>
    <cellStyle name="Normal 5 2 7 4 5 3" xfId="24020"/>
    <cellStyle name="Normal 5 2 7 4 5 4" xfId="40474"/>
    <cellStyle name="Normal 5 2 7 4 6" xfId="9215"/>
    <cellStyle name="Normal 5 2 7 4 6 2" xfId="25665"/>
    <cellStyle name="Normal 5 2 7 4 7" xfId="17439"/>
    <cellStyle name="Normal 5 2 7 4 8" xfId="33893"/>
    <cellStyle name="Normal 5 2 7 4 9" xfId="42120"/>
    <cellStyle name="Normal 5 2 7 5" xfId="1175"/>
    <cellStyle name="Normal 5 2 7 5 2" xfId="2870"/>
    <cellStyle name="Normal 5 2 7 5 2 2" xfId="11095"/>
    <cellStyle name="Normal 5 2 7 5 2 2 2" xfId="27545"/>
    <cellStyle name="Normal 5 2 7 5 2 3" xfId="19320"/>
    <cellStyle name="Normal 5 2 7 5 2 4" xfId="35774"/>
    <cellStyle name="Normal 5 2 7 5 3" xfId="4515"/>
    <cellStyle name="Normal 5 2 7 5 3 2" xfId="12740"/>
    <cellStyle name="Normal 5 2 7 5 3 2 2" xfId="29190"/>
    <cellStyle name="Normal 5 2 7 5 3 3" xfId="20965"/>
    <cellStyle name="Normal 5 2 7 5 3 4" xfId="37419"/>
    <cellStyle name="Normal 5 2 7 5 4" xfId="6160"/>
    <cellStyle name="Normal 5 2 7 5 4 2" xfId="14385"/>
    <cellStyle name="Normal 5 2 7 5 4 2 2" xfId="30835"/>
    <cellStyle name="Normal 5 2 7 5 4 3" xfId="22610"/>
    <cellStyle name="Normal 5 2 7 5 4 4" xfId="39064"/>
    <cellStyle name="Normal 5 2 7 5 5" xfId="7805"/>
    <cellStyle name="Normal 5 2 7 5 5 2" xfId="16030"/>
    <cellStyle name="Normal 5 2 7 5 5 2 2" xfId="32480"/>
    <cellStyle name="Normal 5 2 7 5 5 3" xfId="24255"/>
    <cellStyle name="Normal 5 2 7 5 5 4" xfId="40709"/>
    <cellStyle name="Normal 5 2 7 5 6" xfId="9450"/>
    <cellStyle name="Normal 5 2 7 5 6 2" xfId="25900"/>
    <cellStyle name="Normal 5 2 7 5 7" xfId="17674"/>
    <cellStyle name="Normal 5 2 7 5 8" xfId="34128"/>
    <cellStyle name="Normal 5 2 7 5 9" xfId="42355"/>
    <cellStyle name="Normal 5 2 7 6" xfId="1455"/>
    <cellStyle name="Normal 5 2 7 6 2" xfId="3105"/>
    <cellStyle name="Normal 5 2 7 6 2 2" xfId="11330"/>
    <cellStyle name="Normal 5 2 7 6 2 2 2" xfId="27780"/>
    <cellStyle name="Normal 5 2 7 6 2 3" xfId="19555"/>
    <cellStyle name="Normal 5 2 7 6 2 4" xfId="36009"/>
    <cellStyle name="Normal 5 2 7 6 3" xfId="4750"/>
    <cellStyle name="Normal 5 2 7 6 3 2" xfId="12975"/>
    <cellStyle name="Normal 5 2 7 6 3 2 2" xfId="29425"/>
    <cellStyle name="Normal 5 2 7 6 3 3" xfId="21200"/>
    <cellStyle name="Normal 5 2 7 6 3 4" xfId="37654"/>
    <cellStyle name="Normal 5 2 7 6 4" xfId="6395"/>
    <cellStyle name="Normal 5 2 7 6 4 2" xfId="14620"/>
    <cellStyle name="Normal 5 2 7 6 4 2 2" xfId="31070"/>
    <cellStyle name="Normal 5 2 7 6 4 3" xfId="22845"/>
    <cellStyle name="Normal 5 2 7 6 4 4" xfId="39299"/>
    <cellStyle name="Normal 5 2 7 6 5" xfId="8040"/>
    <cellStyle name="Normal 5 2 7 6 5 2" xfId="16265"/>
    <cellStyle name="Normal 5 2 7 6 5 2 2" xfId="32715"/>
    <cellStyle name="Normal 5 2 7 6 5 3" xfId="24490"/>
    <cellStyle name="Normal 5 2 7 6 5 4" xfId="40944"/>
    <cellStyle name="Normal 5 2 7 6 6" xfId="9685"/>
    <cellStyle name="Normal 5 2 7 6 6 2" xfId="26135"/>
    <cellStyle name="Normal 5 2 7 6 7" xfId="17909"/>
    <cellStyle name="Normal 5 2 7 6 8" xfId="34363"/>
    <cellStyle name="Normal 5 2 7 7" xfId="1690"/>
    <cellStyle name="Normal 5 2 7 7 2" xfId="3340"/>
    <cellStyle name="Normal 5 2 7 7 2 2" xfId="11565"/>
    <cellStyle name="Normal 5 2 7 7 2 2 2" xfId="28015"/>
    <cellStyle name="Normal 5 2 7 7 2 3" xfId="19790"/>
    <cellStyle name="Normal 5 2 7 7 2 4" xfId="36244"/>
    <cellStyle name="Normal 5 2 7 7 3" xfId="4985"/>
    <cellStyle name="Normal 5 2 7 7 3 2" xfId="13210"/>
    <cellStyle name="Normal 5 2 7 7 3 2 2" xfId="29660"/>
    <cellStyle name="Normal 5 2 7 7 3 3" xfId="21435"/>
    <cellStyle name="Normal 5 2 7 7 3 4" xfId="37889"/>
    <cellStyle name="Normal 5 2 7 7 4" xfId="6630"/>
    <cellStyle name="Normal 5 2 7 7 4 2" xfId="14855"/>
    <cellStyle name="Normal 5 2 7 7 4 2 2" xfId="31305"/>
    <cellStyle name="Normal 5 2 7 7 4 3" xfId="23080"/>
    <cellStyle name="Normal 5 2 7 7 4 4" xfId="39534"/>
    <cellStyle name="Normal 5 2 7 7 5" xfId="8275"/>
    <cellStyle name="Normal 5 2 7 7 5 2" xfId="16500"/>
    <cellStyle name="Normal 5 2 7 7 5 2 2" xfId="32950"/>
    <cellStyle name="Normal 5 2 7 7 5 3" xfId="24725"/>
    <cellStyle name="Normal 5 2 7 7 5 4" xfId="41179"/>
    <cellStyle name="Normal 5 2 7 7 6" xfId="9920"/>
    <cellStyle name="Normal 5 2 7 7 6 2" xfId="26370"/>
    <cellStyle name="Normal 5 2 7 7 7" xfId="18144"/>
    <cellStyle name="Normal 5 2 7 7 8" xfId="34598"/>
    <cellStyle name="Normal 5 2 7 8" xfId="1925"/>
    <cellStyle name="Normal 5 2 7 8 2" xfId="10155"/>
    <cellStyle name="Normal 5 2 7 8 2 2" xfId="26605"/>
    <cellStyle name="Normal 5 2 7 8 3" xfId="18379"/>
    <cellStyle name="Normal 5 2 7 8 4" xfId="34833"/>
    <cellStyle name="Normal 5 2 7 9" xfId="3575"/>
    <cellStyle name="Normal 5 2 7 9 2" xfId="11800"/>
    <cellStyle name="Normal 5 2 7 9 2 2" xfId="28250"/>
    <cellStyle name="Normal 5 2 7 9 3" xfId="20025"/>
    <cellStyle name="Normal 5 2 7 9 4" xfId="36479"/>
    <cellStyle name="Normal 5 2 8" xfId="252"/>
    <cellStyle name="Normal 5 2 8 10" xfId="5247"/>
    <cellStyle name="Normal 5 2 8 10 2" xfId="13472"/>
    <cellStyle name="Normal 5 2 8 10 2 2" xfId="29922"/>
    <cellStyle name="Normal 5 2 8 10 3" xfId="21697"/>
    <cellStyle name="Normal 5 2 8 10 4" xfId="38151"/>
    <cellStyle name="Normal 5 2 8 11" xfId="6892"/>
    <cellStyle name="Normal 5 2 8 11 2" xfId="15117"/>
    <cellStyle name="Normal 5 2 8 11 2 2" xfId="31567"/>
    <cellStyle name="Normal 5 2 8 11 3" xfId="23342"/>
    <cellStyle name="Normal 5 2 8 11 4" xfId="39796"/>
    <cellStyle name="Normal 5 2 8 12" xfId="8537"/>
    <cellStyle name="Normal 5 2 8 12 2" xfId="24987"/>
    <cellStyle name="Normal 5 2 8 13" xfId="16761"/>
    <cellStyle name="Normal 5 2 8 14" xfId="33214"/>
    <cellStyle name="Normal 5 2 8 15" xfId="41442"/>
    <cellStyle name="Normal 5 2 8 2" xfId="495"/>
    <cellStyle name="Normal 5 2 8 2 2" xfId="2190"/>
    <cellStyle name="Normal 5 2 8 2 2 2" xfId="10417"/>
    <cellStyle name="Normal 5 2 8 2 2 2 2" xfId="26867"/>
    <cellStyle name="Normal 5 2 8 2 2 3" xfId="18642"/>
    <cellStyle name="Normal 5 2 8 2 2 4" xfId="35096"/>
    <cellStyle name="Normal 5 2 8 2 3" xfId="3837"/>
    <cellStyle name="Normal 5 2 8 2 3 2" xfId="12062"/>
    <cellStyle name="Normal 5 2 8 2 3 2 2" xfId="28512"/>
    <cellStyle name="Normal 5 2 8 2 3 3" xfId="20287"/>
    <cellStyle name="Normal 5 2 8 2 3 4" xfId="36741"/>
    <cellStyle name="Normal 5 2 8 2 4" xfId="5482"/>
    <cellStyle name="Normal 5 2 8 2 4 2" xfId="13707"/>
    <cellStyle name="Normal 5 2 8 2 4 2 2" xfId="30157"/>
    <cellStyle name="Normal 5 2 8 2 4 3" xfId="21932"/>
    <cellStyle name="Normal 5 2 8 2 4 4" xfId="38386"/>
    <cellStyle name="Normal 5 2 8 2 5" xfId="7127"/>
    <cellStyle name="Normal 5 2 8 2 5 2" xfId="15352"/>
    <cellStyle name="Normal 5 2 8 2 5 2 2" xfId="31802"/>
    <cellStyle name="Normal 5 2 8 2 5 3" xfId="23577"/>
    <cellStyle name="Normal 5 2 8 2 5 4" xfId="40031"/>
    <cellStyle name="Normal 5 2 8 2 6" xfId="8772"/>
    <cellStyle name="Normal 5 2 8 2 6 2" xfId="25222"/>
    <cellStyle name="Normal 5 2 8 2 7" xfId="16996"/>
    <cellStyle name="Normal 5 2 8 2 8" xfId="33450"/>
    <cellStyle name="Normal 5 2 8 2 9" xfId="41677"/>
    <cellStyle name="Normal 5 2 8 3" xfId="732"/>
    <cellStyle name="Normal 5 2 8 3 2" xfId="2427"/>
    <cellStyle name="Normal 5 2 8 3 2 2" xfId="10652"/>
    <cellStyle name="Normal 5 2 8 3 2 2 2" xfId="27102"/>
    <cellStyle name="Normal 5 2 8 3 2 3" xfId="18877"/>
    <cellStyle name="Normal 5 2 8 3 2 4" xfId="35331"/>
    <cellStyle name="Normal 5 2 8 3 3" xfId="4072"/>
    <cellStyle name="Normal 5 2 8 3 3 2" xfId="12297"/>
    <cellStyle name="Normal 5 2 8 3 3 2 2" xfId="28747"/>
    <cellStyle name="Normal 5 2 8 3 3 3" xfId="20522"/>
    <cellStyle name="Normal 5 2 8 3 3 4" xfId="36976"/>
    <cellStyle name="Normal 5 2 8 3 4" xfId="5717"/>
    <cellStyle name="Normal 5 2 8 3 4 2" xfId="13942"/>
    <cellStyle name="Normal 5 2 8 3 4 2 2" xfId="30392"/>
    <cellStyle name="Normal 5 2 8 3 4 3" xfId="22167"/>
    <cellStyle name="Normal 5 2 8 3 4 4" xfId="38621"/>
    <cellStyle name="Normal 5 2 8 3 5" xfId="7362"/>
    <cellStyle name="Normal 5 2 8 3 5 2" xfId="15587"/>
    <cellStyle name="Normal 5 2 8 3 5 2 2" xfId="32037"/>
    <cellStyle name="Normal 5 2 8 3 5 3" xfId="23812"/>
    <cellStyle name="Normal 5 2 8 3 5 4" xfId="40266"/>
    <cellStyle name="Normal 5 2 8 3 6" xfId="9007"/>
    <cellStyle name="Normal 5 2 8 3 6 2" xfId="25457"/>
    <cellStyle name="Normal 5 2 8 3 7" xfId="17231"/>
    <cellStyle name="Normal 5 2 8 3 8" xfId="33685"/>
    <cellStyle name="Normal 5 2 8 3 9" xfId="41912"/>
    <cellStyle name="Normal 5 2 8 4" xfId="967"/>
    <cellStyle name="Normal 5 2 8 4 2" xfId="2662"/>
    <cellStyle name="Normal 5 2 8 4 2 2" xfId="10887"/>
    <cellStyle name="Normal 5 2 8 4 2 2 2" xfId="27337"/>
    <cellStyle name="Normal 5 2 8 4 2 3" xfId="19112"/>
    <cellStyle name="Normal 5 2 8 4 2 4" xfId="35566"/>
    <cellStyle name="Normal 5 2 8 4 3" xfId="4307"/>
    <cellStyle name="Normal 5 2 8 4 3 2" xfId="12532"/>
    <cellStyle name="Normal 5 2 8 4 3 2 2" xfId="28982"/>
    <cellStyle name="Normal 5 2 8 4 3 3" xfId="20757"/>
    <cellStyle name="Normal 5 2 8 4 3 4" xfId="37211"/>
    <cellStyle name="Normal 5 2 8 4 4" xfId="5952"/>
    <cellStyle name="Normal 5 2 8 4 4 2" xfId="14177"/>
    <cellStyle name="Normal 5 2 8 4 4 2 2" xfId="30627"/>
    <cellStyle name="Normal 5 2 8 4 4 3" xfId="22402"/>
    <cellStyle name="Normal 5 2 8 4 4 4" xfId="38856"/>
    <cellStyle name="Normal 5 2 8 4 5" xfId="7597"/>
    <cellStyle name="Normal 5 2 8 4 5 2" xfId="15822"/>
    <cellStyle name="Normal 5 2 8 4 5 2 2" xfId="32272"/>
    <cellStyle name="Normal 5 2 8 4 5 3" xfId="24047"/>
    <cellStyle name="Normal 5 2 8 4 5 4" xfId="40501"/>
    <cellStyle name="Normal 5 2 8 4 6" xfId="9242"/>
    <cellStyle name="Normal 5 2 8 4 6 2" xfId="25692"/>
    <cellStyle name="Normal 5 2 8 4 7" xfId="17466"/>
    <cellStyle name="Normal 5 2 8 4 8" xfId="33920"/>
    <cellStyle name="Normal 5 2 8 4 9" xfId="42147"/>
    <cellStyle name="Normal 5 2 8 5" xfId="1202"/>
    <cellStyle name="Normal 5 2 8 5 2" xfId="2897"/>
    <cellStyle name="Normal 5 2 8 5 2 2" xfId="11122"/>
    <cellStyle name="Normal 5 2 8 5 2 2 2" xfId="27572"/>
    <cellStyle name="Normal 5 2 8 5 2 3" xfId="19347"/>
    <cellStyle name="Normal 5 2 8 5 2 4" xfId="35801"/>
    <cellStyle name="Normal 5 2 8 5 3" xfId="4542"/>
    <cellStyle name="Normal 5 2 8 5 3 2" xfId="12767"/>
    <cellStyle name="Normal 5 2 8 5 3 2 2" xfId="29217"/>
    <cellStyle name="Normal 5 2 8 5 3 3" xfId="20992"/>
    <cellStyle name="Normal 5 2 8 5 3 4" xfId="37446"/>
    <cellStyle name="Normal 5 2 8 5 4" xfId="6187"/>
    <cellStyle name="Normal 5 2 8 5 4 2" xfId="14412"/>
    <cellStyle name="Normal 5 2 8 5 4 2 2" xfId="30862"/>
    <cellStyle name="Normal 5 2 8 5 4 3" xfId="22637"/>
    <cellStyle name="Normal 5 2 8 5 4 4" xfId="39091"/>
    <cellStyle name="Normal 5 2 8 5 5" xfId="7832"/>
    <cellStyle name="Normal 5 2 8 5 5 2" xfId="16057"/>
    <cellStyle name="Normal 5 2 8 5 5 2 2" xfId="32507"/>
    <cellStyle name="Normal 5 2 8 5 5 3" xfId="24282"/>
    <cellStyle name="Normal 5 2 8 5 5 4" xfId="40736"/>
    <cellStyle name="Normal 5 2 8 5 6" xfId="9477"/>
    <cellStyle name="Normal 5 2 8 5 6 2" xfId="25927"/>
    <cellStyle name="Normal 5 2 8 5 7" xfId="17701"/>
    <cellStyle name="Normal 5 2 8 5 8" xfId="34155"/>
    <cellStyle name="Normal 5 2 8 5 9" xfId="42382"/>
    <cellStyle name="Normal 5 2 8 6" xfId="1482"/>
    <cellStyle name="Normal 5 2 8 6 2" xfId="3132"/>
    <cellStyle name="Normal 5 2 8 6 2 2" xfId="11357"/>
    <cellStyle name="Normal 5 2 8 6 2 2 2" xfId="27807"/>
    <cellStyle name="Normal 5 2 8 6 2 3" xfId="19582"/>
    <cellStyle name="Normal 5 2 8 6 2 4" xfId="36036"/>
    <cellStyle name="Normal 5 2 8 6 3" xfId="4777"/>
    <cellStyle name="Normal 5 2 8 6 3 2" xfId="13002"/>
    <cellStyle name="Normal 5 2 8 6 3 2 2" xfId="29452"/>
    <cellStyle name="Normal 5 2 8 6 3 3" xfId="21227"/>
    <cellStyle name="Normal 5 2 8 6 3 4" xfId="37681"/>
    <cellStyle name="Normal 5 2 8 6 4" xfId="6422"/>
    <cellStyle name="Normal 5 2 8 6 4 2" xfId="14647"/>
    <cellStyle name="Normal 5 2 8 6 4 2 2" xfId="31097"/>
    <cellStyle name="Normal 5 2 8 6 4 3" xfId="22872"/>
    <cellStyle name="Normal 5 2 8 6 4 4" xfId="39326"/>
    <cellStyle name="Normal 5 2 8 6 5" xfId="8067"/>
    <cellStyle name="Normal 5 2 8 6 5 2" xfId="16292"/>
    <cellStyle name="Normal 5 2 8 6 5 2 2" xfId="32742"/>
    <cellStyle name="Normal 5 2 8 6 5 3" xfId="24517"/>
    <cellStyle name="Normal 5 2 8 6 5 4" xfId="40971"/>
    <cellStyle name="Normal 5 2 8 6 6" xfId="9712"/>
    <cellStyle name="Normal 5 2 8 6 6 2" xfId="26162"/>
    <cellStyle name="Normal 5 2 8 6 7" xfId="17936"/>
    <cellStyle name="Normal 5 2 8 6 8" xfId="34390"/>
    <cellStyle name="Normal 5 2 8 7" xfId="1717"/>
    <cellStyle name="Normal 5 2 8 7 2" xfId="3367"/>
    <cellStyle name="Normal 5 2 8 7 2 2" xfId="11592"/>
    <cellStyle name="Normal 5 2 8 7 2 2 2" xfId="28042"/>
    <cellStyle name="Normal 5 2 8 7 2 3" xfId="19817"/>
    <cellStyle name="Normal 5 2 8 7 2 4" xfId="36271"/>
    <cellStyle name="Normal 5 2 8 7 3" xfId="5012"/>
    <cellStyle name="Normal 5 2 8 7 3 2" xfId="13237"/>
    <cellStyle name="Normal 5 2 8 7 3 2 2" xfId="29687"/>
    <cellStyle name="Normal 5 2 8 7 3 3" xfId="21462"/>
    <cellStyle name="Normal 5 2 8 7 3 4" xfId="37916"/>
    <cellStyle name="Normal 5 2 8 7 4" xfId="6657"/>
    <cellStyle name="Normal 5 2 8 7 4 2" xfId="14882"/>
    <cellStyle name="Normal 5 2 8 7 4 2 2" xfId="31332"/>
    <cellStyle name="Normal 5 2 8 7 4 3" xfId="23107"/>
    <cellStyle name="Normal 5 2 8 7 4 4" xfId="39561"/>
    <cellStyle name="Normal 5 2 8 7 5" xfId="8302"/>
    <cellStyle name="Normal 5 2 8 7 5 2" xfId="16527"/>
    <cellStyle name="Normal 5 2 8 7 5 2 2" xfId="32977"/>
    <cellStyle name="Normal 5 2 8 7 5 3" xfId="24752"/>
    <cellStyle name="Normal 5 2 8 7 5 4" xfId="41206"/>
    <cellStyle name="Normal 5 2 8 7 6" xfId="9947"/>
    <cellStyle name="Normal 5 2 8 7 6 2" xfId="26397"/>
    <cellStyle name="Normal 5 2 8 7 7" xfId="18171"/>
    <cellStyle name="Normal 5 2 8 7 8" xfId="34625"/>
    <cellStyle name="Normal 5 2 8 8" xfId="1952"/>
    <cellStyle name="Normal 5 2 8 8 2" xfId="10182"/>
    <cellStyle name="Normal 5 2 8 8 2 2" xfId="26632"/>
    <cellStyle name="Normal 5 2 8 8 3" xfId="18406"/>
    <cellStyle name="Normal 5 2 8 8 4" xfId="34860"/>
    <cellStyle name="Normal 5 2 8 9" xfId="3602"/>
    <cellStyle name="Normal 5 2 8 9 2" xfId="11827"/>
    <cellStyle name="Normal 5 2 8 9 2 2" xfId="28277"/>
    <cellStyle name="Normal 5 2 8 9 3" xfId="20052"/>
    <cellStyle name="Normal 5 2 8 9 4" xfId="36506"/>
    <cellStyle name="Normal 5 2 9" xfId="281"/>
    <cellStyle name="Normal 5 2 9 2" xfId="1982"/>
    <cellStyle name="Normal 5 2 9 2 2" xfId="10209"/>
    <cellStyle name="Normal 5 2 9 2 2 2" xfId="26659"/>
    <cellStyle name="Normal 5 2 9 2 3" xfId="18434"/>
    <cellStyle name="Normal 5 2 9 2 4" xfId="34888"/>
    <cellStyle name="Normal 5 2 9 3" xfId="3629"/>
    <cellStyle name="Normal 5 2 9 3 2" xfId="11854"/>
    <cellStyle name="Normal 5 2 9 3 2 2" xfId="28304"/>
    <cellStyle name="Normal 5 2 9 3 3" xfId="20079"/>
    <cellStyle name="Normal 5 2 9 3 4" xfId="36533"/>
    <cellStyle name="Normal 5 2 9 4" xfId="5274"/>
    <cellStyle name="Normal 5 2 9 4 2" xfId="13499"/>
    <cellStyle name="Normal 5 2 9 4 2 2" xfId="29949"/>
    <cellStyle name="Normal 5 2 9 4 3" xfId="21724"/>
    <cellStyle name="Normal 5 2 9 4 4" xfId="38178"/>
    <cellStyle name="Normal 5 2 9 5" xfId="6919"/>
    <cellStyle name="Normal 5 2 9 5 2" xfId="15144"/>
    <cellStyle name="Normal 5 2 9 5 2 2" xfId="31594"/>
    <cellStyle name="Normal 5 2 9 5 3" xfId="23369"/>
    <cellStyle name="Normal 5 2 9 5 4" xfId="39823"/>
    <cellStyle name="Normal 5 2 9 6" xfId="8564"/>
    <cellStyle name="Normal 5 2 9 6 2" xfId="25014"/>
    <cellStyle name="Normal 5 2 9 7" xfId="16788"/>
    <cellStyle name="Normal 5 2 9 8" xfId="33242"/>
    <cellStyle name="Normal 5 2 9 9" xfId="41469"/>
    <cellStyle name="Normal 5 20" xfId="8322"/>
    <cellStyle name="Normal 5 20 2" xfId="24772"/>
    <cellStyle name="Normal 5 21" xfId="16546"/>
    <cellStyle name="Normal 5 22" xfId="32999"/>
    <cellStyle name="Normal 5 23" xfId="41227"/>
    <cellStyle name="Normal 5 3" xfId="58"/>
    <cellStyle name="Normal 5 3 10" xfId="3412"/>
    <cellStyle name="Normal 5 3 10 2" xfId="11637"/>
    <cellStyle name="Normal 5 3 10 2 2" xfId="28087"/>
    <cellStyle name="Normal 5 3 10 3" xfId="19862"/>
    <cellStyle name="Normal 5 3 10 4" xfId="36316"/>
    <cellStyle name="Normal 5 3 11" xfId="5057"/>
    <cellStyle name="Normal 5 3 11 2" xfId="13282"/>
    <cellStyle name="Normal 5 3 11 2 2" xfId="29732"/>
    <cellStyle name="Normal 5 3 11 3" xfId="21507"/>
    <cellStyle name="Normal 5 3 11 4" xfId="37961"/>
    <cellStyle name="Normal 5 3 12" xfId="6702"/>
    <cellStyle name="Normal 5 3 12 2" xfId="14927"/>
    <cellStyle name="Normal 5 3 12 2 2" xfId="31377"/>
    <cellStyle name="Normal 5 3 12 3" xfId="23152"/>
    <cellStyle name="Normal 5 3 12 4" xfId="39606"/>
    <cellStyle name="Normal 5 3 13" xfId="8347"/>
    <cellStyle name="Normal 5 3 13 2" xfId="24797"/>
    <cellStyle name="Normal 5 3 14" xfId="16571"/>
    <cellStyle name="Normal 5 3 15" xfId="33024"/>
    <cellStyle name="Normal 5 3 16" xfId="41252"/>
    <cellStyle name="Normal 5 3 2" xfId="108"/>
    <cellStyle name="Normal 5 3 2 10" xfId="5107"/>
    <cellStyle name="Normal 5 3 2 10 2" xfId="13332"/>
    <cellStyle name="Normal 5 3 2 10 2 2" xfId="29782"/>
    <cellStyle name="Normal 5 3 2 10 3" xfId="21557"/>
    <cellStyle name="Normal 5 3 2 10 4" xfId="38011"/>
    <cellStyle name="Normal 5 3 2 11" xfId="6752"/>
    <cellStyle name="Normal 5 3 2 11 2" xfId="14977"/>
    <cellStyle name="Normal 5 3 2 11 2 2" xfId="31427"/>
    <cellStyle name="Normal 5 3 2 11 3" xfId="23202"/>
    <cellStyle name="Normal 5 3 2 11 4" xfId="39656"/>
    <cellStyle name="Normal 5 3 2 12" xfId="8397"/>
    <cellStyle name="Normal 5 3 2 12 2" xfId="24847"/>
    <cellStyle name="Normal 5 3 2 13" xfId="16621"/>
    <cellStyle name="Normal 5 3 2 14" xfId="33074"/>
    <cellStyle name="Normal 5 3 2 15" xfId="41302"/>
    <cellStyle name="Normal 5 3 2 2" xfId="351"/>
    <cellStyle name="Normal 5 3 2 2 2" xfId="2050"/>
    <cellStyle name="Normal 5 3 2 2 2 2" xfId="10277"/>
    <cellStyle name="Normal 5 3 2 2 2 2 2" xfId="26727"/>
    <cellStyle name="Normal 5 3 2 2 2 3" xfId="18502"/>
    <cellStyle name="Normal 5 3 2 2 2 4" xfId="34956"/>
    <cellStyle name="Normal 5 3 2 2 3" xfId="3697"/>
    <cellStyle name="Normal 5 3 2 2 3 2" xfId="11922"/>
    <cellStyle name="Normal 5 3 2 2 3 2 2" xfId="28372"/>
    <cellStyle name="Normal 5 3 2 2 3 3" xfId="20147"/>
    <cellStyle name="Normal 5 3 2 2 3 4" xfId="36601"/>
    <cellStyle name="Normal 5 3 2 2 4" xfId="5342"/>
    <cellStyle name="Normal 5 3 2 2 4 2" xfId="13567"/>
    <cellStyle name="Normal 5 3 2 2 4 2 2" xfId="30017"/>
    <cellStyle name="Normal 5 3 2 2 4 3" xfId="21792"/>
    <cellStyle name="Normal 5 3 2 2 4 4" xfId="38246"/>
    <cellStyle name="Normal 5 3 2 2 5" xfId="6987"/>
    <cellStyle name="Normal 5 3 2 2 5 2" xfId="15212"/>
    <cellStyle name="Normal 5 3 2 2 5 2 2" xfId="31662"/>
    <cellStyle name="Normal 5 3 2 2 5 3" xfId="23437"/>
    <cellStyle name="Normal 5 3 2 2 5 4" xfId="39891"/>
    <cellStyle name="Normal 5 3 2 2 6" xfId="8632"/>
    <cellStyle name="Normal 5 3 2 2 6 2" xfId="25082"/>
    <cellStyle name="Normal 5 3 2 2 7" xfId="16856"/>
    <cellStyle name="Normal 5 3 2 2 8" xfId="33310"/>
    <cellStyle name="Normal 5 3 2 2 9" xfId="41537"/>
    <cellStyle name="Normal 5 3 2 3" xfId="592"/>
    <cellStyle name="Normal 5 3 2 3 2" xfId="2287"/>
    <cellStyle name="Normal 5 3 2 3 2 2" xfId="10512"/>
    <cellStyle name="Normal 5 3 2 3 2 2 2" xfId="26962"/>
    <cellStyle name="Normal 5 3 2 3 2 3" xfId="18737"/>
    <cellStyle name="Normal 5 3 2 3 2 4" xfId="35191"/>
    <cellStyle name="Normal 5 3 2 3 3" xfId="3932"/>
    <cellStyle name="Normal 5 3 2 3 3 2" xfId="12157"/>
    <cellStyle name="Normal 5 3 2 3 3 2 2" xfId="28607"/>
    <cellStyle name="Normal 5 3 2 3 3 3" xfId="20382"/>
    <cellStyle name="Normal 5 3 2 3 3 4" xfId="36836"/>
    <cellStyle name="Normal 5 3 2 3 4" xfId="5577"/>
    <cellStyle name="Normal 5 3 2 3 4 2" xfId="13802"/>
    <cellStyle name="Normal 5 3 2 3 4 2 2" xfId="30252"/>
    <cellStyle name="Normal 5 3 2 3 4 3" xfId="22027"/>
    <cellStyle name="Normal 5 3 2 3 4 4" xfId="38481"/>
    <cellStyle name="Normal 5 3 2 3 5" xfId="7222"/>
    <cellStyle name="Normal 5 3 2 3 5 2" xfId="15447"/>
    <cellStyle name="Normal 5 3 2 3 5 2 2" xfId="31897"/>
    <cellStyle name="Normal 5 3 2 3 5 3" xfId="23672"/>
    <cellStyle name="Normal 5 3 2 3 5 4" xfId="40126"/>
    <cellStyle name="Normal 5 3 2 3 6" xfId="8867"/>
    <cellStyle name="Normal 5 3 2 3 6 2" xfId="25317"/>
    <cellStyle name="Normal 5 3 2 3 7" xfId="17091"/>
    <cellStyle name="Normal 5 3 2 3 8" xfId="33545"/>
    <cellStyle name="Normal 5 3 2 3 9" xfId="41772"/>
    <cellStyle name="Normal 5 3 2 4" xfId="827"/>
    <cellStyle name="Normal 5 3 2 4 2" xfId="2522"/>
    <cellStyle name="Normal 5 3 2 4 2 2" xfId="10747"/>
    <cellStyle name="Normal 5 3 2 4 2 2 2" xfId="27197"/>
    <cellStyle name="Normal 5 3 2 4 2 3" xfId="18972"/>
    <cellStyle name="Normal 5 3 2 4 2 4" xfId="35426"/>
    <cellStyle name="Normal 5 3 2 4 3" xfId="4167"/>
    <cellStyle name="Normal 5 3 2 4 3 2" xfId="12392"/>
    <cellStyle name="Normal 5 3 2 4 3 2 2" xfId="28842"/>
    <cellStyle name="Normal 5 3 2 4 3 3" xfId="20617"/>
    <cellStyle name="Normal 5 3 2 4 3 4" xfId="37071"/>
    <cellStyle name="Normal 5 3 2 4 4" xfId="5812"/>
    <cellStyle name="Normal 5 3 2 4 4 2" xfId="14037"/>
    <cellStyle name="Normal 5 3 2 4 4 2 2" xfId="30487"/>
    <cellStyle name="Normal 5 3 2 4 4 3" xfId="22262"/>
    <cellStyle name="Normal 5 3 2 4 4 4" xfId="38716"/>
    <cellStyle name="Normal 5 3 2 4 5" xfId="7457"/>
    <cellStyle name="Normal 5 3 2 4 5 2" xfId="15682"/>
    <cellStyle name="Normal 5 3 2 4 5 2 2" xfId="32132"/>
    <cellStyle name="Normal 5 3 2 4 5 3" xfId="23907"/>
    <cellStyle name="Normal 5 3 2 4 5 4" xfId="40361"/>
    <cellStyle name="Normal 5 3 2 4 6" xfId="9102"/>
    <cellStyle name="Normal 5 3 2 4 6 2" xfId="25552"/>
    <cellStyle name="Normal 5 3 2 4 7" xfId="17326"/>
    <cellStyle name="Normal 5 3 2 4 8" xfId="33780"/>
    <cellStyle name="Normal 5 3 2 4 9" xfId="42007"/>
    <cellStyle name="Normal 5 3 2 5" xfId="1062"/>
    <cellStyle name="Normal 5 3 2 5 2" xfId="2757"/>
    <cellStyle name="Normal 5 3 2 5 2 2" xfId="10982"/>
    <cellStyle name="Normal 5 3 2 5 2 2 2" xfId="27432"/>
    <cellStyle name="Normal 5 3 2 5 2 3" xfId="19207"/>
    <cellStyle name="Normal 5 3 2 5 2 4" xfId="35661"/>
    <cellStyle name="Normal 5 3 2 5 3" xfId="4402"/>
    <cellStyle name="Normal 5 3 2 5 3 2" xfId="12627"/>
    <cellStyle name="Normal 5 3 2 5 3 2 2" xfId="29077"/>
    <cellStyle name="Normal 5 3 2 5 3 3" xfId="20852"/>
    <cellStyle name="Normal 5 3 2 5 3 4" xfId="37306"/>
    <cellStyle name="Normal 5 3 2 5 4" xfId="6047"/>
    <cellStyle name="Normal 5 3 2 5 4 2" xfId="14272"/>
    <cellStyle name="Normal 5 3 2 5 4 2 2" xfId="30722"/>
    <cellStyle name="Normal 5 3 2 5 4 3" xfId="22497"/>
    <cellStyle name="Normal 5 3 2 5 4 4" xfId="38951"/>
    <cellStyle name="Normal 5 3 2 5 5" xfId="7692"/>
    <cellStyle name="Normal 5 3 2 5 5 2" xfId="15917"/>
    <cellStyle name="Normal 5 3 2 5 5 2 2" xfId="32367"/>
    <cellStyle name="Normal 5 3 2 5 5 3" xfId="24142"/>
    <cellStyle name="Normal 5 3 2 5 5 4" xfId="40596"/>
    <cellStyle name="Normal 5 3 2 5 6" xfId="9337"/>
    <cellStyle name="Normal 5 3 2 5 6 2" xfId="25787"/>
    <cellStyle name="Normal 5 3 2 5 7" xfId="17561"/>
    <cellStyle name="Normal 5 3 2 5 8" xfId="34015"/>
    <cellStyle name="Normal 5 3 2 5 9" xfId="42242"/>
    <cellStyle name="Normal 5 3 2 6" xfId="1342"/>
    <cellStyle name="Normal 5 3 2 6 2" xfId="2992"/>
    <cellStyle name="Normal 5 3 2 6 2 2" xfId="11217"/>
    <cellStyle name="Normal 5 3 2 6 2 2 2" xfId="27667"/>
    <cellStyle name="Normal 5 3 2 6 2 3" xfId="19442"/>
    <cellStyle name="Normal 5 3 2 6 2 4" xfId="35896"/>
    <cellStyle name="Normal 5 3 2 6 3" xfId="4637"/>
    <cellStyle name="Normal 5 3 2 6 3 2" xfId="12862"/>
    <cellStyle name="Normal 5 3 2 6 3 2 2" xfId="29312"/>
    <cellStyle name="Normal 5 3 2 6 3 3" xfId="21087"/>
    <cellStyle name="Normal 5 3 2 6 3 4" xfId="37541"/>
    <cellStyle name="Normal 5 3 2 6 4" xfId="6282"/>
    <cellStyle name="Normal 5 3 2 6 4 2" xfId="14507"/>
    <cellStyle name="Normal 5 3 2 6 4 2 2" xfId="30957"/>
    <cellStyle name="Normal 5 3 2 6 4 3" xfId="22732"/>
    <cellStyle name="Normal 5 3 2 6 4 4" xfId="39186"/>
    <cellStyle name="Normal 5 3 2 6 5" xfId="7927"/>
    <cellStyle name="Normal 5 3 2 6 5 2" xfId="16152"/>
    <cellStyle name="Normal 5 3 2 6 5 2 2" xfId="32602"/>
    <cellStyle name="Normal 5 3 2 6 5 3" xfId="24377"/>
    <cellStyle name="Normal 5 3 2 6 5 4" xfId="40831"/>
    <cellStyle name="Normal 5 3 2 6 6" xfId="9572"/>
    <cellStyle name="Normal 5 3 2 6 6 2" xfId="26022"/>
    <cellStyle name="Normal 5 3 2 6 7" xfId="17796"/>
    <cellStyle name="Normal 5 3 2 6 8" xfId="34250"/>
    <cellStyle name="Normal 5 3 2 7" xfId="1577"/>
    <cellStyle name="Normal 5 3 2 7 2" xfId="3227"/>
    <cellStyle name="Normal 5 3 2 7 2 2" xfId="11452"/>
    <cellStyle name="Normal 5 3 2 7 2 2 2" xfId="27902"/>
    <cellStyle name="Normal 5 3 2 7 2 3" xfId="19677"/>
    <cellStyle name="Normal 5 3 2 7 2 4" xfId="36131"/>
    <cellStyle name="Normal 5 3 2 7 3" xfId="4872"/>
    <cellStyle name="Normal 5 3 2 7 3 2" xfId="13097"/>
    <cellStyle name="Normal 5 3 2 7 3 2 2" xfId="29547"/>
    <cellStyle name="Normal 5 3 2 7 3 3" xfId="21322"/>
    <cellStyle name="Normal 5 3 2 7 3 4" xfId="37776"/>
    <cellStyle name="Normal 5 3 2 7 4" xfId="6517"/>
    <cellStyle name="Normal 5 3 2 7 4 2" xfId="14742"/>
    <cellStyle name="Normal 5 3 2 7 4 2 2" xfId="31192"/>
    <cellStyle name="Normal 5 3 2 7 4 3" xfId="22967"/>
    <cellStyle name="Normal 5 3 2 7 4 4" xfId="39421"/>
    <cellStyle name="Normal 5 3 2 7 5" xfId="8162"/>
    <cellStyle name="Normal 5 3 2 7 5 2" xfId="16387"/>
    <cellStyle name="Normal 5 3 2 7 5 2 2" xfId="32837"/>
    <cellStyle name="Normal 5 3 2 7 5 3" xfId="24612"/>
    <cellStyle name="Normal 5 3 2 7 5 4" xfId="41066"/>
    <cellStyle name="Normal 5 3 2 7 6" xfId="9807"/>
    <cellStyle name="Normal 5 3 2 7 6 2" xfId="26257"/>
    <cellStyle name="Normal 5 3 2 7 7" xfId="18031"/>
    <cellStyle name="Normal 5 3 2 7 8" xfId="34485"/>
    <cellStyle name="Normal 5 3 2 8" xfId="1812"/>
    <cellStyle name="Normal 5 3 2 8 2" xfId="10042"/>
    <cellStyle name="Normal 5 3 2 8 2 2" xfId="26492"/>
    <cellStyle name="Normal 5 3 2 8 3" xfId="18266"/>
    <cellStyle name="Normal 5 3 2 8 4" xfId="34720"/>
    <cellStyle name="Normal 5 3 2 9" xfId="3462"/>
    <cellStyle name="Normal 5 3 2 9 2" xfId="11687"/>
    <cellStyle name="Normal 5 3 2 9 2 2" xfId="28137"/>
    <cellStyle name="Normal 5 3 2 9 3" xfId="19912"/>
    <cellStyle name="Normal 5 3 2 9 4" xfId="36366"/>
    <cellStyle name="Normal 5 3 3" xfId="301"/>
    <cellStyle name="Normal 5 3 3 2" xfId="2000"/>
    <cellStyle name="Normal 5 3 3 2 2" xfId="10227"/>
    <cellStyle name="Normal 5 3 3 2 2 2" xfId="26677"/>
    <cellStyle name="Normal 5 3 3 2 3" xfId="18452"/>
    <cellStyle name="Normal 5 3 3 2 4" xfId="34906"/>
    <cellStyle name="Normal 5 3 3 3" xfId="3647"/>
    <cellStyle name="Normal 5 3 3 3 2" xfId="11872"/>
    <cellStyle name="Normal 5 3 3 3 2 2" xfId="28322"/>
    <cellStyle name="Normal 5 3 3 3 3" xfId="20097"/>
    <cellStyle name="Normal 5 3 3 3 4" xfId="36551"/>
    <cellStyle name="Normal 5 3 3 4" xfId="5292"/>
    <cellStyle name="Normal 5 3 3 4 2" xfId="13517"/>
    <cellStyle name="Normal 5 3 3 4 2 2" xfId="29967"/>
    <cellStyle name="Normal 5 3 3 4 3" xfId="21742"/>
    <cellStyle name="Normal 5 3 3 4 4" xfId="38196"/>
    <cellStyle name="Normal 5 3 3 5" xfId="6937"/>
    <cellStyle name="Normal 5 3 3 5 2" xfId="15162"/>
    <cellStyle name="Normal 5 3 3 5 2 2" xfId="31612"/>
    <cellStyle name="Normal 5 3 3 5 3" xfId="23387"/>
    <cellStyle name="Normal 5 3 3 5 4" xfId="39841"/>
    <cellStyle name="Normal 5 3 3 6" xfId="8582"/>
    <cellStyle name="Normal 5 3 3 6 2" xfId="25032"/>
    <cellStyle name="Normal 5 3 3 7" xfId="16806"/>
    <cellStyle name="Normal 5 3 3 8" xfId="33260"/>
    <cellStyle name="Normal 5 3 3 9" xfId="41487"/>
    <cellStyle name="Normal 5 3 4" xfId="542"/>
    <cellStyle name="Normal 5 3 4 2" xfId="2237"/>
    <cellStyle name="Normal 5 3 4 2 2" xfId="10462"/>
    <cellStyle name="Normal 5 3 4 2 2 2" xfId="26912"/>
    <cellStyle name="Normal 5 3 4 2 3" xfId="18687"/>
    <cellStyle name="Normal 5 3 4 2 4" xfId="35141"/>
    <cellStyle name="Normal 5 3 4 3" xfId="3882"/>
    <cellStyle name="Normal 5 3 4 3 2" xfId="12107"/>
    <cellStyle name="Normal 5 3 4 3 2 2" xfId="28557"/>
    <cellStyle name="Normal 5 3 4 3 3" xfId="20332"/>
    <cellStyle name="Normal 5 3 4 3 4" xfId="36786"/>
    <cellStyle name="Normal 5 3 4 4" xfId="5527"/>
    <cellStyle name="Normal 5 3 4 4 2" xfId="13752"/>
    <cellStyle name="Normal 5 3 4 4 2 2" xfId="30202"/>
    <cellStyle name="Normal 5 3 4 4 3" xfId="21977"/>
    <cellStyle name="Normal 5 3 4 4 4" xfId="38431"/>
    <cellStyle name="Normal 5 3 4 5" xfId="7172"/>
    <cellStyle name="Normal 5 3 4 5 2" xfId="15397"/>
    <cellStyle name="Normal 5 3 4 5 2 2" xfId="31847"/>
    <cellStyle name="Normal 5 3 4 5 3" xfId="23622"/>
    <cellStyle name="Normal 5 3 4 5 4" xfId="40076"/>
    <cellStyle name="Normal 5 3 4 6" xfId="8817"/>
    <cellStyle name="Normal 5 3 4 6 2" xfId="25267"/>
    <cellStyle name="Normal 5 3 4 7" xfId="17041"/>
    <cellStyle name="Normal 5 3 4 8" xfId="33495"/>
    <cellStyle name="Normal 5 3 4 9" xfId="41722"/>
    <cellStyle name="Normal 5 3 5" xfId="777"/>
    <cellStyle name="Normal 5 3 5 2" xfId="2472"/>
    <cellStyle name="Normal 5 3 5 2 2" xfId="10697"/>
    <cellStyle name="Normal 5 3 5 2 2 2" xfId="27147"/>
    <cellStyle name="Normal 5 3 5 2 3" xfId="18922"/>
    <cellStyle name="Normal 5 3 5 2 4" xfId="35376"/>
    <cellStyle name="Normal 5 3 5 3" xfId="4117"/>
    <cellStyle name="Normal 5 3 5 3 2" xfId="12342"/>
    <cellStyle name="Normal 5 3 5 3 2 2" xfId="28792"/>
    <cellStyle name="Normal 5 3 5 3 3" xfId="20567"/>
    <cellStyle name="Normal 5 3 5 3 4" xfId="37021"/>
    <cellStyle name="Normal 5 3 5 4" xfId="5762"/>
    <cellStyle name="Normal 5 3 5 4 2" xfId="13987"/>
    <cellStyle name="Normal 5 3 5 4 2 2" xfId="30437"/>
    <cellStyle name="Normal 5 3 5 4 3" xfId="22212"/>
    <cellStyle name="Normal 5 3 5 4 4" xfId="38666"/>
    <cellStyle name="Normal 5 3 5 5" xfId="7407"/>
    <cellStyle name="Normal 5 3 5 5 2" xfId="15632"/>
    <cellStyle name="Normal 5 3 5 5 2 2" xfId="32082"/>
    <cellStyle name="Normal 5 3 5 5 3" xfId="23857"/>
    <cellStyle name="Normal 5 3 5 5 4" xfId="40311"/>
    <cellStyle name="Normal 5 3 5 6" xfId="9052"/>
    <cellStyle name="Normal 5 3 5 6 2" xfId="25502"/>
    <cellStyle name="Normal 5 3 5 7" xfId="17276"/>
    <cellStyle name="Normal 5 3 5 8" xfId="33730"/>
    <cellStyle name="Normal 5 3 5 9" xfId="41957"/>
    <cellStyle name="Normal 5 3 6" xfId="1012"/>
    <cellStyle name="Normal 5 3 6 2" xfId="2707"/>
    <cellStyle name="Normal 5 3 6 2 2" xfId="10932"/>
    <cellStyle name="Normal 5 3 6 2 2 2" xfId="27382"/>
    <cellStyle name="Normal 5 3 6 2 3" xfId="19157"/>
    <cellStyle name="Normal 5 3 6 2 4" xfId="35611"/>
    <cellStyle name="Normal 5 3 6 3" xfId="4352"/>
    <cellStyle name="Normal 5 3 6 3 2" xfId="12577"/>
    <cellStyle name="Normal 5 3 6 3 2 2" xfId="29027"/>
    <cellStyle name="Normal 5 3 6 3 3" xfId="20802"/>
    <cellStyle name="Normal 5 3 6 3 4" xfId="37256"/>
    <cellStyle name="Normal 5 3 6 4" xfId="5997"/>
    <cellStyle name="Normal 5 3 6 4 2" xfId="14222"/>
    <cellStyle name="Normal 5 3 6 4 2 2" xfId="30672"/>
    <cellStyle name="Normal 5 3 6 4 3" xfId="22447"/>
    <cellStyle name="Normal 5 3 6 4 4" xfId="38901"/>
    <cellStyle name="Normal 5 3 6 5" xfId="7642"/>
    <cellStyle name="Normal 5 3 6 5 2" xfId="15867"/>
    <cellStyle name="Normal 5 3 6 5 2 2" xfId="32317"/>
    <cellStyle name="Normal 5 3 6 5 3" xfId="24092"/>
    <cellStyle name="Normal 5 3 6 5 4" xfId="40546"/>
    <cellStyle name="Normal 5 3 6 6" xfId="9287"/>
    <cellStyle name="Normal 5 3 6 6 2" xfId="25737"/>
    <cellStyle name="Normal 5 3 6 7" xfId="17511"/>
    <cellStyle name="Normal 5 3 6 8" xfId="33965"/>
    <cellStyle name="Normal 5 3 6 9" xfId="42192"/>
    <cellStyle name="Normal 5 3 7" xfId="1292"/>
    <cellStyle name="Normal 5 3 7 2" xfId="2942"/>
    <cellStyle name="Normal 5 3 7 2 2" xfId="11167"/>
    <cellStyle name="Normal 5 3 7 2 2 2" xfId="27617"/>
    <cellStyle name="Normal 5 3 7 2 3" xfId="19392"/>
    <cellStyle name="Normal 5 3 7 2 4" xfId="35846"/>
    <cellStyle name="Normal 5 3 7 3" xfId="4587"/>
    <cellStyle name="Normal 5 3 7 3 2" xfId="12812"/>
    <cellStyle name="Normal 5 3 7 3 2 2" xfId="29262"/>
    <cellStyle name="Normal 5 3 7 3 3" xfId="21037"/>
    <cellStyle name="Normal 5 3 7 3 4" xfId="37491"/>
    <cellStyle name="Normal 5 3 7 4" xfId="6232"/>
    <cellStyle name="Normal 5 3 7 4 2" xfId="14457"/>
    <cellStyle name="Normal 5 3 7 4 2 2" xfId="30907"/>
    <cellStyle name="Normal 5 3 7 4 3" xfId="22682"/>
    <cellStyle name="Normal 5 3 7 4 4" xfId="39136"/>
    <cellStyle name="Normal 5 3 7 5" xfId="7877"/>
    <cellStyle name="Normal 5 3 7 5 2" xfId="16102"/>
    <cellStyle name="Normal 5 3 7 5 2 2" xfId="32552"/>
    <cellStyle name="Normal 5 3 7 5 3" xfId="24327"/>
    <cellStyle name="Normal 5 3 7 5 4" xfId="40781"/>
    <cellStyle name="Normal 5 3 7 6" xfId="9522"/>
    <cellStyle name="Normal 5 3 7 6 2" xfId="25972"/>
    <cellStyle name="Normal 5 3 7 7" xfId="17746"/>
    <cellStyle name="Normal 5 3 7 8" xfId="34200"/>
    <cellStyle name="Normal 5 3 8" xfId="1527"/>
    <cellStyle name="Normal 5 3 8 2" xfId="3177"/>
    <cellStyle name="Normal 5 3 8 2 2" xfId="11402"/>
    <cellStyle name="Normal 5 3 8 2 2 2" xfId="27852"/>
    <cellStyle name="Normal 5 3 8 2 3" xfId="19627"/>
    <cellStyle name="Normal 5 3 8 2 4" xfId="36081"/>
    <cellStyle name="Normal 5 3 8 3" xfId="4822"/>
    <cellStyle name="Normal 5 3 8 3 2" xfId="13047"/>
    <cellStyle name="Normal 5 3 8 3 2 2" xfId="29497"/>
    <cellStyle name="Normal 5 3 8 3 3" xfId="21272"/>
    <cellStyle name="Normal 5 3 8 3 4" xfId="37726"/>
    <cellStyle name="Normal 5 3 8 4" xfId="6467"/>
    <cellStyle name="Normal 5 3 8 4 2" xfId="14692"/>
    <cellStyle name="Normal 5 3 8 4 2 2" xfId="31142"/>
    <cellStyle name="Normal 5 3 8 4 3" xfId="22917"/>
    <cellStyle name="Normal 5 3 8 4 4" xfId="39371"/>
    <cellStyle name="Normal 5 3 8 5" xfId="8112"/>
    <cellStyle name="Normal 5 3 8 5 2" xfId="16337"/>
    <cellStyle name="Normal 5 3 8 5 2 2" xfId="32787"/>
    <cellStyle name="Normal 5 3 8 5 3" xfId="24562"/>
    <cellStyle name="Normal 5 3 8 5 4" xfId="41016"/>
    <cellStyle name="Normal 5 3 8 6" xfId="9757"/>
    <cellStyle name="Normal 5 3 8 6 2" xfId="26207"/>
    <cellStyle name="Normal 5 3 8 7" xfId="17981"/>
    <cellStyle name="Normal 5 3 8 8" xfId="34435"/>
    <cellStyle name="Normal 5 3 9" xfId="1762"/>
    <cellStyle name="Normal 5 3 9 2" xfId="9992"/>
    <cellStyle name="Normal 5 3 9 2 2" xfId="26442"/>
    <cellStyle name="Normal 5 3 9 3" xfId="18216"/>
    <cellStyle name="Normal 5 3 9 4" xfId="34670"/>
    <cellStyle name="Normal 5 4" xfId="83"/>
    <cellStyle name="Normal 5 4 10" xfId="5082"/>
    <cellStyle name="Normal 5 4 10 2" xfId="13307"/>
    <cellStyle name="Normal 5 4 10 2 2" xfId="29757"/>
    <cellStyle name="Normal 5 4 10 3" xfId="21532"/>
    <cellStyle name="Normal 5 4 10 4" xfId="37986"/>
    <cellStyle name="Normal 5 4 11" xfId="6727"/>
    <cellStyle name="Normal 5 4 11 2" xfId="14952"/>
    <cellStyle name="Normal 5 4 11 2 2" xfId="31402"/>
    <cellStyle name="Normal 5 4 11 3" xfId="23177"/>
    <cellStyle name="Normal 5 4 11 4" xfId="39631"/>
    <cellStyle name="Normal 5 4 12" xfId="8372"/>
    <cellStyle name="Normal 5 4 12 2" xfId="24822"/>
    <cellStyle name="Normal 5 4 13" xfId="16596"/>
    <cellStyle name="Normal 5 4 14" xfId="33049"/>
    <cellStyle name="Normal 5 4 15" xfId="41277"/>
    <cellStyle name="Normal 5 4 2" xfId="326"/>
    <cellStyle name="Normal 5 4 2 2" xfId="2025"/>
    <cellStyle name="Normal 5 4 2 2 2" xfId="10252"/>
    <cellStyle name="Normal 5 4 2 2 2 2" xfId="26702"/>
    <cellStyle name="Normal 5 4 2 2 3" xfId="18477"/>
    <cellStyle name="Normal 5 4 2 2 4" xfId="34931"/>
    <cellStyle name="Normal 5 4 2 3" xfId="3672"/>
    <cellStyle name="Normal 5 4 2 3 2" xfId="11897"/>
    <cellStyle name="Normal 5 4 2 3 2 2" xfId="28347"/>
    <cellStyle name="Normal 5 4 2 3 3" xfId="20122"/>
    <cellStyle name="Normal 5 4 2 3 4" xfId="36576"/>
    <cellStyle name="Normal 5 4 2 4" xfId="5317"/>
    <cellStyle name="Normal 5 4 2 4 2" xfId="13542"/>
    <cellStyle name="Normal 5 4 2 4 2 2" xfId="29992"/>
    <cellStyle name="Normal 5 4 2 4 3" xfId="21767"/>
    <cellStyle name="Normal 5 4 2 4 4" xfId="38221"/>
    <cellStyle name="Normal 5 4 2 5" xfId="6962"/>
    <cellStyle name="Normal 5 4 2 5 2" xfId="15187"/>
    <cellStyle name="Normal 5 4 2 5 2 2" xfId="31637"/>
    <cellStyle name="Normal 5 4 2 5 3" xfId="23412"/>
    <cellStyle name="Normal 5 4 2 5 4" xfId="39866"/>
    <cellStyle name="Normal 5 4 2 6" xfId="8607"/>
    <cellStyle name="Normal 5 4 2 6 2" xfId="25057"/>
    <cellStyle name="Normal 5 4 2 7" xfId="16831"/>
    <cellStyle name="Normal 5 4 2 8" xfId="33285"/>
    <cellStyle name="Normal 5 4 2 9" xfId="41512"/>
    <cellStyle name="Normal 5 4 3" xfId="567"/>
    <cellStyle name="Normal 5 4 3 2" xfId="2262"/>
    <cellStyle name="Normal 5 4 3 2 2" xfId="10487"/>
    <cellStyle name="Normal 5 4 3 2 2 2" xfId="26937"/>
    <cellStyle name="Normal 5 4 3 2 3" xfId="18712"/>
    <cellStyle name="Normal 5 4 3 2 4" xfId="35166"/>
    <cellStyle name="Normal 5 4 3 3" xfId="3907"/>
    <cellStyle name="Normal 5 4 3 3 2" xfId="12132"/>
    <cellStyle name="Normal 5 4 3 3 2 2" xfId="28582"/>
    <cellStyle name="Normal 5 4 3 3 3" xfId="20357"/>
    <cellStyle name="Normal 5 4 3 3 4" xfId="36811"/>
    <cellStyle name="Normal 5 4 3 4" xfId="5552"/>
    <cellStyle name="Normal 5 4 3 4 2" xfId="13777"/>
    <cellStyle name="Normal 5 4 3 4 2 2" xfId="30227"/>
    <cellStyle name="Normal 5 4 3 4 3" xfId="22002"/>
    <cellStyle name="Normal 5 4 3 4 4" xfId="38456"/>
    <cellStyle name="Normal 5 4 3 5" xfId="7197"/>
    <cellStyle name="Normal 5 4 3 5 2" xfId="15422"/>
    <cellStyle name="Normal 5 4 3 5 2 2" xfId="31872"/>
    <cellStyle name="Normal 5 4 3 5 3" xfId="23647"/>
    <cellStyle name="Normal 5 4 3 5 4" xfId="40101"/>
    <cellStyle name="Normal 5 4 3 6" xfId="8842"/>
    <cellStyle name="Normal 5 4 3 6 2" xfId="25292"/>
    <cellStyle name="Normal 5 4 3 7" xfId="17066"/>
    <cellStyle name="Normal 5 4 3 8" xfId="33520"/>
    <cellStyle name="Normal 5 4 3 9" xfId="41747"/>
    <cellStyle name="Normal 5 4 4" xfId="802"/>
    <cellStyle name="Normal 5 4 4 2" xfId="2497"/>
    <cellStyle name="Normal 5 4 4 2 2" xfId="10722"/>
    <cellStyle name="Normal 5 4 4 2 2 2" xfId="27172"/>
    <cellStyle name="Normal 5 4 4 2 3" xfId="18947"/>
    <cellStyle name="Normal 5 4 4 2 4" xfId="35401"/>
    <cellStyle name="Normal 5 4 4 3" xfId="4142"/>
    <cellStyle name="Normal 5 4 4 3 2" xfId="12367"/>
    <cellStyle name="Normal 5 4 4 3 2 2" xfId="28817"/>
    <cellStyle name="Normal 5 4 4 3 3" xfId="20592"/>
    <cellStyle name="Normal 5 4 4 3 4" xfId="37046"/>
    <cellStyle name="Normal 5 4 4 4" xfId="5787"/>
    <cellStyle name="Normal 5 4 4 4 2" xfId="14012"/>
    <cellStyle name="Normal 5 4 4 4 2 2" xfId="30462"/>
    <cellStyle name="Normal 5 4 4 4 3" xfId="22237"/>
    <cellStyle name="Normal 5 4 4 4 4" xfId="38691"/>
    <cellStyle name="Normal 5 4 4 5" xfId="7432"/>
    <cellStyle name="Normal 5 4 4 5 2" xfId="15657"/>
    <cellStyle name="Normal 5 4 4 5 2 2" xfId="32107"/>
    <cellStyle name="Normal 5 4 4 5 3" xfId="23882"/>
    <cellStyle name="Normal 5 4 4 5 4" xfId="40336"/>
    <cellStyle name="Normal 5 4 4 6" xfId="9077"/>
    <cellStyle name="Normal 5 4 4 6 2" xfId="25527"/>
    <cellStyle name="Normal 5 4 4 7" xfId="17301"/>
    <cellStyle name="Normal 5 4 4 8" xfId="33755"/>
    <cellStyle name="Normal 5 4 4 9" xfId="41982"/>
    <cellStyle name="Normal 5 4 5" xfId="1037"/>
    <cellStyle name="Normal 5 4 5 2" xfId="2732"/>
    <cellStyle name="Normal 5 4 5 2 2" xfId="10957"/>
    <cellStyle name="Normal 5 4 5 2 2 2" xfId="27407"/>
    <cellStyle name="Normal 5 4 5 2 3" xfId="19182"/>
    <cellStyle name="Normal 5 4 5 2 4" xfId="35636"/>
    <cellStyle name="Normal 5 4 5 3" xfId="4377"/>
    <cellStyle name="Normal 5 4 5 3 2" xfId="12602"/>
    <cellStyle name="Normal 5 4 5 3 2 2" xfId="29052"/>
    <cellStyle name="Normal 5 4 5 3 3" xfId="20827"/>
    <cellStyle name="Normal 5 4 5 3 4" xfId="37281"/>
    <cellStyle name="Normal 5 4 5 4" xfId="6022"/>
    <cellStyle name="Normal 5 4 5 4 2" xfId="14247"/>
    <cellStyle name="Normal 5 4 5 4 2 2" xfId="30697"/>
    <cellStyle name="Normal 5 4 5 4 3" xfId="22472"/>
    <cellStyle name="Normal 5 4 5 4 4" xfId="38926"/>
    <cellStyle name="Normal 5 4 5 5" xfId="7667"/>
    <cellStyle name="Normal 5 4 5 5 2" xfId="15892"/>
    <cellStyle name="Normal 5 4 5 5 2 2" xfId="32342"/>
    <cellStyle name="Normal 5 4 5 5 3" xfId="24117"/>
    <cellStyle name="Normal 5 4 5 5 4" xfId="40571"/>
    <cellStyle name="Normal 5 4 5 6" xfId="9312"/>
    <cellStyle name="Normal 5 4 5 6 2" xfId="25762"/>
    <cellStyle name="Normal 5 4 5 7" xfId="17536"/>
    <cellStyle name="Normal 5 4 5 8" xfId="33990"/>
    <cellStyle name="Normal 5 4 5 9" xfId="42217"/>
    <cellStyle name="Normal 5 4 6" xfId="1317"/>
    <cellStyle name="Normal 5 4 6 2" xfId="2967"/>
    <cellStyle name="Normal 5 4 6 2 2" xfId="11192"/>
    <cellStyle name="Normal 5 4 6 2 2 2" xfId="27642"/>
    <cellStyle name="Normal 5 4 6 2 3" xfId="19417"/>
    <cellStyle name="Normal 5 4 6 2 4" xfId="35871"/>
    <cellStyle name="Normal 5 4 6 3" xfId="4612"/>
    <cellStyle name="Normal 5 4 6 3 2" xfId="12837"/>
    <cellStyle name="Normal 5 4 6 3 2 2" xfId="29287"/>
    <cellStyle name="Normal 5 4 6 3 3" xfId="21062"/>
    <cellStyle name="Normal 5 4 6 3 4" xfId="37516"/>
    <cellStyle name="Normal 5 4 6 4" xfId="6257"/>
    <cellStyle name="Normal 5 4 6 4 2" xfId="14482"/>
    <cellStyle name="Normal 5 4 6 4 2 2" xfId="30932"/>
    <cellStyle name="Normal 5 4 6 4 3" xfId="22707"/>
    <cellStyle name="Normal 5 4 6 4 4" xfId="39161"/>
    <cellStyle name="Normal 5 4 6 5" xfId="7902"/>
    <cellStyle name="Normal 5 4 6 5 2" xfId="16127"/>
    <cellStyle name="Normal 5 4 6 5 2 2" xfId="32577"/>
    <cellStyle name="Normal 5 4 6 5 3" xfId="24352"/>
    <cellStyle name="Normal 5 4 6 5 4" xfId="40806"/>
    <cellStyle name="Normal 5 4 6 6" xfId="9547"/>
    <cellStyle name="Normal 5 4 6 6 2" xfId="25997"/>
    <cellStyle name="Normal 5 4 6 7" xfId="17771"/>
    <cellStyle name="Normal 5 4 6 8" xfId="34225"/>
    <cellStyle name="Normal 5 4 7" xfId="1552"/>
    <cellStyle name="Normal 5 4 7 2" xfId="3202"/>
    <cellStyle name="Normal 5 4 7 2 2" xfId="11427"/>
    <cellStyle name="Normal 5 4 7 2 2 2" xfId="27877"/>
    <cellStyle name="Normal 5 4 7 2 3" xfId="19652"/>
    <cellStyle name="Normal 5 4 7 2 4" xfId="36106"/>
    <cellStyle name="Normal 5 4 7 3" xfId="4847"/>
    <cellStyle name="Normal 5 4 7 3 2" xfId="13072"/>
    <cellStyle name="Normal 5 4 7 3 2 2" xfId="29522"/>
    <cellStyle name="Normal 5 4 7 3 3" xfId="21297"/>
    <cellStyle name="Normal 5 4 7 3 4" xfId="37751"/>
    <cellStyle name="Normal 5 4 7 4" xfId="6492"/>
    <cellStyle name="Normal 5 4 7 4 2" xfId="14717"/>
    <cellStyle name="Normal 5 4 7 4 2 2" xfId="31167"/>
    <cellStyle name="Normal 5 4 7 4 3" xfId="22942"/>
    <cellStyle name="Normal 5 4 7 4 4" xfId="39396"/>
    <cellStyle name="Normal 5 4 7 5" xfId="8137"/>
    <cellStyle name="Normal 5 4 7 5 2" xfId="16362"/>
    <cellStyle name="Normal 5 4 7 5 2 2" xfId="32812"/>
    <cellStyle name="Normal 5 4 7 5 3" xfId="24587"/>
    <cellStyle name="Normal 5 4 7 5 4" xfId="41041"/>
    <cellStyle name="Normal 5 4 7 6" xfId="9782"/>
    <cellStyle name="Normal 5 4 7 6 2" xfId="26232"/>
    <cellStyle name="Normal 5 4 7 7" xfId="18006"/>
    <cellStyle name="Normal 5 4 7 8" xfId="34460"/>
    <cellStyle name="Normal 5 4 8" xfId="1787"/>
    <cellStyle name="Normal 5 4 8 2" xfId="10017"/>
    <cellStyle name="Normal 5 4 8 2 2" xfId="26467"/>
    <cellStyle name="Normal 5 4 8 3" xfId="18241"/>
    <cellStyle name="Normal 5 4 8 4" xfId="34695"/>
    <cellStyle name="Normal 5 4 9" xfId="3437"/>
    <cellStyle name="Normal 5 4 9 2" xfId="11662"/>
    <cellStyle name="Normal 5 4 9 2 2" xfId="28112"/>
    <cellStyle name="Normal 5 4 9 3" xfId="19887"/>
    <cellStyle name="Normal 5 4 9 4" xfId="36341"/>
    <cellStyle name="Normal 5 5" xfId="133"/>
    <cellStyle name="Normal 5 5 10" xfId="5132"/>
    <cellStyle name="Normal 5 5 10 2" xfId="13357"/>
    <cellStyle name="Normal 5 5 10 2 2" xfId="29807"/>
    <cellStyle name="Normal 5 5 10 3" xfId="21582"/>
    <cellStyle name="Normal 5 5 10 4" xfId="38036"/>
    <cellStyle name="Normal 5 5 11" xfId="6777"/>
    <cellStyle name="Normal 5 5 11 2" xfId="15002"/>
    <cellStyle name="Normal 5 5 11 2 2" xfId="31452"/>
    <cellStyle name="Normal 5 5 11 3" xfId="23227"/>
    <cellStyle name="Normal 5 5 11 4" xfId="39681"/>
    <cellStyle name="Normal 5 5 12" xfId="8422"/>
    <cellStyle name="Normal 5 5 12 2" xfId="24872"/>
    <cellStyle name="Normal 5 5 13" xfId="16646"/>
    <cellStyle name="Normal 5 5 14" xfId="33099"/>
    <cellStyle name="Normal 5 5 15" xfId="41327"/>
    <cellStyle name="Normal 5 5 2" xfId="376"/>
    <cellStyle name="Normal 5 5 2 2" xfId="2075"/>
    <cellStyle name="Normal 5 5 2 2 2" xfId="10302"/>
    <cellStyle name="Normal 5 5 2 2 2 2" xfId="26752"/>
    <cellStyle name="Normal 5 5 2 2 3" xfId="18527"/>
    <cellStyle name="Normal 5 5 2 2 4" xfId="34981"/>
    <cellStyle name="Normal 5 5 2 3" xfId="3722"/>
    <cellStyle name="Normal 5 5 2 3 2" xfId="11947"/>
    <cellStyle name="Normal 5 5 2 3 2 2" xfId="28397"/>
    <cellStyle name="Normal 5 5 2 3 3" xfId="20172"/>
    <cellStyle name="Normal 5 5 2 3 4" xfId="36626"/>
    <cellStyle name="Normal 5 5 2 4" xfId="5367"/>
    <cellStyle name="Normal 5 5 2 4 2" xfId="13592"/>
    <cellStyle name="Normal 5 5 2 4 2 2" xfId="30042"/>
    <cellStyle name="Normal 5 5 2 4 3" xfId="21817"/>
    <cellStyle name="Normal 5 5 2 4 4" xfId="38271"/>
    <cellStyle name="Normal 5 5 2 5" xfId="7012"/>
    <cellStyle name="Normal 5 5 2 5 2" xfId="15237"/>
    <cellStyle name="Normal 5 5 2 5 2 2" xfId="31687"/>
    <cellStyle name="Normal 5 5 2 5 3" xfId="23462"/>
    <cellStyle name="Normal 5 5 2 5 4" xfId="39916"/>
    <cellStyle name="Normal 5 5 2 6" xfId="8657"/>
    <cellStyle name="Normal 5 5 2 6 2" xfId="25107"/>
    <cellStyle name="Normal 5 5 2 7" xfId="16881"/>
    <cellStyle name="Normal 5 5 2 8" xfId="33335"/>
    <cellStyle name="Normal 5 5 2 9" xfId="41562"/>
    <cellStyle name="Normal 5 5 3" xfId="617"/>
    <cellStyle name="Normal 5 5 3 2" xfId="2312"/>
    <cellStyle name="Normal 5 5 3 2 2" xfId="10537"/>
    <cellStyle name="Normal 5 5 3 2 2 2" xfId="26987"/>
    <cellStyle name="Normal 5 5 3 2 3" xfId="18762"/>
    <cellStyle name="Normal 5 5 3 2 4" xfId="35216"/>
    <cellStyle name="Normal 5 5 3 3" xfId="3957"/>
    <cellStyle name="Normal 5 5 3 3 2" xfId="12182"/>
    <cellStyle name="Normal 5 5 3 3 2 2" xfId="28632"/>
    <cellStyle name="Normal 5 5 3 3 3" xfId="20407"/>
    <cellStyle name="Normal 5 5 3 3 4" xfId="36861"/>
    <cellStyle name="Normal 5 5 3 4" xfId="5602"/>
    <cellStyle name="Normal 5 5 3 4 2" xfId="13827"/>
    <cellStyle name="Normal 5 5 3 4 2 2" xfId="30277"/>
    <cellStyle name="Normal 5 5 3 4 3" xfId="22052"/>
    <cellStyle name="Normal 5 5 3 4 4" xfId="38506"/>
    <cellStyle name="Normal 5 5 3 5" xfId="7247"/>
    <cellStyle name="Normal 5 5 3 5 2" xfId="15472"/>
    <cellStyle name="Normal 5 5 3 5 2 2" xfId="31922"/>
    <cellStyle name="Normal 5 5 3 5 3" xfId="23697"/>
    <cellStyle name="Normal 5 5 3 5 4" xfId="40151"/>
    <cellStyle name="Normal 5 5 3 6" xfId="8892"/>
    <cellStyle name="Normal 5 5 3 6 2" xfId="25342"/>
    <cellStyle name="Normal 5 5 3 7" xfId="17116"/>
    <cellStyle name="Normal 5 5 3 8" xfId="33570"/>
    <cellStyle name="Normal 5 5 3 9" xfId="41797"/>
    <cellStyle name="Normal 5 5 4" xfId="852"/>
    <cellStyle name="Normal 5 5 4 2" xfId="2547"/>
    <cellStyle name="Normal 5 5 4 2 2" xfId="10772"/>
    <cellStyle name="Normal 5 5 4 2 2 2" xfId="27222"/>
    <cellStyle name="Normal 5 5 4 2 3" xfId="18997"/>
    <cellStyle name="Normal 5 5 4 2 4" xfId="35451"/>
    <cellStyle name="Normal 5 5 4 3" xfId="4192"/>
    <cellStyle name="Normal 5 5 4 3 2" xfId="12417"/>
    <cellStyle name="Normal 5 5 4 3 2 2" xfId="28867"/>
    <cellStyle name="Normal 5 5 4 3 3" xfId="20642"/>
    <cellStyle name="Normal 5 5 4 3 4" xfId="37096"/>
    <cellStyle name="Normal 5 5 4 4" xfId="5837"/>
    <cellStyle name="Normal 5 5 4 4 2" xfId="14062"/>
    <cellStyle name="Normal 5 5 4 4 2 2" xfId="30512"/>
    <cellStyle name="Normal 5 5 4 4 3" xfId="22287"/>
    <cellStyle name="Normal 5 5 4 4 4" xfId="38741"/>
    <cellStyle name="Normal 5 5 4 5" xfId="7482"/>
    <cellStyle name="Normal 5 5 4 5 2" xfId="15707"/>
    <cellStyle name="Normal 5 5 4 5 2 2" xfId="32157"/>
    <cellStyle name="Normal 5 5 4 5 3" xfId="23932"/>
    <cellStyle name="Normal 5 5 4 5 4" xfId="40386"/>
    <cellStyle name="Normal 5 5 4 6" xfId="9127"/>
    <cellStyle name="Normal 5 5 4 6 2" xfId="25577"/>
    <cellStyle name="Normal 5 5 4 7" xfId="17351"/>
    <cellStyle name="Normal 5 5 4 8" xfId="33805"/>
    <cellStyle name="Normal 5 5 4 9" xfId="42032"/>
    <cellStyle name="Normal 5 5 5" xfId="1087"/>
    <cellStyle name="Normal 5 5 5 2" xfId="2782"/>
    <cellStyle name="Normal 5 5 5 2 2" xfId="11007"/>
    <cellStyle name="Normal 5 5 5 2 2 2" xfId="27457"/>
    <cellStyle name="Normal 5 5 5 2 3" xfId="19232"/>
    <cellStyle name="Normal 5 5 5 2 4" xfId="35686"/>
    <cellStyle name="Normal 5 5 5 3" xfId="4427"/>
    <cellStyle name="Normal 5 5 5 3 2" xfId="12652"/>
    <cellStyle name="Normal 5 5 5 3 2 2" xfId="29102"/>
    <cellStyle name="Normal 5 5 5 3 3" xfId="20877"/>
    <cellStyle name="Normal 5 5 5 3 4" xfId="37331"/>
    <cellStyle name="Normal 5 5 5 4" xfId="6072"/>
    <cellStyle name="Normal 5 5 5 4 2" xfId="14297"/>
    <cellStyle name="Normal 5 5 5 4 2 2" xfId="30747"/>
    <cellStyle name="Normal 5 5 5 4 3" xfId="22522"/>
    <cellStyle name="Normal 5 5 5 4 4" xfId="38976"/>
    <cellStyle name="Normal 5 5 5 5" xfId="7717"/>
    <cellStyle name="Normal 5 5 5 5 2" xfId="15942"/>
    <cellStyle name="Normal 5 5 5 5 2 2" xfId="32392"/>
    <cellStyle name="Normal 5 5 5 5 3" xfId="24167"/>
    <cellStyle name="Normal 5 5 5 5 4" xfId="40621"/>
    <cellStyle name="Normal 5 5 5 6" xfId="9362"/>
    <cellStyle name="Normal 5 5 5 6 2" xfId="25812"/>
    <cellStyle name="Normal 5 5 5 7" xfId="17586"/>
    <cellStyle name="Normal 5 5 5 8" xfId="34040"/>
    <cellStyle name="Normal 5 5 5 9" xfId="42267"/>
    <cellStyle name="Normal 5 5 6" xfId="1367"/>
    <cellStyle name="Normal 5 5 6 2" xfId="3017"/>
    <cellStyle name="Normal 5 5 6 2 2" xfId="11242"/>
    <cellStyle name="Normal 5 5 6 2 2 2" xfId="27692"/>
    <cellStyle name="Normal 5 5 6 2 3" xfId="19467"/>
    <cellStyle name="Normal 5 5 6 2 4" xfId="35921"/>
    <cellStyle name="Normal 5 5 6 3" xfId="4662"/>
    <cellStyle name="Normal 5 5 6 3 2" xfId="12887"/>
    <cellStyle name="Normal 5 5 6 3 2 2" xfId="29337"/>
    <cellStyle name="Normal 5 5 6 3 3" xfId="21112"/>
    <cellStyle name="Normal 5 5 6 3 4" xfId="37566"/>
    <cellStyle name="Normal 5 5 6 4" xfId="6307"/>
    <cellStyle name="Normal 5 5 6 4 2" xfId="14532"/>
    <cellStyle name="Normal 5 5 6 4 2 2" xfId="30982"/>
    <cellStyle name="Normal 5 5 6 4 3" xfId="22757"/>
    <cellStyle name="Normal 5 5 6 4 4" xfId="39211"/>
    <cellStyle name="Normal 5 5 6 5" xfId="7952"/>
    <cellStyle name="Normal 5 5 6 5 2" xfId="16177"/>
    <cellStyle name="Normal 5 5 6 5 2 2" xfId="32627"/>
    <cellStyle name="Normal 5 5 6 5 3" xfId="24402"/>
    <cellStyle name="Normal 5 5 6 5 4" xfId="40856"/>
    <cellStyle name="Normal 5 5 6 6" xfId="9597"/>
    <cellStyle name="Normal 5 5 6 6 2" xfId="26047"/>
    <cellStyle name="Normal 5 5 6 7" xfId="17821"/>
    <cellStyle name="Normal 5 5 6 8" xfId="34275"/>
    <cellStyle name="Normal 5 5 7" xfId="1602"/>
    <cellStyle name="Normal 5 5 7 2" xfId="3252"/>
    <cellStyle name="Normal 5 5 7 2 2" xfId="11477"/>
    <cellStyle name="Normal 5 5 7 2 2 2" xfId="27927"/>
    <cellStyle name="Normal 5 5 7 2 3" xfId="19702"/>
    <cellStyle name="Normal 5 5 7 2 4" xfId="36156"/>
    <cellStyle name="Normal 5 5 7 3" xfId="4897"/>
    <cellStyle name="Normal 5 5 7 3 2" xfId="13122"/>
    <cellStyle name="Normal 5 5 7 3 2 2" xfId="29572"/>
    <cellStyle name="Normal 5 5 7 3 3" xfId="21347"/>
    <cellStyle name="Normal 5 5 7 3 4" xfId="37801"/>
    <cellStyle name="Normal 5 5 7 4" xfId="6542"/>
    <cellStyle name="Normal 5 5 7 4 2" xfId="14767"/>
    <cellStyle name="Normal 5 5 7 4 2 2" xfId="31217"/>
    <cellStyle name="Normal 5 5 7 4 3" xfId="22992"/>
    <cellStyle name="Normal 5 5 7 4 4" xfId="39446"/>
    <cellStyle name="Normal 5 5 7 5" xfId="8187"/>
    <cellStyle name="Normal 5 5 7 5 2" xfId="16412"/>
    <cellStyle name="Normal 5 5 7 5 2 2" xfId="32862"/>
    <cellStyle name="Normal 5 5 7 5 3" xfId="24637"/>
    <cellStyle name="Normal 5 5 7 5 4" xfId="41091"/>
    <cellStyle name="Normal 5 5 7 6" xfId="9832"/>
    <cellStyle name="Normal 5 5 7 6 2" xfId="26282"/>
    <cellStyle name="Normal 5 5 7 7" xfId="18056"/>
    <cellStyle name="Normal 5 5 7 8" xfId="34510"/>
    <cellStyle name="Normal 5 5 8" xfId="1837"/>
    <cellStyle name="Normal 5 5 8 2" xfId="10067"/>
    <cellStyle name="Normal 5 5 8 2 2" xfId="26517"/>
    <cellStyle name="Normal 5 5 8 3" xfId="18291"/>
    <cellStyle name="Normal 5 5 8 4" xfId="34745"/>
    <cellStyle name="Normal 5 5 9" xfId="3487"/>
    <cellStyle name="Normal 5 5 9 2" xfId="11712"/>
    <cellStyle name="Normal 5 5 9 2 2" xfId="28162"/>
    <cellStyle name="Normal 5 5 9 3" xfId="19937"/>
    <cellStyle name="Normal 5 5 9 4" xfId="36391"/>
    <cellStyle name="Normal 5 6" xfId="160"/>
    <cellStyle name="Normal 5 6 10" xfId="5159"/>
    <cellStyle name="Normal 5 6 10 2" xfId="13384"/>
    <cellStyle name="Normal 5 6 10 2 2" xfId="29834"/>
    <cellStyle name="Normal 5 6 10 3" xfId="21609"/>
    <cellStyle name="Normal 5 6 10 4" xfId="38063"/>
    <cellStyle name="Normal 5 6 11" xfId="6804"/>
    <cellStyle name="Normal 5 6 11 2" xfId="15029"/>
    <cellStyle name="Normal 5 6 11 2 2" xfId="31479"/>
    <cellStyle name="Normal 5 6 11 3" xfId="23254"/>
    <cellStyle name="Normal 5 6 11 4" xfId="39708"/>
    <cellStyle name="Normal 5 6 12" xfId="8449"/>
    <cellStyle name="Normal 5 6 12 2" xfId="24899"/>
    <cellStyle name="Normal 5 6 13" xfId="16673"/>
    <cellStyle name="Normal 5 6 14" xfId="33126"/>
    <cellStyle name="Normal 5 6 15" xfId="41354"/>
    <cellStyle name="Normal 5 6 2" xfId="403"/>
    <cellStyle name="Normal 5 6 2 2" xfId="2102"/>
    <cellStyle name="Normal 5 6 2 2 2" xfId="10329"/>
    <cellStyle name="Normal 5 6 2 2 2 2" xfId="26779"/>
    <cellStyle name="Normal 5 6 2 2 3" xfId="18554"/>
    <cellStyle name="Normal 5 6 2 2 4" xfId="35008"/>
    <cellStyle name="Normal 5 6 2 3" xfId="3749"/>
    <cellStyle name="Normal 5 6 2 3 2" xfId="11974"/>
    <cellStyle name="Normal 5 6 2 3 2 2" xfId="28424"/>
    <cellStyle name="Normal 5 6 2 3 3" xfId="20199"/>
    <cellStyle name="Normal 5 6 2 3 4" xfId="36653"/>
    <cellStyle name="Normal 5 6 2 4" xfId="5394"/>
    <cellStyle name="Normal 5 6 2 4 2" xfId="13619"/>
    <cellStyle name="Normal 5 6 2 4 2 2" xfId="30069"/>
    <cellStyle name="Normal 5 6 2 4 3" xfId="21844"/>
    <cellStyle name="Normal 5 6 2 4 4" xfId="38298"/>
    <cellStyle name="Normal 5 6 2 5" xfId="7039"/>
    <cellStyle name="Normal 5 6 2 5 2" xfId="15264"/>
    <cellStyle name="Normal 5 6 2 5 2 2" xfId="31714"/>
    <cellStyle name="Normal 5 6 2 5 3" xfId="23489"/>
    <cellStyle name="Normal 5 6 2 5 4" xfId="39943"/>
    <cellStyle name="Normal 5 6 2 6" xfId="8684"/>
    <cellStyle name="Normal 5 6 2 6 2" xfId="25134"/>
    <cellStyle name="Normal 5 6 2 7" xfId="16908"/>
    <cellStyle name="Normal 5 6 2 8" xfId="33362"/>
    <cellStyle name="Normal 5 6 2 9" xfId="41589"/>
    <cellStyle name="Normal 5 6 3" xfId="644"/>
    <cellStyle name="Normal 5 6 3 2" xfId="2339"/>
    <cellStyle name="Normal 5 6 3 2 2" xfId="10564"/>
    <cellStyle name="Normal 5 6 3 2 2 2" xfId="27014"/>
    <cellStyle name="Normal 5 6 3 2 3" xfId="18789"/>
    <cellStyle name="Normal 5 6 3 2 4" xfId="35243"/>
    <cellStyle name="Normal 5 6 3 3" xfId="3984"/>
    <cellStyle name="Normal 5 6 3 3 2" xfId="12209"/>
    <cellStyle name="Normal 5 6 3 3 2 2" xfId="28659"/>
    <cellStyle name="Normal 5 6 3 3 3" xfId="20434"/>
    <cellStyle name="Normal 5 6 3 3 4" xfId="36888"/>
    <cellStyle name="Normal 5 6 3 4" xfId="5629"/>
    <cellStyle name="Normal 5 6 3 4 2" xfId="13854"/>
    <cellStyle name="Normal 5 6 3 4 2 2" xfId="30304"/>
    <cellStyle name="Normal 5 6 3 4 3" xfId="22079"/>
    <cellStyle name="Normal 5 6 3 4 4" xfId="38533"/>
    <cellStyle name="Normal 5 6 3 5" xfId="7274"/>
    <cellStyle name="Normal 5 6 3 5 2" xfId="15499"/>
    <cellStyle name="Normal 5 6 3 5 2 2" xfId="31949"/>
    <cellStyle name="Normal 5 6 3 5 3" xfId="23724"/>
    <cellStyle name="Normal 5 6 3 5 4" xfId="40178"/>
    <cellStyle name="Normal 5 6 3 6" xfId="8919"/>
    <cellStyle name="Normal 5 6 3 6 2" xfId="25369"/>
    <cellStyle name="Normal 5 6 3 7" xfId="17143"/>
    <cellStyle name="Normal 5 6 3 8" xfId="33597"/>
    <cellStyle name="Normal 5 6 3 9" xfId="41824"/>
    <cellStyle name="Normal 5 6 4" xfId="879"/>
    <cellStyle name="Normal 5 6 4 2" xfId="2574"/>
    <cellStyle name="Normal 5 6 4 2 2" xfId="10799"/>
    <cellStyle name="Normal 5 6 4 2 2 2" xfId="27249"/>
    <cellStyle name="Normal 5 6 4 2 3" xfId="19024"/>
    <cellStyle name="Normal 5 6 4 2 4" xfId="35478"/>
    <cellStyle name="Normal 5 6 4 3" xfId="4219"/>
    <cellStyle name="Normal 5 6 4 3 2" xfId="12444"/>
    <cellStyle name="Normal 5 6 4 3 2 2" xfId="28894"/>
    <cellStyle name="Normal 5 6 4 3 3" xfId="20669"/>
    <cellStyle name="Normal 5 6 4 3 4" xfId="37123"/>
    <cellStyle name="Normal 5 6 4 4" xfId="5864"/>
    <cellStyle name="Normal 5 6 4 4 2" xfId="14089"/>
    <cellStyle name="Normal 5 6 4 4 2 2" xfId="30539"/>
    <cellStyle name="Normal 5 6 4 4 3" xfId="22314"/>
    <cellStyle name="Normal 5 6 4 4 4" xfId="38768"/>
    <cellStyle name="Normal 5 6 4 5" xfId="7509"/>
    <cellStyle name="Normal 5 6 4 5 2" xfId="15734"/>
    <cellStyle name="Normal 5 6 4 5 2 2" xfId="32184"/>
    <cellStyle name="Normal 5 6 4 5 3" xfId="23959"/>
    <cellStyle name="Normal 5 6 4 5 4" xfId="40413"/>
    <cellStyle name="Normal 5 6 4 6" xfId="9154"/>
    <cellStyle name="Normal 5 6 4 6 2" xfId="25604"/>
    <cellStyle name="Normal 5 6 4 7" xfId="17378"/>
    <cellStyle name="Normal 5 6 4 8" xfId="33832"/>
    <cellStyle name="Normal 5 6 4 9" xfId="42059"/>
    <cellStyle name="Normal 5 6 5" xfId="1114"/>
    <cellStyle name="Normal 5 6 5 2" xfId="2809"/>
    <cellStyle name="Normal 5 6 5 2 2" xfId="11034"/>
    <cellStyle name="Normal 5 6 5 2 2 2" xfId="27484"/>
    <cellStyle name="Normal 5 6 5 2 3" xfId="19259"/>
    <cellStyle name="Normal 5 6 5 2 4" xfId="35713"/>
    <cellStyle name="Normal 5 6 5 3" xfId="4454"/>
    <cellStyle name="Normal 5 6 5 3 2" xfId="12679"/>
    <cellStyle name="Normal 5 6 5 3 2 2" xfId="29129"/>
    <cellStyle name="Normal 5 6 5 3 3" xfId="20904"/>
    <cellStyle name="Normal 5 6 5 3 4" xfId="37358"/>
    <cellStyle name="Normal 5 6 5 4" xfId="6099"/>
    <cellStyle name="Normal 5 6 5 4 2" xfId="14324"/>
    <cellStyle name="Normal 5 6 5 4 2 2" xfId="30774"/>
    <cellStyle name="Normal 5 6 5 4 3" xfId="22549"/>
    <cellStyle name="Normal 5 6 5 4 4" xfId="39003"/>
    <cellStyle name="Normal 5 6 5 5" xfId="7744"/>
    <cellStyle name="Normal 5 6 5 5 2" xfId="15969"/>
    <cellStyle name="Normal 5 6 5 5 2 2" xfId="32419"/>
    <cellStyle name="Normal 5 6 5 5 3" xfId="24194"/>
    <cellStyle name="Normal 5 6 5 5 4" xfId="40648"/>
    <cellStyle name="Normal 5 6 5 6" xfId="9389"/>
    <cellStyle name="Normal 5 6 5 6 2" xfId="25839"/>
    <cellStyle name="Normal 5 6 5 7" xfId="17613"/>
    <cellStyle name="Normal 5 6 5 8" xfId="34067"/>
    <cellStyle name="Normal 5 6 5 9" xfId="42294"/>
    <cellStyle name="Normal 5 6 6" xfId="1394"/>
    <cellStyle name="Normal 5 6 6 2" xfId="3044"/>
    <cellStyle name="Normal 5 6 6 2 2" xfId="11269"/>
    <cellStyle name="Normal 5 6 6 2 2 2" xfId="27719"/>
    <cellStyle name="Normal 5 6 6 2 3" xfId="19494"/>
    <cellStyle name="Normal 5 6 6 2 4" xfId="35948"/>
    <cellStyle name="Normal 5 6 6 3" xfId="4689"/>
    <cellStyle name="Normal 5 6 6 3 2" xfId="12914"/>
    <cellStyle name="Normal 5 6 6 3 2 2" xfId="29364"/>
    <cellStyle name="Normal 5 6 6 3 3" xfId="21139"/>
    <cellStyle name="Normal 5 6 6 3 4" xfId="37593"/>
    <cellStyle name="Normal 5 6 6 4" xfId="6334"/>
    <cellStyle name="Normal 5 6 6 4 2" xfId="14559"/>
    <cellStyle name="Normal 5 6 6 4 2 2" xfId="31009"/>
    <cellStyle name="Normal 5 6 6 4 3" xfId="22784"/>
    <cellStyle name="Normal 5 6 6 4 4" xfId="39238"/>
    <cellStyle name="Normal 5 6 6 5" xfId="7979"/>
    <cellStyle name="Normal 5 6 6 5 2" xfId="16204"/>
    <cellStyle name="Normal 5 6 6 5 2 2" xfId="32654"/>
    <cellStyle name="Normal 5 6 6 5 3" xfId="24429"/>
    <cellStyle name="Normal 5 6 6 5 4" xfId="40883"/>
    <cellStyle name="Normal 5 6 6 6" xfId="9624"/>
    <cellStyle name="Normal 5 6 6 6 2" xfId="26074"/>
    <cellStyle name="Normal 5 6 6 7" xfId="17848"/>
    <cellStyle name="Normal 5 6 6 8" xfId="34302"/>
    <cellStyle name="Normal 5 6 7" xfId="1629"/>
    <cellStyle name="Normal 5 6 7 2" xfId="3279"/>
    <cellStyle name="Normal 5 6 7 2 2" xfId="11504"/>
    <cellStyle name="Normal 5 6 7 2 2 2" xfId="27954"/>
    <cellStyle name="Normal 5 6 7 2 3" xfId="19729"/>
    <cellStyle name="Normal 5 6 7 2 4" xfId="36183"/>
    <cellStyle name="Normal 5 6 7 3" xfId="4924"/>
    <cellStyle name="Normal 5 6 7 3 2" xfId="13149"/>
    <cellStyle name="Normal 5 6 7 3 2 2" xfId="29599"/>
    <cellStyle name="Normal 5 6 7 3 3" xfId="21374"/>
    <cellStyle name="Normal 5 6 7 3 4" xfId="37828"/>
    <cellStyle name="Normal 5 6 7 4" xfId="6569"/>
    <cellStyle name="Normal 5 6 7 4 2" xfId="14794"/>
    <cellStyle name="Normal 5 6 7 4 2 2" xfId="31244"/>
    <cellStyle name="Normal 5 6 7 4 3" xfId="23019"/>
    <cellStyle name="Normal 5 6 7 4 4" xfId="39473"/>
    <cellStyle name="Normal 5 6 7 5" xfId="8214"/>
    <cellStyle name="Normal 5 6 7 5 2" xfId="16439"/>
    <cellStyle name="Normal 5 6 7 5 2 2" xfId="32889"/>
    <cellStyle name="Normal 5 6 7 5 3" xfId="24664"/>
    <cellStyle name="Normal 5 6 7 5 4" xfId="41118"/>
    <cellStyle name="Normal 5 6 7 6" xfId="9859"/>
    <cellStyle name="Normal 5 6 7 6 2" xfId="26309"/>
    <cellStyle name="Normal 5 6 7 7" xfId="18083"/>
    <cellStyle name="Normal 5 6 7 8" xfId="34537"/>
    <cellStyle name="Normal 5 6 8" xfId="1864"/>
    <cellStyle name="Normal 5 6 8 2" xfId="10094"/>
    <cellStyle name="Normal 5 6 8 2 2" xfId="26544"/>
    <cellStyle name="Normal 5 6 8 3" xfId="18318"/>
    <cellStyle name="Normal 5 6 8 4" xfId="34772"/>
    <cellStyle name="Normal 5 6 9" xfId="3514"/>
    <cellStyle name="Normal 5 6 9 2" xfId="11739"/>
    <cellStyle name="Normal 5 6 9 2 2" xfId="28189"/>
    <cellStyle name="Normal 5 6 9 3" xfId="19964"/>
    <cellStyle name="Normal 5 6 9 4" xfId="36418"/>
    <cellStyle name="Normal 5 7" xfId="189"/>
    <cellStyle name="Normal 5 7 10" xfId="5186"/>
    <cellStyle name="Normal 5 7 10 2" xfId="13411"/>
    <cellStyle name="Normal 5 7 10 2 2" xfId="29861"/>
    <cellStyle name="Normal 5 7 10 3" xfId="21636"/>
    <cellStyle name="Normal 5 7 10 4" xfId="38090"/>
    <cellStyle name="Normal 5 7 11" xfId="6831"/>
    <cellStyle name="Normal 5 7 11 2" xfId="15056"/>
    <cellStyle name="Normal 5 7 11 2 2" xfId="31506"/>
    <cellStyle name="Normal 5 7 11 3" xfId="23281"/>
    <cellStyle name="Normal 5 7 11 4" xfId="39735"/>
    <cellStyle name="Normal 5 7 12" xfId="8476"/>
    <cellStyle name="Normal 5 7 12 2" xfId="24926"/>
    <cellStyle name="Normal 5 7 13" xfId="16700"/>
    <cellStyle name="Normal 5 7 14" xfId="33153"/>
    <cellStyle name="Normal 5 7 15" xfId="41381"/>
    <cellStyle name="Normal 5 7 2" xfId="432"/>
    <cellStyle name="Normal 5 7 2 2" xfId="2129"/>
    <cellStyle name="Normal 5 7 2 2 2" xfId="10356"/>
    <cellStyle name="Normal 5 7 2 2 2 2" xfId="26806"/>
    <cellStyle name="Normal 5 7 2 2 3" xfId="18581"/>
    <cellStyle name="Normal 5 7 2 2 4" xfId="35035"/>
    <cellStyle name="Normal 5 7 2 3" xfId="3776"/>
    <cellStyle name="Normal 5 7 2 3 2" xfId="12001"/>
    <cellStyle name="Normal 5 7 2 3 2 2" xfId="28451"/>
    <cellStyle name="Normal 5 7 2 3 3" xfId="20226"/>
    <cellStyle name="Normal 5 7 2 3 4" xfId="36680"/>
    <cellStyle name="Normal 5 7 2 4" xfId="5421"/>
    <cellStyle name="Normal 5 7 2 4 2" xfId="13646"/>
    <cellStyle name="Normal 5 7 2 4 2 2" xfId="30096"/>
    <cellStyle name="Normal 5 7 2 4 3" xfId="21871"/>
    <cellStyle name="Normal 5 7 2 4 4" xfId="38325"/>
    <cellStyle name="Normal 5 7 2 5" xfId="7066"/>
    <cellStyle name="Normal 5 7 2 5 2" xfId="15291"/>
    <cellStyle name="Normal 5 7 2 5 2 2" xfId="31741"/>
    <cellStyle name="Normal 5 7 2 5 3" xfId="23516"/>
    <cellStyle name="Normal 5 7 2 5 4" xfId="39970"/>
    <cellStyle name="Normal 5 7 2 6" xfId="8711"/>
    <cellStyle name="Normal 5 7 2 6 2" xfId="25161"/>
    <cellStyle name="Normal 5 7 2 7" xfId="16935"/>
    <cellStyle name="Normal 5 7 2 8" xfId="33389"/>
    <cellStyle name="Normal 5 7 2 9" xfId="41616"/>
    <cellStyle name="Normal 5 7 3" xfId="671"/>
    <cellStyle name="Normal 5 7 3 2" xfId="2366"/>
    <cellStyle name="Normal 5 7 3 2 2" xfId="10591"/>
    <cellStyle name="Normal 5 7 3 2 2 2" xfId="27041"/>
    <cellStyle name="Normal 5 7 3 2 3" xfId="18816"/>
    <cellStyle name="Normal 5 7 3 2 4" xfId="35270"/>
    <cellStyle name="Normal 5 7 3 3" xfId="4011"/>
    <cellStyle name="Normal 5 7 3 3 2" xfId="12236"/>
    <cellStyle name="Normal 5 7 3 3 2 2" xfId="28686"/>
    <cellStyle name="Normal 5 7 3 3 3" xfId="20461"/>
    <cellStyle name="Normal 5 7 3 3 4" xfId="36915"/>
    <cellStyle name="Normal 5 7 3 4" xfId="5656"/>
    <cellStyle name="Normal 5 7 3 4 2" xfId="13881"/>
    <cellStyle name="Normal 5 7 3 4 2 2" xfId="30331"/>
    <cellStyle name="Normal 5 7 3 4 3" xfId="22106"/>
    <cellStyle name="Normal 5 7 3 4 4" xfId="38560"/>
    <cellStyle name="Normal 5 7 3 5" xfId="7301"/>
    <cellStyle name="Normal 5 7 3 5 2" xfId="15526"/>
    <cellStyle name="Normal 5 7 3 5 2 2" xfId="31976"/>
    <cellStyle name="Normal 5 7 3 5 3" xfId="23751"/>
    <cellStyle name="Normal 5 7 3 5 4" xfId="40205"/>
    <cellStyle name="Normal 5 7 3 6" xfId="8946"/>
    <cellStyle name="Normal 5 7 3 6 2" xfId="25396"/>
    <cellStyle name="Normal 5 7 3 7" xfId="17170"/>
    <cellStyle name="Normal 5 7 3 8" xfId="33624"/>
    <cellStyle name="Normal 5 7 3 9" xfId="41851"/>
    <cellStyle name="Normal 5 7 4" xfId="906"/>
    <cellStyle name="Normal 5 7 4 2" xfId="2601"/>
    <cellStyle name="Normal 5 7 4 2 2" xfId="10826"/>
    <cellStyle name="Normal 5 7 4 2 2 2" xfId="27276"/>
    <cellStyle name="Normal 5 7 4 2 3" xfId="19051"/>
    <cellStyle name="Normal 5 7 4 2 4" xfId="35505"/>
    <cellStyle name="Normal 5 7 4 3" xfId="4246"/>
    <cellStyle name="Normal 5 7 4 3 2" xfId="12471"/>
    <cellStyle name="Normal 5 7 4 3 2 2" xfId="28921"/>
    <cellStyle name="Normal 5 7 4 3 3" xfId="20696"/>
    <cellStyle name="Normal 5 7 4 3 4" xfId="37150"/>
    <cellStyle name="Normal 5 7 4 4" xfId="5891"/>
    <cellStyle name="Normal 5 7 4 4 2" xfId="14116"/>
    <cellStyle name="Normal 5 7 4 4 2 2" xfId="30566"/>
    <cellStyle name="Normal 5 7 4 4 3" xfId="22341"/>
    <cellStyle name="Normal 5 7 4 4 4" xfId="38795"/>
    <cellStyle name="Normal 5 7 4 5" xfId="7536"/>
    <cellStyle name="Normal 5 7 4 5 2" xfId="15761"/>
    <cellStyle name="Normal 5 7 4 5 2 2" xfId="32211"/>
    <cellStyle name="Normal 5 7 4 5 3" xfId="23986"/>
    <cellStyle name="Normal 5 7 4 5 4" xfId="40440"/>
    <cellStyle name="Normal 5 7 4 6" xfId="9181"/>
    <cellStyle name="Normal 5 7 4 6 2" xfId="25631"/>
    <cellStyle name="Normal 5 7 4 7" xfId="17405"/>
    <cellStyle name="Normal 5 7 4 8" xfId="33859"/>
    <cellStyle name="Normal 5 7 4 9" xfId="42086"/>
    <cellStyle name="Normal 5 7 5" xfId="1141"/>
    <cellStyle name="Normal 5 7 5 2" xfId="2836"/>
    <cellStyle name="Normal 5 7 5 2 2" xfId="11061"/>
    <cellStyle name="Normal 5 7 5 2 2 2" xfId="27511"/>
    <cellStyle name="Normal 5 7 5 2 3" xfId="19286"/>
    <cellStyle name="Normal 5 7 5 2 4" xfId="35740"/>
    <cellStyle name="Normal 5 7 5 3" xfId="4481"/>
    <cellStyle name="Normal 5 7 5 3 2" xfId="12706"/>
    <cellStyle name="Normal 5 7 5 3 2 2" xfId="29156"/>
    <cellStyle name="Normal 5 7 5 3 3" xfId="20931"/>
    <cellStyle name="Normal 5 7 5 3 4" xfId="37385"/>
    <cellStyle name="Normal 5 7 5 4" xfId="6126"/>
    <cellStyle name="Normal 5 7 5 4 2" xfId="14351"/>
    <cellStyle name="Normal 5 7 5 4 2 2" xfId="30801"/>
    <cellStyle name="Normal 5 7 5 4 3" xfId="22576"/>
    <cellStyle name="Normal 5 7 5 4 4" xfId="39030"/>
    <cellStyle name="Normal 5 7 5 5" xfId="7771"/>
    <cellStyle name="Normal 5 7 5 5 2" xfId="15996"/>
    <cellStyle name="Normal 5 7 5 5 2 2" xfId="32446"/>
    <cellStyle name="Normal 5 7 5 5 3" xfId="24221"/>
    <cellStyle name="Normal 5 7 5 5 4" xfId="40675"/>
    <cellStyle name="Normal 5 7 5 6" xfId="9416"/>
    <cellStyle name="Normal 5 7 5 6 2" xfId="25866"/>
    <cellStyle name="Normal 5 7 5 7" xfId="17640"/>
    <cellStyle name="Normal 5 7 5 8" xfId="34094"/>
    <cellStyle name="Normal 5 7 5 9" xfId="42321"/>
    <cellStyle name="Normal 5 7 6" xfId="1421"/>
    <cellStyle name="Normal 5 7 6 2" xfId="3071"/>
    <cellStyle name="Normal 5 7 6 2 2" xfId="11296"/>
    <cellStyle name="Normal 5 7 6 2 2 2" xfId="27746"/>
    <cellStyle name="Normal 5 7 6 2 3" xfId="19521"/>
    <cellStyle name="Normal 5 7 6 2 4" xfId="35975"/>
    <cellStyle name="Normal 5 7 6 3" xfId="4716"/>
    <cellStyle name="Normal 5 7 6 3 2" xfId="12941"/>
    <cellStyle name="Normal 5 7 6 3 2 2" xfId="29391"/>
    <cellStyle name="Normal 5 7 6 3 3" xfId="21166"/>
    <cellStyle name="Normal 5 7 6 3 4" xfId="37620"/>
    <cellStyle name="Normal 5 7 6 4" xfId="6361"/>
    <cellStyle name="Normal 5 7 6 4 2" xfId="14586"/>
    <cellStyle name="Normal 5 7 6 4 2 2" xfId="31036"/>
    <cellStyle name="Normal 5 7 6 4 3" xfId="22811"/>
    <cellStyle name="Normal 5 7 6 4 4" xfId="39265"/>
    <cellStyle name="Normal 5 7 6 5" xfId="8006"/>
    <cellStyle name="Normal 5 7 6 5 2" xfId="16231"/>
    <cellStyle name="Normal 5 7 6 5 2 2" xfId="32681"/>
    <cellStyle name="Normal 5 7 6 5 3" xfId="24456"/>
    <cellStyle name="Normal 5 7 6 5 4" xfId="40910"/>
    <cellStyle name="Normal 5 7 6 6" xfId="9651"/>
    <cellStyle name="Normal 5 7 6 6 2" xfId="26101"/>
    <cellStyle name="Normal 5 7 6 7" xfId="17875"/>
    <cellStyle name="Normal 5 7 6 8" xfId="34329"/>
    <cellStyle name="Normal 5 7 7" xfId="1656"/>
    <cellStyle name="Normal 5 7 7 2" xfId="3306"/>
    <cellStyle name="Normal 5 7 7 2 2" xfId="11531"/>
    <cellStyle name="Normal 5 7 7 2 2 2" xfId="27981"/>
    <cellStyle name="Normal 5 7 7 2 3" xfId="19756"/>
    <cellStyle name="Normal 5 7 7 2 4" xfId="36210"/>
    <cellStyle name="Normal 5 7 7 3" xfId="4951"/>
    <cellStyle name="Normal 5 7 7 3 2" xfId="13176"/>
    <cellStyle name="Normal 5 7 7 3 2 2" xfId="29626"/>
    <cellStyle name="Normal 5 7 7 3 3" xfId="21401"/>
    <cellStyle name="Normal 5 7 7 3 4" xfId="37855"/>
    <cellStyle name="Normal 5 7 7 4" xfId="6596"/>
    <cellStyle name="Normal 5 7 7 4 2" xfId="14821"/>
    <cellStyle name="Normal 5 7 7 4 2 2" xfId="31271"/>
    <cellStyle name="Normal 5 7 7 4 3" xfId="23046"/>
    <cellStyle name="Normal 5 7 7 4 4" xfId="39500"/>
    <cellStyle name="Normal 5 7 7 5" xfId="8241"/>
    <cellStyle name="Normal 5 7 7 5 2" xfId="16466"/>
    <cellStyle name="Normal 5 7 7 5 2 2" xfId="32916"/>
    <cellStyle name="Normal 5 7 7 5 3" xfId="24691"/>
    <cellStyle name="Normal 5 7 7 5 4" xfId="41145"/>
    <cellStyle name="Normal 5 7 7 6" xfId="9886"/>
    <cellStyle name="Normal 5 7 7 6 2" xfId="26336"/>
    <cellStyle name="Normal 5 7 7 7" xfId="18110"/>
    <cellStyle name="Normal 5 7 7 8" xfId="34564"/>
    <cellStyle name="Normal 5 7 8" xfId="1891"/>
    <cellStyle name="Normal 5 7 8 2" xfId="10121"/>
    <cellStyle name="Normal 5 7 8 2 2" xfId="26571"/>
    <cellStyle name="Normal 5 7 8 3" xfId="18345"/>
    <cellStyle name="Normal 5 7 8 4" xfId="34799"/>
    <cellStyle name="Normal 5 7 9" xfId="3541"/>
    <cellStyle name="Normal 5 7 9 2" xfId="11766"/>
    <cellStyle name="Normal 5 7 9 2 2" xfId="28216"/>
    <cellStyle name="Normal 5 7 9 3" xfId="19991"/>
    <cellStyle name="Normal 5 7 9 4" xfId="36445"/>
    <cellStyle name="Normal 5 8" xfId="216"/>
    <cellStyle name="Normal 5 8 10" xfId="5213"/>
    <cellStyle name="Normal 5 8 10 2" xfId="13438"/>
    <cellStyle name="Normal 5 8 10 2 2" xfId="29888"/>
    <cellStyle name="Normal 5 8 10 3" xfId="21663"/>
    <cellStyle name="Normal 5 8 10 4" xfId="38117"/>
    <cellStyle name="Normal 5 8 11" xfId="6858"/>
    <cellStyle name="Normal 5 8 11 2" xfId="15083"/>
    <cellStyle name="Normal 5 8 11 2 2" xfId="31533"/>
    <cellStyle name="Normal 5 8 11 3" xfId="23308"/>
    <cellStyle name="Normal 5 8 11 4" xfId="39762"/>
    <cellStyle name="Normal 5 8 12" xfId="8503"/>
    <cellStyle name="Normal 5 8 12 2" xfId="24953"/>
    <cellStyle name="Normal 5 8 13" xfId="16727"/>
    <cellStyle name="Normal 5 8 14" xfId="33180"/>
    <cellStyle name="Normal 5 8 15" xfId="41408"/>
    <cellStyle name="Normal 5 8 2" xfId="459"/>
    <cellStyle name="Normal 5 8 2 2" xfId="2156"/>
    <cellStyle name="Normal 5 8 2 2 2" xfId="10383"/>
    <cellStyle name="Normal 5 8 2 2 2 2" xfId="26833"/>
    <cellStyle name="Normal 5 8 2 2 3" xfId="18608"/>
    <cellStyle name="Normal 5 8 2 2 4" xfId="35062"/>
    <cellStyle name="Normal 5 8 2 3" xfId="3803"/>
    <cellStyle name="Normal 5 8 2 3 2" xfId="12028"/>
    <cellStyle name="Normal 5 8 2 3 2 2" xfId="28478"/>
    <cellStyle name="Normal 5 8 2 3 3" xfId="20253"/>
    <cellStyle name="Normal 5 8 2 3 4" xfId="36707"/>
    <cellStyle name="Normal 5 8 2 4" xfId="5448"/>
    <cellStyle name="Normal 5 8 2 4 2" xfId="13673"/>
    <cellStyle name="Normal 5 8 2 4 2 2" xfId="30123"/>
    <cellStyle name="Normal 5 8 2 4 3" xfId="21898"/>
    <cellStyle name="Normal 5 8 2 4 4" xfId="38352"/>
    <cellStyle name="Normal 5 8 2 5" xfId="7093"/>
    <cellStyle name="Normal 5 8 2 5 2" xfId="15318"/>
    <cellStyle name="Normal 5 8 2 5 2 2" xfId="31768"/>
    <cellStyle name="Normal 5 8 2 5 3" xfId="23543"/>
    <cellStyle name="Normal 5 8 2 5 4" xfId="39997"/>
    <cellStyle name="Normal 5 8 2 6" xfId="8738"/>
    <cellStyle name="Normal 5 8 2 6 2" xfId="25188"/>
    <cellStyle name="Normal 5 8 2 7" xfId="16962"/>
    <cellStyle name="Normal 5 8 2 8" xfId="33416"/>
    <cellStyle name="Normal 5 8 2 9" xfId="41643"/>
    <cellStyle name="Normal 5 8 3" xfId="698"/>
    <cellStyle name="Normal 5 8 3 2" xfId="2393"/>
    <cellStyle name="Normal 5 8 3 2 2" xfId="10618"/>
    <cellStyle name="Normal 5 8 3 2 2 2" xfId="27068"/>
    <cellStyle name="Normal 5 8 3 2 3" xfId="18843"/>
    <cellStyle name="Normal 5 8 3 2 4" xfId="35297"/>
    <cellStyle name="Normal 5 8 3 3" xfId="4038"/>
    <cellStyle name="Normal 5 8 3 3 2" xfId="12263"/>
    <cellStyle name="Normal 5 8 3 3 2 2" xfId="28713"/>
    <cellStyle name="Normal 5 8 3 3 3" xfId="20488"/>
    <cellStyle name="Normal 5 8 3 3 4" xfId="36942"/>
    <cellStyle name="Normal 5 8 3 4" xfId="5683"/>
    <cellStyle name="Normal 5 8 3 4 2" xfId="13908"/>
    <cellStyle name="Normal 5 8 3 4 2 2" xfId="30358"/>
    <cellStyle name="Normal 5 8 3 4 3" xfId="22133"/>
    <cellStyle name="Normal 5 8 3 4 4" xfId="38587"/>
    <cellStyle name="Normal 5 8 3 5" xfId="7328"/>
    <cellStyle name="Normal 5 8 3 5 2" xfId="15553"/>
    <cellStyle name="Normal 5 8 3 5 2 2" xfId="32003"/>
    <cellStyle name="Normal 5 8 3 5 3" xfId="23778"/>
    <cellStyle name="Normal 5 8 3 5 4" xfId="40232"/>
    <cellStyle name="Normal 5 8 3 6" xfId="8973"/>
    <cellStyle name="Normal 5 8 3 6 2" xfId="25423"/>
    <cellStyle name="Normal 5 8 3 7" xfId="17197"/>
    <cellStyle name="Normal 5 8 3 8" xfId="33651"/>
    <cellStyle name="Normal 5 8 3 9" xfId="41878"/>
    <cellStyle name="Normal 5 8 4" xfId="933"/>
    <cellStyle name="Normal 5 8 4 2" xfId="2628"/>
    <cellStyle name="Normal 5 8 4 2 2" xfId="10853"/>
    <cellStyle name="Normal 5 8 4 2 2 2" xfId="27303"/>
    <cellStyle name="Normal 5 8 4 2 3" xfId="19078"/>
    <cellStyle name="Normal 5 8 4 2 4" xfId="35532"/>
    <cellStyle name="Normal 5 8 4 3" xfId="4273"/>
    <cellStyle name="Normal 5 8 4 3 2" xfId="12498"/>
    <cellStyle name="Normal 5 8 4 3 2 2" xfId="28948"/>
    <cellStyle name="Normal 5 8 4 3 3" xfId="20723"/>
    <cellStyle name="Normal 5 8 4 3 4" xfId="37177"/>
    <cellStyle name="Normal 5 8 4 4" xfId="5918"/>
    <cellStyle name="Normal 5 8 4 4 2" xfId="14143"/>
    <cellStyle name="Normal 5 8 4 4 2 2" xfId="30593"/>
    <cellStyle name="Normal 5 8 4 4 3" xfId="22368"/>
    <cellStyle name="Normal 5 8 4 4 4" xfId="38822"/>
    <cellStyle name="Normal 5 8 4 5" xfId="7563"/>
    <cellStyle name="Normal 5 8 4 5 2" xfId="15788"/>
    <cellStyle name="Normal 5 8 4 5 2 2" xfId="32238"/>
    <cellStyle name="Normal 5 8 4 5 3" xfId="24013"/>
    <cellStyle name="Normal 5 8 4 5 4" xfId="40467"/>
    <cellStyle name="Normal 5 8 4 6" xfId="9208"/>
    <cellStyle name="Normal 5 8 4 6 2" xfId="25658"/>
    <cellStyle name="Normal 5 8 4 7" xfId="17432"/>
    <cellStyle name="Normal 5 8 4 8" xfId="33886"/>
    <cellStyle name="Normal 5 8 4 9" xfId="42113"/>
    <cellStyle name="Normal 5 8 5" xfId="1168"/>
    <cellStyle name="Normal 5 8 5 2" xfId="2863"/>
    <cellStyle name="Normal 5 8 5 2 2" xfId="11088"/>
    <cellStyle name="Normal 5 8 5 2 2 2" xfId="27538"/>
    <cellStyle name="Normal 5 8 5 2 3" xfId="19313"/>
    <cellStyle name="Normal 5 8 5 2 4" xfId="35767"/>
    <cellStyle name="Normal 5 8 5 3" xfId="4508"/>
    <cellStyle name="Normal 5 8 5 3 2" xfId="12733"/>
    <cellStyle name="Normal 5 8 5 3 2 2" xfId="29183"/>
    <cellStyle name="Normal 5 8 5 3 3" xfId="20958"/>
    <cellStyle name="Normal 5 8 5 3 4" xfId="37412"/>
    <cellStyle name="Normal 5 8 5 4" xfId="6153"/>
    <cellStyle name="Normal 5 8 5 4 2" xfId="14378"/>
    <cellStyle name="Normal 5 8 5 4 2 2" xfId="30828"/>
    <cellStyle name="Normal 5 8 5 4 3" xfId="22603"/>
    <cellStyle name="Normal 5 8 5 4 4" xfId="39057"/>
    <cellStyle name="Normal 5 8 5 5" xfId="7798"/>
    <cellStyle name="Normal 5 8 5 5 2" xfId="16023"/>
    <cellStyle name="Normal 5 8 5 5 2 2" xfId="32473"/>
    <cellStyle name="Normal 5 8 5 5 3" xfId="24248"/>
    <cellStyle name="Normal 5 8 5 5 4" xfId="40702"/>
    <cellStyle name="Normal 5 8 5 6" xfId="9443"/>
    <cellStyle name="Normal 5 8 5 6 2" xfId="25893"/>
    <cellStyle name="Normal 5 8 5 7" xfId="17667"/>
    <cellStyle name="Normal 5 8 5 8" xfId="34121"/>
    <cellStyle name="Normal 5 8 5 9" xfId="42348"/>
    <cellStyle name="Normal 5 8 6" xfId="1448"/>
    <cellStyle name="Normal 5 8 6 2" xfId="3098"/>
    <cellStyle name="Normal 5 8 6 2 2" xfId="11323"/>
    <cellStyle name="Normal 5 8 6 2 2 2" xfId="27773"/>
    <cellStyle name="Normal 5 8 6 2 3" xfId="19548"/>
    <cellStyle name="Normal 5 8 6 2 4" xfId="36002"/>
    <cellStyle name="Normal 5 8 6 3" xfId="4743"/>
    <cellStyle name="Normal 5 8 6 3 2" xfId="12968"/>
    <cellStyle name="Normal 5 8 6 3 2 2" xfId="29418"/>
    <cellStyle name="Normal 5 8 6 3 3" xfId="21193"/>
    <cellStyle name="Normal 5 8 6 3 4" xfId="37647"/>
    <cellStyle name="Normal 5 8 6 4" xfId="6388"/>
    <cellStyle name="Normal 5 8 6 4 2" xfId="14613"/>
    <cellStyle name="Normal 5 8 6 4 2 2" xfId="31063"/>
    <cellStyle name="Normal 5 8 6 4 3" xfId="22838"/>
    <cellStyle name="Normal 5 8 6 4 4" xfId="39292"/>
    <cellStyle name="Normal 5 8 6 5" xfId="8033"/>
    <cellStyle name="Normal 5 8 6 5 2" xfId="16258"/>
    <cellStyle name="Normal 5 8 6 5 2 2" xfId="32708"/>
    <cellStyle name="Normal 5 8 6 5 3" xfId="24483"/>
    <cellStyle name="Normal 5 8 6 5 4" xfId="40937"/>
    <cellStyle name="Normal 5 8 6 6" xfId="9678"/>
    <cellStyle name="Normal 5 8 6 6 2" xfId="26128"/>
    <cellStyle name="Normal 5 8 6 7" xfId="17902"/>
    <cellStyle name="Normal 5 8 6 8" xfId="34356"/>
    <cellStyle name="Normal 5 8 7" xfId="1683"/>
    <cellStyle name="Normal 5 8 7 2" xfId="3333"/>
    <cellStyle name="Normal 5 8 7 2 2" xfId="11558"/>
    <cellStyle name="Normal 5 8 7 2 2 2" xfId="28008"/>
    <cellStyle name="Normal 5 8 7 2 3" xfId="19783"/>
    <cellStyle name="Normal 5 8 7 2 4" xfId="36237"/>
    <cellStyle name="Normal 5 8 7 3" xfId="4978"/>
    <cellStyle name="Normal 5 8 7 3 2" xfId="13203"/>
    <cellStyle name="Normal 5 8 7 3 2 2" xfId="29653"/>
    <cellStyle name="Normal 5 8 7 3 3" xfId="21428"/>
    <cellStyle name="Normal 5 8 7 3 4" xfId="37882"/>
    <cellStyle name="Normal 5 8 7 4" xfId="6623"/>
    <cellStyle name="Normal 5 8 7 4 2" xfId="14848"/>
    <cellStyle name="Normal 5 8 7 4 2 2" xfId="31298"/>
    <cellStyle name="Normal 5 8 7 4 3" xfId="23073"/>
    <cellStyle name="Normal 5 8 7 4 4" xfId="39527"/>
    <cellStyle name="Normal 5 8 7 5" xfId="8268"/>
    <cellStyle name="Normal 5 8 7 5 2" xfId="16493"/>
    <cellStyle name="Normal 5 8 7 5 2 2" xfId="32943"/>
    <cellStyle name="Normal 5 8 7 5 3" xfId="24718"/>
    <cellStyle name="Normal 5 8 7 5 4" xfId="41172"/>
    <cellStyle name="Normal 5 8 7 6" xfId="9913"/>
    <cellStyle name="Normal 5 8 7 6 2" xfId="26363"/>
    <cellStyle name="Normal 5 8 7 7" xfId="18137"/>
    <cellStyle name="Normal 5 8 7 8" xfId="34591"/>
    <cellStyle name="Normal 5 8 8" xfId="1918"/>
    <cellStyle name="Normal 5 8 8 2" xfId="10148"/>
    <cellStyle name="Normal 5 8 8 2 2" xfId="26598"/>
    <cellStyle name="Normal 5 8 8 3" xfId="18372"/>
    <cellStyle name="Normal 5 8 8 4" xfId="34826"/>
    <cellStyle name="Normal 5 8 9" xfId="3568"/>
    <cellStyle name="Normal 5 8 9 2" xfId="11793"/>
    <cellStyle name="Normal 5 8 9 2 2" xfId="28243"/>
    <cellStyle name="Normal 5 8 9 3" xfId="20018"/>
    <cellStyle name="Normal 5 8 9 4" xfId="36472"/>
    <cellStyle name="Normal 5 9" xfId="245"/>
    <cellStyle name="Normal 5 9 10" xfId="5240"/>
    <cellStyle name="Normal 5 9 10 2" xfId="13465"/>
    <cellStyle name="Normal 5 9 10 2 2" xfId="29915"/>
    <cellStyle name="Normal 5 9 10 3" xfId="21690"/>
    <cellStyle name="Normal 5 9 10 4" xfId="38144"/>
    <cellStyle name="Normal 5 9 11" xfId="6885"/>
    <cellStyle name="Normal 5 9 11 2" xfId="15110"/>
    <cellStyle name="Normal 5 9 11 2 2" xfId="31560"/>
    <cellStyle name="Normal 5 9 11 3" xfId="23335"/>
    <cellStyle name="Normal 5 9 11 4" xfId="39789"/>
    <cellStyle name="Normal 5 9 12" xfId="8530"/>
    <cellStyle name="Normal 5 9 12 2" xfId="24980"/>
    <cellStyle name="Normal 5 9 13" xfId="16754"/>
    <cellStyle name="Normal 5 9 14" xfId="33207"/>
    <cellStyle name="Normal 5 9 15" xfId="41435"/>
    <cellStyle name="Normal 5 9 2" xfId="488"/>
    <cellStyle name="Normal 5 9 2 2" xfId="2183"/>
    <cellStyle name="Normal 5 9 2 2 2" xfId="10410"/>
    <cellStyle name="Normal 5 9 2 2 2 2" xfId="26860"/>
    <cellStyle name="Normal 5 9 2 2 3" xfId="18635"/>
    <cellStyle name="Normal 5 9 2 2 4" xfId="35089"/>
    <cellStyle name="Normal 5 9 2 3" xfId="3830"/>
    <cellStyle name="Normal 5 9 2 3 2" xfId="12055"/>
    <cellStyle name="Normal 5 9 2 3 2 2" xfId="28505"/>
    <cellStyle name="Normal 5 9 2 3 3" xfId="20280"/>
    <cellStyle name="Normal 5 9 2 3 4" xfId="36734"/>
    <cellStyle name="Normal 5 9 2 4" xfId="5475"/>
    <cellStyle name="Normal 5 9 2 4 2" xfId="13700"/>
    <cellStyle name="Normal 5 9 2 4 2 2" xfId="30150"/>
    <cellStyle name="Normal 5 9 2 4 3" xfId="21925"/>
    <cellStyle name="Normal 5 9 2 4 4" xfId="38379"/>
    <cellStyle name="Normal 5 9 2 5" xfId="7120"/>
    <cellStyle name="Normal 5 9 2 5 2" xfId="15345"/>
    <cellStyle name="Normal 5 9 2 5 2 2" xfId="31795"/>
    <cellStyle name="Normal 5 9 2 5 3" xfId="23570"/>
    <cellStyle name="Normal 5 9 2 5 4" xfId="40024"/>
    <cellStyle name="Normal 5 9 2 6" xfId="8765"/>
    <cellStyle name="Normal 5 9 2 6 2" xfId="25215"/>
    <cellStyle name="Normal 5 9 2 7" xfId="16989"/>
    <cellStyle name="Normal 5 9 2 8" xfId="33443"/>
    <cellStyle name="Normal 5 9 2 9" xfId="41670"/>
    <cellStyle name="Normal 5 9 3" xfId="725"/>
    <cellStyle name="Normal 5 9 3 2" xfId="2420"/>
    <cellStyle name="Normal 5 9 3 2 2" xfId="10645"/>
    <cellStyle name="Normal 5 9 3 2 2 2" xfId="27095"/>
    <cellStyle name="Normal 5 9 3 2 3" xfId="18870"/>
    <cellStyle name="Normal 5 9 3 2 4" xfId="35324"/>
    <cellStyle name="Normal 5 9 3 3" xfId="4065"/>
    <cellStyle name="Normal 5 9 3 3 2" xfId="12290"/>
    <cellStyle name="Normal 5 9 3 3 2 2" xfId="28740"/>
    <cellStyle name="Normal 5 9 3 3 3" xfId="20515"/>
    <cellStyle name="Normal 5 9 3 3 4" xfId="36969"/>
    <cellStyle name="Normal 5 9 3 4" xfId="5710"/>
    <cellStyle name="Normal 5 9 3 4 2" xfId="13935"/>
    <cellStyle name="Normal 5 9 3 4 2 2" xfId="30385"/>
    <cellStyle name="Normal 5 9 3 4 3" xfId="22160"/>
    <cellStyle name="Normal 5 9 3 4 4" xfId="38614"/>
    <cellStyle name="Normal 5 9 3 5" xfId="7355"/>
    <cellStyle name="Normal 5 9 3 5 2" xfId="15580"/>
    <cellStyle name="Normal 5 9 3 5 2 2" xfId="32030"/>
    <cellStyle name="Normal 5 9 3 5 3" xfId="23805"/>
    <cellStyle name="Normal 5 9 3 5 4" xfId="40259"/>
    <cellStyle name="Normal 5 9 3 6" xfId="9000"/>
    <cellStyle name="Normal 5 9 3 6 2" xfId="25450"/>
    <cellStyle name="Normal 5 9 3 7" xfId="17224"/>
    <cellStyle name="Normal 5 9 3 8" xfId="33678"/>
    <cellStyle name="Normal 5 9 3 9" xfId="41905"/>
    <cellStyle name="Normal 5 9 4" xfId="960"/>
    <cellStyle name="Normal 5 9 4 2" xfId="2655"/>
    <cellStyle name="Normal 5 9 4 2 2" xfId="10880"/>
    <cellStyle name="Normal 5 9 4 2 2 2" xfId="27330"/>
    <cellStyle name="Normal 5 9 4 2 3" xfId="19105"/>
    <cellStyle name="Normal 5 9 4 2 4" xfId="35559"/>
    <cellStyle name="Normal 5 9 4 3" xfId="4300"/>
    <cellStyle name="Normal 5 9 4 3 2" xfId="12525"/>
    <cellStyle name="Normal 5 9 4 3 2 2" xfId="28975"/>
    <cellStyle name="Normal 5 9 4 3 3" xfId="20750"/>
    <cellStyle name="Normal 5 9 4 3 4" xfId="37204"/>
    <cellStyle name="Normal 5 9 4 4" xfId="5945"/>
    <cellStyle name="Normal 5 9 4 4 2" xfId="14170"/>
    <cellStyle name="Normal 5 9 4 4 2 2" xfId="30620"/>
    <cellStyle name="Normal 5 9 4 4 3" xfId="22395"/>
    <cellStyle name="Normal 5 9 4 4 4" xfId="38849"/>
    <cellStyle name="Normal 5 9 4 5" xfId="7590"/>
    <cellStyle name="Normal 5 9 4 5 2" xfId="15815"/>
    <cellStyle name="Normal 5 9 4 5 2 2" xfId="32265"/>
    <cellStyle name="Normal 5 9 4 5 3" xfId="24040"/>
    <cellStyle name="Normal 5 9 4 5 4" xfId="40494"/>
    <cellStyle name="Normal 5 9 4 6" xfId="9235"/>
    <cellStyle name="Normal 5 9 4 6 2" xfId="25685"/>
    <cellStyle name="Normal 5 9 4 7" xfId="17459"/>
    <cellStyle name="Normal 5 9 4 8" xfId="33913"/>
    <cellStyle name="Normal 5 9 4 9" xfId="42140"/>
    <cellStyle name="Normal 5 9 5" xfId="1195"/>
    <cellStyle name="Normal 5 9 5 2" xfId="2890"/>
    <cellStyle name="Normal 5 9 5 2 2" xfId="11115"/>
    <cellStyle name="Normal 5 9 5 2 2 2" xfId="27565"/>
    <cellStyle name="Normal 5 9 5 2 3" xfId="19340"/>
    <cellStyle name="Normal 5 9 5 2 4" xfId="35794"/>
    <cellStyle name="Normal 5 9 5 3" xfId="4535"/>
    <cellStyle name="Normal 5 9 5 3 2" xfId="12760"/>
    <cellStyle name="Normal 5 9 5 3 2 2" xfId="29210"/>
    <cellStyle name="Normal 5 9 5 3 3" xfId="20985"/>
    <cellStyle name="Normal 5 9 5 3 4" xfId="37439"/>
    <cellStyle name="Normal 5 9 5 4" xfId="6180"/>
    <cellStyle name="Normal 5 9 5 4 2" xfId="14405"/>
    <cellStyle name="Normal 5 9 5 4 2 2" xfId="30855"/>
    <cellStyle name="Normal 5 9 5 4 3" xfId="22630"/>
    <cellStyle name="Normal 5 9 5 4 4" xfId="39084"/>
    <cellStyle name="Normal 5 9 5 5" xfId="7825"/>
    <cellStyle name="Normal 5 9 5 5 2" xfId="16050"/>
    <cellStyle name="Normal 5 9 5 5 2 2" xfId="32500"/>
    <cellStyle name="Normal 5 9 5 5 3" xfId="24275"/>
    <cellStyle name="Normal 5 9 5 5 4" xfId="40729"/>
    <cellStyle name="Normal 5 9 5 6" xfId="9470"/>
    <cellStyle name="Normal 5 9 5 6 2" xfId="25920"/>
    <cellStyle name="Normal 5 9 5 7" xfId="17694"/>
    <cellStyle name="Normal 5 9 5 8" xfId="34148"/>
    <cellStyle name="Normal 5 9 5 9" xfId="42375"/>
    <cellStyle name="Normal 5 9 6" xfId="1475"/>
    <cellStyle name="Normal 5 9 6 2" xfId="3125"/>
    <cellStyle name="Normal 5 9 6 2 2" xfId="11350"/>
    <cellStyle name="Normal 5 9 6 2 2 2" xfId="27800"/>
    <cellStyle name="Normal 5 9 6 2 3" xfId="19575"/>
    <cellStyle name="Normal 5 9 6 2 4" xfId="36029"/>
    <cellStyle name="Normal 5 9 6 3" xfId="4770"/>
    <cellStyle name="Normal 5 9 6 3 2" xfId="12995"/>
    <cellStyle name="Normal 5 9 6 3 2 2" xfId="29445"/>
    <cellStyle name="Normal 5 9 6 3 3" xfId="21220"/>
    <cellStyle name="Normal 5 9 6 3 4" xfId="37674"/>
    <cellStyle name="Normal 5 9 6 4" xfId="6415"/>
    <cellStyle name="Normal 5 9 6 4 2" xfId="14640"/>
    <cellStyle name="Normal 5 9 6 4 2 2" xfId="31090"/>
    <cellStyle name="Normal 5 9 6 4 3" xfId="22865"/>
    <cellStyle name="Normal 5 9 6 4 4" xfId="39319"/>
    <cellStyle name="Normal 5 9 6 5" xfId="8060"/>
    <cellStyle name="Normal 5 9 6 5 2" xfId="16285"/>
    <cellStyle name="Normal 5 9 6 5 2 2" xfId="32735"/>
    <cellStyle name="Normal 5 9 6 5 3" xfId="24510"/>
    <cellStyle name="Normal 5 9 6 5 4" xfId="40964"/>
    <cellStyle name="Normal 5 9 6 6" xfId="9705"/>
    <cellStyle name="Normal 5 9 6 6 2" xfId="26155"/>
    <cellStyle name="Normal 5 9 6 7" xfId="17929"/>
    <cellStyle name="Normal 5 9 6 8" xfId="34383"/>
    <cellStyle name="Normal 5 9 7" xfId="1710"/>
    <cellStyle name="Normal 5 9 7 2" xfId="3360"/>
    <cellStyle name="Normal 5 9 7 2 2" xfId="11585"/>
    <cellStyle name="Normal 5 9 7 2 2 2" xfId="28035"/>
    <cellStyle name="Normal 5 9 7 2 3" xfId="19810"/>
    <cellStyle name="Normal 5 9 7 2 4" xfId="36264"/>
    <cellStyle name="Normal 5 9 7 3" xfId="5005"/>
    <cellStyle name="Normal 5 9 7 3 2" xfId="13230"/>
    <cellStyle name="Normal 5 9 7 3 2 2" xfId="29680"/>
    <cellStyle name="Normal 5 9 7 3 3" xfId="21455"/>
    <cellStyle name="Normal 5 9 7 3 4" xfId="37909"/>
    <cellStyle name="Normal 5 9 7 4" xfId="6650"/>
    <cellStyle name="Normal 5 9 7 4 2" xfId="14875"/>
    <cellStyle name="Normal 5 9 7 4 2 2" xfId="31325"/>
    <cellStyle name="Normal 5 9 7 4 3" xfId="23100"/>
    <cellStyle name="Normal 5 9 7 4 4" xfId="39554"/>
    <cellStyle name="Normal 5 9 7 5" xfId="8295"/>
    <cellStyle name="Normal 5 9 7 5 2" xfId="16520"/>
    <cellStyle name="Normal 5 9 7 5 2 2" xfId="32970"/>
    <cellStyle name="Normal 5 9 7 5 3" xfId="24745"/>
    <cellStyle name="Normal 5 9 7 5 4" xfId="41199"/>
    <cellStyle name="Normal 5 9 7 6" xfId="9940"/>
    <cellStyle name="Normal 5 9 7 6 2" xfId="26390"/>
    <cellStyle name="Normal 5 9 7 7" xfId="18164"/>
    <cellStyle name="Normal 5 9 7 8" xfId="34618"/>
    <cellStyle name="Normal 5 9 8" xfId="1945"/>
    <cellStyle name="Normal 5 9 8 2" xfId="10175"/>
    <cellStyle name="Normal 5 9 8 2 2" xfId="26625"/>
    <cellStyle name="Normal 5 9 8 3" xfId="18399"/>
    <cellStyle name="Normal 5 9 8 4" xfId="34853"/>
    <cellStyle name="Normal 5 9 9" xfId="3595"/>
    <cellStyle name="Normal 5 9 9 2" xfId="11820"/>
    <cellStyle name="Normal 5 9 9 2 2" xfId="28270"/>
    <cellStyle name="Normal 5 9 9 3" xfId="20045"/>
    <cellStyle name="Normal 5 9 9 4" xfId="36499"/>
    <cellStyle name="Normal 6" xfId="33"/>
    <cellStyle name="Normal 6 10" xfId="276"/>
    <cellStyle name="Normal 6 10 2" xfId="1977"/>
    <cellStyle name="Normal 6 10 2 2" xfId="10204"/>
    <cellStyle name="Normal 6 10 2 2 2" xfId="26654"/>
    <cellStyle name="Normal 6 10 2 3" xfId="18429"/>
    <cellStyle name="Normal 6 10 2 4" xfId="34883"/>
    <cellStyle name="Normal 6 10 3" xfId="3624"/>
    <cellStyle name="Normal 6 10 3 2" xfId="11849"/>
    <cellStyle name="Normal 6 10 3 2 2" xfId="28299"/>
    <cellStyle name="Normal 6 10 3 3" xfId="20074"/>
    <cellStyle name="Normal 6 10 3 4" xfId="36528"/>
    <cellStyle name="Normal 6 10 4" xfId="5269"/>
    <cellStyle name="Normal 6 10 4 2" xfId="13494"/>
    <cellStyle name="Normal 6 10 4 2 2" xfId="29944"/>
    <cellStyle name="Normal 6 10 4 3" xfId="21719"/>
    <cellStyle name="Normal 6 10 4 4" xfId="38173"/>
    <cellStyle name="Normal 6 10 5" xfId="6914"/>
    <cellStyle name="Normal 6 10 5 2" xfId="15139"/>
    <cellStyle name="Normal 6 10 5 2 2" xfId="31589"/>
    <cellStyle name="Normal 6 10 5 3" xfId="23364"/>
    <cellStyle name="Normal 6 10 5 4" xfId="39818"/>
    <cellStyle name="Normal 6 10 6" xfId="8559"/>
    <cellStyle name="Normal 6 10 6 2" xfId="25009"/>
    <cellStyle name="Normal 6 10 7" xfId="16783"/>
    <cellStyle name="Normal 6 10 8" xfId="33237"/>
    <cellStyle name="Normal 6 10 9" xfId="41464"/>
    <cellStyle name="Normal 6 11" xfId="519"/>
    <cellStyle name="Normal 6 11 2" xfId="2214"/>
    <cellStyle name="Normal 6 11 2 2" xfId="10439"/>
    <cellStyle name="Normal 6 11 2 2 2" xfId="26889"/>
    <cellStyle name="Normal 6 11 2 3" xfId="18664"/>
    <cellStyle name="Normal 6 11 2 4" xfId="35118"/>
    <cellStyle name="Normal 6 11 3" xfId="3859"/>
    <cellStyle name="Normal 6 11 3 2" xfId="12084"/>
    <cellStyle name="Normal 6 11 3 2 2" xfId="28534"/>
    <cellStyle name="Normal 6 11 3 3" xfId="20309"/>
    <cellStyle name="Normal 6 11 3 4" xfId="36763"/>
    <cellStyle name="Normal 6 11 4" xfId="5504"/>
    <cellStyle name="Normal 6 11 4 2" xfId="13729"/>
    <cellStyle name="Normal 6 11 4 2 2" xfId="30179"/>
    <cellStyle name="Normal 6 11 4 3" xfId="21954"/>
    <cellStyle name="Normal 6 11 4 4" xfId="38408"/>
    <cellStyle name="Normal 6 11 5" xfId="7149"/>
    <cellStyle name="Normal 6 11 5 2" xfId="15374"/>
    <cellStyle name="Normal 6 11 5 2 2" xfId="31824"/>
    <cellStyle name="Normal 6 11 5 3" xfId="23599"/>
    <cellStyle name="Normal 6 11 5 4" xfId="40053"/>
    <cellStyle name="Normal 6 11 6" xfId="8794"/>
    <cellStyle name="Normal 6 11 6 2" xfId="25244"/>
    <cellStyle name="Normal 6 11 7" xfId="17018"/>
    <cellStyle name="Normal 6 11 8" xfId="33472"/>
    <cellStyle name="Normal 6 11 9" xfId="41699"/>
    <cellStyle name="Normal 6 12" xfId="754"/>
    <cellStyle name="Normal 6 12 2" xfId="2449"/>
    <cellStyle name="Normal 6 12 2 2" xfId="10674"/>
    <cellStyle name="Normal 6 12 2 2 2" xfId="27124"/>
    <cellStyle name="Normal 6 12 2 3" xfId="18899"/>
    <cellStyle name="Normal 6 12 2 4" xfId="35353"/>
    <cellStyle name="Normal 6 12 3" xfId="4094"/>
    <cellStyle name="Normal 6 12 3 2" xfId="12319"/>
    <cellStyle name="Normal 6 12 3 2 2" xfId="28769"/>
    <cellStyle name="Normal 6 12 3 3" xfId="20544"/>
    <cellStyle name="Normal 6 12 3 4" xfId="36998"/>
    <cellStyle name="Normal 6 12 4" xfId="5739"/>
    <cellStyle name="Normal 6 12 4 2" xfId="13964"/>
    <cellStyle name="Normal 6 12 4 2 2" xfId="30414"/>
    <cellStyle name="Normal 6 12 4 3" xfId="22189"/>
    <cellStyle name="Normal 6 12 4 4" xfId="38643"/>
    <cellStyle name="Normal 6 12 5" xfId="7384"/>
    <cellStyle name="Normal 6 12 5 2" xfId="15609"/>
    <cellStyle name="Normal 6 12 5 2 2" xfId="32059"/>
    <cellStyle name="Normal 6 12 5 3" xfId="23834"/>
    <cellStyle name="Normal 6 12 5 4" xfId="40288"/>
    <cellStyle name="Normal 6 12 6" xfId="9029"/>
    <cellStyle name="Normal 6 12 6 2" xfId="25479"/>
    <cellStyle name="Normal 6 12 7" xfId="17253"/>
    <cellStyle name="Normal 6 12 8" xfId="33707"/>
    <cellStyle name="Normal 6 12 9" xfId="41934"/>
    <cellStyle name="Normal 6 13" xfId="989"/>
    <cellStyle name="Normal 6 13 2" xfId="2684"/>
    <cellStyle name="Normal 6 13 2 2" xfId="10909"/>
    <cellStyle name="Normal 6 13 2 2 2" xfId="27359"/>
    <cellStyle name="Normal 6 13 2 3" xfId="19134"/>
    <cellStyle name="Normal 6 13 2 4" xfId="35588"/>
    <cellStyle name="Normal 6 13 3" xfId="4329"/>
    <cellStyle name="Normal 6 13 3 2" xfId="12554"/>
    <cellStyle name="Normal 6 13 3 2 2" xfId="29004"/>
    <cellStyle name="Normal 6 13 3 3" xfId="20779"/>
    <cellStyle name="Normal 6 13 3 4" xfId="37233"/>
    <cellStyle name="Normal 6 13 4" xfId="5974"/>
    <cellStyle name="Normal 6 13 4 2" xfId="14199"/>
    <cellStyle name="Normal 6 13 4 2 2" xfId="30649"/>
    <cellStyle name="Normal 6 13 4 3" xfId="22424"/>
    <cellStyle name="Normal 6 13 4 4" xfId="38878"/>
    <cellStyle name="Normal 6 13 5" xfId="7619"/>
    <cellStyle name="Normal 6 13 5 2" xfId="15844"/>
    <cellStyle name="Normal 6 13 5 2 2" xfId="32294"/>
    <cellStyle name="Normal 6 13 5 3" xfId="24069"/>
    <cellStyle name="Normal 6 13 5 4" xfId="40523"/>
    <cellStyle name="Normal 6 13 6" xfId="9264"/>
    <cellStyle name="Normal 6 13 6 2" xfId="25714"/>
    <cellStyle name="Normal 6 13 7" xfId="17488"/>
    <cellStyle name="Normal 6 13 8" xfId="33942"/>
    <cellStyle name="Normal 6 13 9" xfId="42169"/>
    <cellStyle name="Normal 6 14" xfId="1269"/>
    <cellStyle name="Normal 6 14 2" xfId="2919"/>
    <cellStyle name="Normal 6 14 2 2" xfId="11144"/>
    <cellStyle name="Normal 6 14 2 2 2" xfId="27594"/>
    <cellStyle name="Normal 6 14 2 3" xfId="19369"/>
    <cellStyle name="Normal 6 14 2 4" xfId="35823"/>
    <cellStyle name="Normal 6 14 3" xfId="4564"/>
    <cellStyle name="Normal 6 14 3 2" xfId="12789"/>
    <cellStyle name="Normal 6 14 3 2 2" xfId="29239"/>
    <cellStyle name="Normal 6 14 3 3" xfId="21014"/>
    <cellStyle name="Normal 6 14 3 4" xfId="37468"/>
    <cellStyle name="Normal 6 14 4" xfId="6209"/>
    <cellStyle name="Normal 6 14 4 2" xfId="14434"/>
    <cellStyle name="Normal 6 14 4 2 2" xfId="30884"/>
    <cellStyle name="Normal 6 14 4 3" xfId="22659"/>
    <cellStyle name="Normal 6 14 4 4" xfId="39113"/>
    <cellStyle name="Normal 6 14 5" xfId="7854"/>
    <cellStyle name="Normal 6 14 5 2" xfId="16079"/>
    <cellStyle name="Normal 6 14 5 2 2" xfId="32529"/>
    <cellStyle name="Normal 6 14 5 3" xfId="24304"/>
    <cellStyle name="Normal 6 14 5 4" xfId="40758"/>
    <cellStyle name="Normal 6 14 6" xfId="9499"/>
    <cellStyle name="Normal 6 14 6 2" xfId="25949"/>
    <cellStyle name="Normal 6 14 7" xfId="17723"/>
    <cellStyle name="Normal 6 14 8" xfId="34177"/>
    <cellStyle name="Normal 6 15" xfId="1504"/>
    <cellStyle name="Normal 6 15 2" xfId="3154"/>
    <cellStyle name="Normal 6 15 2 2" xfId="11379"/>
    <cellStyle name="Normal 6 15 2 2 2" xfId="27829"/>
    <cellStyle name="Normal 6 15 2 3" xfId="19604"/>
    <cellStyle name="Normal 6 15 2 4" xfId="36058"/>
    <cellStyle name="Normal 6 15 3" xfId="4799"/>
    <cellStyle name="Normal 6 15 3 2" xfId="13024"/>
    <cellStyle name="Normal 6 15 3 2 2" xfId="29474"/>
    <cellStyle name="Normal 6 15 3 3" xfId="21249"/>
    <cellStyle name="Normal 6 15 3 4" xfId="37703"/>
    <cellStyle name="Normal 6 15 4" xfId="6444"/>
    <cellStyle name="Normal 6 15 4 2" xfId="14669"/>
    <cellStyle name="Normal 6 15 4 2 2" xfId="31119"/>
    <cellStyle name="Normal 6 15 4 3" xfId="22894"/>
    <cellStyle name="Normal 6 15 4 4" xfId="39348"/>
    <cellStyle name="Normal 6 15 5" xfId="8089"/>
    <cellStyle name="Normal 6 15 5 2" xfId="16314"/>
    <cellStyle name="Normal 6 15 5 2 2" xfId="32764"/>
    <cellStyle name="Normal 6 15 5 3" xfId="24539"/>
    <cellStyle name="Normal 6 15 5 4" xfId="40993"/>
    <cellStyle name="Normal 6 15 6" xfId="9734"/>
    <cellStyle name="Normal 6 15 6 2" xfId="26184"/>
    <cellStyle name="Normal 6 15 7" xfId="17958"/>
    <cellStyle name="Normal 6 15 8" xfId="34412"/>
    <cellStyle name="Normal 6 16" xfId="1739"/>
    <cellStyle name="Normal 6 16 2" xfId="9969"/>
    <cellStyle name="Normal 6 16 2 2" xfId="26419"/>
    <cellStyle name="Normal 6 16 3" xfId="18193"/>
    <cellStyle name="Normal 6 16 4" xfId="34647"/>
    <cellStyle name="Normal 6 17" xfId="3389"/>
    <cellStyle name="Normal 6 17 2" xfId="11614"/>
    <cellStyle name="Normal 6 17 2 2" xfId="28064"/>
    <cellStyle name="Normal 6 17 3" xfId="19839"/>
    <cellStyle name="Normal 6 17 4" xfId="36293"/>
    <cellStyle name="Normal 6 18" xfId="5034"/>
    <cellStyle name="Normal 6 18 2" xfId="13259"/>
    <cellStyle name="Normal 6 18 2 2" xfId="29709"/>
    <cellStyle name="Normal 6 18 3" xfId="21484"/>
    <cellStyle name="Normal 6 18 4" xfId="37938"/>
    <cellStyle name="Normal 6 19" xfId="6679"/>
    <cellStyle name="Normal 6 19 2" xfId="14904"/>
    <cellStyle name="Normal 6 19 2 2" xfId="31354"/>
    <cellStyle name="Normal 6 19 3" xfId="23129"/>
    <cellStyle name="Normal 6 19 4" xfId="39583"/>
    <cellStyle name="Normal 6 2" xfId="40"/>
    <cellStyle name="Normal 6 2 10" xfId="526"/>
    <cellStyle name="Normal 6 2 10 2" xfId="2221"/>
    <cellStyle name="Normal 6 2 10 2 2" xfId="10446"/>
    <cellStyle name="Normal 6 2 10 2 2 2" xfId="26896"/>
    <cellStyle name="Normal 6 2 10 2 3" xfId="18671"/>
    <cellStyle name="Normal 6 2 10 2 4" xfId="35125"/>
    <cellStyle name="Normal 6 2 10 3" xfId="3866"/>
    <cellStyle name="Normal 6 2 10 3 2" xfId="12091"/>
    <cellStyle name="Normal 6 2 10 3 2 2" xfId="28541"/>
    <cellStyle name="Normal 6 2 10 3 3" xfId="20316"/>
    <cellStyle name="Normal 6 2 10 3 4" xfId="36770"/>
    <cellStyle name="Normal 6 2 10 4" xfId="5511"/>
    <cellStyle name="Normal 6 2 10 4 2" xfId="13736"/>
    <cellStyle name="Normal 6 2 10 4 2 2" xfId="30186"/>
    <cellStyle name="Normal 6 2 10 4 3" xfId="21961"/>
    <cellStyle name="Normal 6 2 10 4 4" xfId="38415"/>
    <cellStyle name="Normal 6 2 10 5" xfId="7156"/>
    <cellStyle name="Normal 6 2 10 5 2" xfId="15381"/>
    <cellStyle name="Normal 6 2 10 5 2 2" xfId="31831"/>
    <cellStyle name="Normal 6 2 10 5 3" xfId="23606"/>
    <cellStyle name="Normal 6 2 10 5 4" xfId="40060"/>
    <cellStyle name="Normal 6 2 10 6" xfId="8801"/>
    <cellStyle name="Normal 6 2 10 6 2" xfId="25251"/>
    <cellStyle name="Normal 6 2 10 7" xfId="17025"/>
    <cellStyle name="Normal 6 2 10 8" xfId="33479"/>
    <cellStyle name="Normal 6 2 10 9" xfId="41706"/>
    <cellStyle name="Normal 6 2 11" xfId="761"/>
    <cellStyle name="Normal 6 2 11 2" xfId="2456"/>
    <cellStyle name="Normal 6 2 11 2 2" xfId="10681"/>
    <cellStyle name="Normal 6 2 11 2 2 2" xfId="27131"/>
    <cellStyle name="Normal 6 2 11 2 3" xfId="18906"/>
    <cellStyle name="Normal 6 2 11 2 4" xfId="35360"/>
    <cellStyle name="Normal 6 2 11 3" xfId="4101"/>
    <cellStyle name="Normal 6 2 11 3 2" xfId="12326"/>
    <cellStyle name="Normal 6 2 11 3 2 2" xfId="28776"/>
    <cellStyle name="Normal 6 2 11 3 3" xfId="20551"/>
    <cellStyle name="Normal 6 2 11 3 4" xfId="37005"/>
    <cellStyle name="Normal 6 2 11 4" xfId="5746"/>
    <cellStyle name="Normal 6 2 11 4 2" xfId="13971"/>
    <cellStyle name="Normal 6 2 11 4 2 2" xfId="30421"/>
    <cellStyle name="Normal 6 2 11 4 3" xfId="22196"/>
    <cellStyle name="Normal 6 2 11 4 4" xfId="38650"/>
    <cellStyle name="Normal 6 2 11 5" xfId="7391"/>
    <cellStyle name="Normal 6 2 11 5 2" xfId="15616"/>
    <cellStyle name="Normal 6 2 11 5 2 2" xfId="32066"/>
    <cellStyle name="Normal 6 2 11 5 3" xfId="23841"/>
    <cellStyle name="Normal 6 2 11 5 4" xfId="40295"/>
    <cellStyle name="Normal 6 2 11 6" xfId="9036"/>
    <cellStyle name="Normal 6 2 11 6 2" xfId="25486"/>
    <cellStyle name="Normal 6 2 11 7" xfId="17260"/>
    <cellStyle name="Normal 6 2 11 8" xfId="33714"/>
    <cellStyle name="Normal 6 2 11 9" xfId="41941"/>
    <cellStyle name="Normal 6 2 12" xfId="996"/>
    <cellStyle name="Normal 6 2 12 2" xfId="2691"/>
    <cellStyle name="Normal 6 2 12 2 2" xfId="10916"/>
    <cellStyle name="Normal 6 2 12 2 2 2" xfId="27366"/>
    <cellStyle name="Normal 6 2 12 2 3" xfId="19141"/>
    <cellStyle name="Normal 6 2 12 2 4" xfId="35595"/>
    <cellStyle name="Normal 6 2 12 3" xfId="4336"/>
    <cellStyle name="Normal 6 2 12 3 2" xfId="12561"/>
    <cellStyle name="Normal 6 2 12 3 2 2" xfId="29011"/>
    <cellStyle name="Normal 6 2 12 3 3" xfId="20786"/>
    <cellStyle name="Normal 6 2 12 3 4" xfId="37240"/>
    <cellStyle name="Normal 6 2 12 4" xfId="5981"/>
    <cellStyle name="Normal 6 2 12 4 2" xfId="14206"/>
    <cellStyle name="Normal 6 2 12 4 2 2" xfId="30656"/>
    <cellStyle name="Normal 6 2 12 4 3" xfId="22431"/>
    <cellStyle name="Normal 6 2 12 4 4" xfId="38885"/>
    <cellStyle name="Normal 6 2 12 5" xfId="7626"/>
    <cellStyle name="Normal 6 2 12 5 2" xfId="15851"/>
    <cellStyle name="Normal 6 2 12 5 2 2" xfId="32301"/>
    <cellStyle name="Normal 6 2 12 5 3" xfId="24076"/>
    <cellStyle name="Normal 6 2 12 5 4" xfId="40530"/>
    <cellStyle name="Normal 6 2 12 6" xfId="9271"/>
    <cellStyle name="Normal 6 2 12 6 2" xfId="25721"/>
    <cellStyle name="Normal 6 2 12 7" xfId="17495"/>
    <cellStyle name="Normal 6 2 12 8" xfId="33949"/>
    <cellStyle name="Normal 6 2 12 9" xfId="42176"/>
    <cellStyle name="Normal 6 2 13" xfId="1276"/>
    <cellStyle name="Normal 6 2 13 2" xfId="2926"/>
    <cellStyle name="Normal 6 2 13 2 2" xfId="11151"/>
    <cellStyle name="Normal 6 2 13 2 2 2" xfId="27601"/>
    <cellStyle name="Normal 6 2 13 2 3" xfId="19376"/>
    <cellStyle name="Normal 6 2 13 2 4" xfId="35830"/>
    <cellStyle name="Normal 6 2 13 3" xfId="4571"/>
    <cellStyle name="Normal 6 2 13 3 2" xfId="12796"/>
    <cellStyle name="Normal 6 2 13 3 2 2" xfId="29246"/>
    <cellStyle name="Normal 6 2 13 3 3" xfId="21021"/>
    <cellStyle name="Normal 6 2 13 3 4" xfId="37475"/>
    <cellStyle name="Normal 6 2 13 4" xfId="6216"/>
    <cellStyle name="Normal 6 2 13 4 2" xfId="14441"/>
    <cellStyle name="Normal 6 2 13 4 2 2" xfId="30891"/>
    <cellStyle name="Normal 6 2 13 4 3" xfId="22666"/>
    <cellStyle name="Normal 6 2 13 4 4" xfId="39120"/>
    <cellStyle name="Normal 6 2 13 5" xfId="7861"/>
    <cellStyle name="Normal 6 2 13 5 2" xfId="16086"/>
    <cellStyle name="Normal 6 2 13 5 2 2" xfId="32536"/>
    <cellStyle name="Normal 6 2 13 5 3" xfId="24311"/>
    <cellStyle name="Normal 6 2 13 5 4" xfId="40765"/>
    <cellStyle name="Normal 6 2 13 6" xfId="9506"/>
    <cellStyle name="Normal 6 2 13 6 2" xfId="25956"/>
    <cellStyle name="Normal 6 2 13 7" xfId="17730"/>
    <cellStyle name="Normal 6 2 13 8" xfId="34184"/>
    <cellStyle name="Normal 6 2 14" xfId="1511"/>
    <cellStyle name="Normal 6 2 14 2" xfId="3161"/>
    <cellStyle name="Normal 6 2 14 2 2" xfId="11386"/>
    <cellStyle name="Normal 6 2 14 2 2 2" xfId="27836"/>
    <cellStyle name="Normal 6 2 14 2 3" xfId="19611"/>
    <cellStyle name="Normal 6 2 14 2 4" xfId="36065"/>
    <cellStyle name="Normal 6 2 14 3" xfId="4806"/>
    <cellStyle name="Normal 6 2 14 3 2" xfId="13031"/>
    <cellStyle name="Normal 6 2 14 3 2 2" xfId="29481"/>
    <cellStyle name="Normal 6 2 14 3 3" xfId="21256"/>
    <cellStyle name="Normal 6 2 14 3 4" xfId="37710"/>
    <cellStyle name="Normal 6 2 14 4" xfId="6451"/>
    <cellStyle name="Normal 6 2 14 4 2" xfId="14676"/>
    <cellStyle name="Normal 6 2 14 4 2 2" xfId="31126"/>
    <cellStyle name="Normal 6 2 14 4 3" xfId="22901"/>
    <cellStyle name="Normal 6 2 14 4 4" xfId="39355"/>
    <cellStyle name="Normal 6 2 14 5" xfId="8096"/>
    <cellStyle name="Normal 6 2 14 5 2" xfId="16321"/>
    <cellStyle name="Normal 6 2 14 5 2 2" xfId="32771"/>
    <cellStyle name="Normal 6 2 14 5 3" xfId="24546"/>
    <cellStyle name="Normal 6 2 14 5 4" xfId="41000"/>
    <cellStyle name="Normal 6 2 14 6" xfId="9741"/>
    <cellStyle name="Normal 6 2 14 6 2" xfId="26191"/>
    <cellStyle name="Normal 6 2 14 7" xfId="17965"/>
    <cellStyle name="Normal 6 2 14 8" xfId="34419"/>
    <cellStyle name="Normal 6 2 15" xfId="1746"/>
    <cellStyle name="Normal 6 2 15 2" xfId="9976"/>
    <cellStyle name="Normal 6 2 15 2 2" xfId="26426"/>
    <cellStyle name="Normal 6 2 15 3" xfId="18200"/>
    <cellStyle name="Normal 6 2 15 4" xfId="34654"/>
    <cellStyle name="Normal 6 2 16" xfId="3396"/>
    <cellStyle name="Normal 6 2 16 2" xfId="11621"/>
    <cellStyle name="Normal 6 2 16 2 2" xfId="28071"/>
    <cellStyle name="Normal 6 2 16 3" xfId="19846"/>
    <cellStyle name="Normal 6 2 16 4" xfId="36300"/>
    <cellStyle name="Normal 6 2 17" xfId="5041"/>
    <cellStyle name="Normal 6 2 17 2" xfId="13266"/>
    <cellStyle name="Normal 6 2 17 2 2" xfId="29716"/>
    <cellStyle name="Normal 6 2 17 3" xfId="21491"/>
    <cellStyle name="Normal 6 2 17 4" xfId="37945"/>
    <cellStyle name="Normal 6 2 18" xfId="6686"/>
    <cellStyle name="Normal 6 2 18 2" xfId="14911"/>
    <cellStyle name="Normal 6 2 18 2 2" xfId="31361"/>
    <cellStyle name="Normal 6 2 18 3" xfId="23136"/>
    <cellStyle name="Normal 6 2 18 4" xfId="39590"/>
    <cellStyle name="Normal 6 2 19" xfId="8331"/>
    <cellStyle name="Normal 6 2 19 2" xfId="24781"/>
    <cellStyle name="Normal 6 2 2" xfId="67"/>
    <cellStyle name="Normal 6 2 2 10" xfId="3421"/>
    <cellStyle name="Normal 6 2 2 10 2" xfId="11646"/>
    <cellStyle name="Normal 6 2 2 10 2 2" xfId="28096"/>
    <cellStyle name="Normal 6 2 2 10 3" xfId="19871"/>
    <cellStyle name="Normal 6 2 2 10 4" xfId="36325"/>
    <cellStyle name="Normal 6 2 2 11" xfId="5066"/>
    <cellStyle name="Normal 6 2 2 11 2" xfId="13291"/>
    <cellStyle name="Normal 6 2 2 11 2 2" xfId="29741"/>
    <cellStyle name="Normal 6 2 2 11 3" xfId="21516"/>
    <cellStyle name="Normal 6 2 2 11 4" xfId="37970"/>
    <cellStyle name="Normal 6 2 2 12" xfId="6711"/>
    <cellStyle name="Normal 6 2 2 12 2" xfId="14936"/>
    <cellStyle name="Normal 6 2 2 12 2 2" xfId="31386"/>
    <cellStyle name="Normal 6 2 2 12 3" xfId="23161"/>
    <cellStyle name="Normal 6 2 2 12 4" xfId="39615"/>
    <cellStyle name="Normal 6 2 2 13" xfId="8356"/>
    <cellStyle name="Normal 6 2 2 13 2" xfId="24806"/>
    <cellStyle name="Normal 6 2 2 14" xfId="16580"/>
    <cellStyle name="Normal 6 2 2 15" xfId="33033"/>
    <cellStyle name="Normal 6 2 2 16" xfId="41261"/>
    <cellStyle name="Normal 6 2 2 2" xfId="117"/>
    <cellStyle name="Normal 6 2 2 2 10" xfId="5116"/>
    <cellStyle name="Normal 6 2 2 2 10 2" xfId="13341"/>
    <cellStyle name="Normal 6 2 2 2 10 2 2" xfId="29791"/>
    <cellStyle name="Normal 6 2 2 2 10 3" xfId="21566"/>
    <cellStyle name="Normal 6 2 2 2 10 4" xfId="38020"/>
    <cellStyle name="Normal 6 2 2 2 11" xfId="6761"/>
    <cellStyle name="Normal 6 2 2 2 11 2" xfId="14986"/>
    <cellStyle name="Normal 6 2 2 2 11 2 2" xfId="31436"/>
    <cellStyle name="Normal 6 2 2 2 11 3" xfId="23211"/>
    <cellStyle name="Normal 6 2 2 2 11 4" xfId="39665"/>
    <cellStyle name="Normal 6 2 2 2 12" xfId="8406"/>
    <cellStyle name="Normal 6 2 2 2 12 2" xfId="24856"/>
    <cellStyle name="Normal 6 2 2 2 13" xfId="16630"/>
    <cellStyle name="Normal 6 2 2 2 14" xfId="33083"/>
    <cellStyle name="Normal 6 2 2 2 15" xfId="41311"/>
    <cellStyle name="Normal 6 2 2 2 2" xfId="360"/>
    <cellStyle name="Normal 6 2 2 2 2 2" xfId="2059"/>
    <cellStyle name="Normal 6 2 2 2 2 2 2" xfId="10286"/>
    <cellStyle name="Normal 6 2 2 2 2 2 2 2" xfId="26736"/>
    <cellStyle name="Normal 6 2 2 2 2 2 3" xfId="18511"/>
    <cellStyle name="Normal 6 2 2 2 2 2 4" xfId="34965"/>
    <cellStyle name="Normal 6 2 2 2 2 3" xfId="3706"/>
    <cellStyle name="Normal 6 2 2 2 2 3 2" xfId="11931"/>
    <cellStyle name="Normal 6 2 2 2 2 3 2 2" xfId="28381"/>
    <cellStyle name="Normal 6 2 2 2 2 3 3" xfId="20156"/>
    <cellStyle name="Normal 6 2 2 2 2 3 4" xfId="36610"/>
    <cellStyle name="Normal 6 2 2 2 2 4" xfId="5351"/>
    <cellStyle name="Normal 6 2 2 2 2 4 2" xfId="13576"/>
    <cellStyle name="Normal 6 2 2 2 2 4 2 2" xfId="30026"/>
    <cellStyle name="Normal 6 2 2 2 2 4 3" xfId="21801"/>
    <cellStyle name="Normal 6 2 2 2 2 4 4" xfId="38255"/>
    <cellStyle name="Normal 6 2 2 2 2 5" xfId="6996"/>
    <cellStyle name="Normal 6 2 2 2 2 5 2" xfId="15221"/>
    <cellStyle name="Normal 6 2 2 2 2 5 2 2" xfId="31671"/>
    <cellStyle name="Normal 6 2 2 2 2 5 3" xfId="23446"/>
    <cellStyle name="Normal 6 2 2 2 2 5 4" xfId="39900"/>
    <cellStyle name="Normal 6 2 2 2 2 6" xfId="8641"/>
    <cellStyle name="Normal 6 2 2 2 2 6 2" xfId="25091"/>
    <cellStyle name="Normal 6 2 2 2 2 7" xfId="16865"/>
    <cellStyle name="Normal 6 2 2 2 2 8" xfId="33319"/>
    <cellStyle name="Normal 6 2 2 2 2 9" xfId="41546"/>
    <cellStyle name="Normal 6 2 2 2 3" xfId="601"/>
    <cellStyle name="Normal 6 2 2 2 3 2" xfId="2296"/>
    <cellStyle name="Normal 6 2 2 2 3 2 2" xfId="10521"/>
    <cellStyle name="Normal 6 2 2 2 3 2 2 2" xfId="26971"/>
    <cellStyle name="Normal 6 2 2 2 3 2 3" xfId="18746"/>
    <cellStyle name="Normal 6 2 2 2 3 2 4" xfId="35200"/>
    <cellStyle name="Normal 6 2 2 2 3 3" xfId="3941"/>
    <cellStyle name="Normal 6 2 2 2 3 3 2" xfId="12166"/>
    <cellStyle name="Normal 6 2 2 2 3 3 2 2" xfId="28616"/>
    <cellStyle name="Normal 6 2 2 2 3 3 3" xfId="20391"/>
    <cellStyle name="Normal 6 2 2 2 3 3 4" xfId="36845"/>
    <cellStyle name="Normal 6 2 2 2 3 4" xfId="5586"/>
    <cellStyle name="Normal 6 2 2 2 3 4 2" xfId="13811"/>
    <cellStyle name="Normal 6 2 2 2 3 4 2 2" xfId="30261"/>
    <cellStyle name="Normal 6 2 2 2 3 4 3" xfId="22036"/>
    <cellStyle name="Normal 6 2 2 2 3 4 4" xfId="38490"/>
    <cellStyle name="Normal 6 2 2 2 3 5" xfId="7231"/>
    <cellStyle name="Normal 6 2 2 2 3 5 2" xfId="15456"/>
    <cellStyle name="Normal 6 2 2 2 3 5 2 2" xfId="31906"/>
    <cellStyle name="Normal 6 2 2 2 3 5 3" xfId="23681"/>
    <cellStyle name="Normal 6 2 2 2 3 5 4" xfId="40135"/>
    <cellStyle name="Normal 6 2 2 2 3 6" xfId="8876"/>
    <cellStyle name="Normal 6 2 2 2 3 6 2" xfId="25326"/>
    <cellStyle name="Normal 6 2 2 2 3 7" xfId="17100"/>
    <cellStyle name="Normal 6 2 2 2 3 8" xfId="33554"/>
    <cellStyle name="Normal 6 2 2 2 3 9" xfId="41781"/>
    <cellStyle name="Normal 6 2 2 2 4" xfId="836"/>
    <cellStyle name="Normal 6 2 2 2 4 2" xfId="2531"/>
    <cellStyle name="Normal 6 2 2 2 4 2 2" xfId="10756"/>
    <cellStyle name="Normal 6 2 2 2 4 2 2 2" xfId="27206"/>
    <cellStyle name="Normal 6 2 2 2 4 2 3" xfId="18981"/>
    <cellStyle name="Normal 6 2 2 2 4 2 4" xfId="35435"/>
    <cellStyle name="Normal 6 2 2 2 4 3" xfId="4176"/>
    <cellStyle name="Normal 6 2 2 2 4 3 2" xfId="12401"/>
    <cellStyle name="Normal 6 2 2 2 4 3 2 2" xfId="28851"/>
    <cellStyle name="Normal 6 2 2 2 4 3 3" xfId="20626"/>
    <cellStyle name="Normal 6 2 2 2 4 3 4" xfId="37080"/>
    <cellStyle name="Normal 6 2 2 2 4 4" xfId="5821"/>
    <cellStyle name="Normal 6 2 2 2 4 4 2" xfId="14046"/>
    <cellStyle name="Normal 6 2 2 2 4 4 2 2" xfId="30496"/>
    <cellStyle name="Normal 6 2 2 2 4 4 3" xfId="22271"/>
    <cellStyle name="Normal 6 2 2 2 4 4 4" xfId="38725"/>
    <cellStyle name="Normal 6 2 2 2 4 5" xfId="7466"/>
    <cellStyle name="Normal 6 2 2 2 4 5 2" xfId="15691"/>
    <cellStyle name="Normal 6 2 2 2 4 5 2 2" xfId="32141"/>
    <cellStyle name="Normal 6 2 2 2 4 5 3" xfId="23916"/>
    <cellStyle name="Normal 6 2 2 2 4 5 4" xfId="40370"/>
    <cellStyle name="Normal 6 2 2 2 4 6" xfId="9111"/>
    <cellStyle name="Normal 6 2 2 2 4 6 2" xfId="25561"/>
    <cellStyle name="Normal 6 2 2 2 4 7" xfId="17335"/>
    <cellStyle name="Normal 6 2 2 2 4 8" xfId="33789"/>
    <cellStyle name="Normal 6 2 2 2 4 9" xfId="42016"/>
    <cellStyle name="Normal 6 2 2 2 5" xfId="1071"/>
    <cellStyle name="Normal 6 2 2 2 5 2" xfId="2766"/>
    <cellStyle name="Normal 6 2 2 2 5 2 2" xfId="10991"/>
    <cellStyle name="Normal 6 2 2 2 5 2 2 2" xfId="27441"/>
    <cellStyle name="Normal 6 2 2 2 5 2 3" xfId="19216"/>
    <cellStyle name="Normal 6 2 2 2 5 2 4" xfId="35670"/>
    <cellStyle name="Normal 6 2 2 2 5 3" xfId="4411"/>
    <cellStyle name="Normal 6 2 2 2 5 3 2" xfId="12636"/>
    <cellStyle name="Normal 6 2 2 2 5 3 2 2" xfId="29086"/>
    <cellStyle name="Normal 6 2 2 2 5 3 3" xfId="20861"/>
    <cellStyle name="Normal 6 2 2 2 5 3 4" xfId="37315"/>
    <cellStyle name="Normal 6 2 2 2 5 4" xfId="6056"/>
    <cellStyle name="Normal 6 2 2 2 5 4 2" xfId="14281"/>
    <cellStyle name="Normal 6 2 2 2 5 4 2 2" xfId="30731"/>
    <cellStyle name="Normal 6 2 2 2 5 4 3" xfId="22506"/>
    <cellStyle name="Normal 6 2 2 2 5 4 4" xfId="38960"/>
    <cellStyle name="Normal 6 2 2 2 5 5" xfId="7701"/>
    <cellStyle name="Normal 6 2 2 2 5 5 2" xfId="15926"/>
    <cellStyle name="Normal 6 2 2 2 5 5 2 2" xfId="32376"/>
    <cellStyle name="Normal 6 2 2 2 5 5 3" xfId="24151"/>
    <cellStyle name="Normal 6 2 2 2 5 5 4" xfId="40605"/>
    <cellStyle name="Normal 6 2 2 2 5 6" xfId="9346"/>
    <cellStyle name="Normal 6 2 2 2 5 6 2" xfId="25796"/>
    <cellStyle name="Normal 6 2 2 2 5 7" xfId="17570"/>
    <cellStyle name="Normal 6 2 2 2 5 8" xfId="34024"/>
    <cellStyle name="Normal 6 2 2 2 5 9" xfId="42251"/>
    <cellStyle name="Normal 6 2 2 2 6" xfId="1351"/>
    <cellStyle name="Normal 6 2 2 2 6 2" xfId="3001"/>
    <cellStyle name="Normal 6 2 2 2 6 2 2" xfId="11226"/>
    <cellStyle name="Normal 6 2 2 2 6 2 2 2" xfId="27676"/>
    <cellStyle name="Normal 6 2 2 2 6 2 3" xfId="19451"/>
    <cellStyle name="Normal 6 2 2 2 6 2 4" xfId="35905"/>
    <cellStyle name="Normal 6 2 2 2 6 3" xfId="4646"/>
    <cellStyle name="Normal 6 2 2 2 6 3 2" xfId="12871"/>
    <cellStyle name="Normal 6 2 2 2 6 3 2 2" xfId="29321"/>
    <cellStyle name="Normal 6 2 2 2 6 3 3" xfId="21096"/>
    <cellStyle name="Normal 6 2 2 2 6 3 4" xfId="37550"/>
    <cellStyle name="Normal 6 2 2 2 6 4" xfId="6291"/>
    <cellStyle name="Normal 6 2 2 2 6 4 2" xfId="14516"/>
    <cellStyle name="Normal 6 2 2 2 6 4 2 2" xfId="30966"/>
    <cellStyle name="Normal 6 2 2 2 6 4 3" xfId="22741"/>
    <cellStyle name="Normal 6 2 2 2 6 4 4" xfId="39195"/>
    <cellStyle name="Normal 6 2 2 2 6 5" xfId="7936"/>
    <cellStyle name="Normal 6 2 2 2 6 5 2" xfId="16161"/>
    <cellStyle name="Normal 6 2 2 2 6 5 2 2" xfId="32611"/>
    <cellStyle name="Normal 6 2 2 2 6 5 3" xfId="24386"/>
    <cellStyle name="Normal 6 2 2 2 6 5 4" xfId="40840"/>
    <cellStyle name="Normal 6 2 2 2 6 6" xfId="9581"/>
    <cellStyle name="Normal 6 2 2 2 6 6 2" xfId="26031"/>
    <cellStyle name="Normal 6 2 2 2 6 7" xfId="17805"/>
    <cellStyle name="Normal 6 2 2 2 6 8" xfId="34259"/>
    <cellStyle name="Normal 6 2 2 2 7" xfId="1586"/>
    <cellStyle name="Normal 6 2 2 2 7 2" xfId="3236"/>
    <cellStyle name="Normal 6 2 2 2 7 2 2" xfId="11461"/>
    <cellStyle name="Normal 6 2 2 2 7 2 2 2" xfId="27911"/>
    <cellStyle name="Normal 6 2 2 2 7 2 3" xfId="19686"/>
    <cellStyle name="Normal 6 2 2 2 7 2 4" xfId="36140"/>
    <cellStyle name="Normal 6 2 2 2 7 3" xfId="4881"/>
    <cellStyle name="Normal 6 2 2 2 7 3 2" xfId="13106"/>
    <cellStyle name="Normal 6 2 2 2 7 3 2 2" xfId="29556"/>
    <cellStyle name="Normal 6 2 2 2 7 3 3" xfId="21331"/>
    <cellStyle name="Normal 6 2 2 2 7 3 4" xfId="37785"/>
    <cellStyle name="Normal 6 2 2 2 7 4" xfId="6526"/>
    <cellStyle name="Normal 6 2 2 2 7 4 2" xfId="14751"/>
    <cellStyle name="Normal 6 2 2 2 7 4 2 2" xfId="31201"/>
    <cellStyle name="Normal 6 2 2 2 7 4 3" xfId="22976"/>
    <cellStyle name="Normal 6 2 2 2 7 4 4" xfId="39430"/>
    <cellStyle name="Normal 6 2 2 2 7 5" xfId="8171"/>
    <cellStyle name="Normal 6 2 2 2 7 5 2" xfId="16396"/>
    <cellStyle name="Normal 6 2 2 2 7 5 2 2" xfId="32846"/>
    <cellStyle name="Normal 6 2 2 2 7 5 3" xfId="24621"/>
    <cellStyle name="Normal 6 2 2 2 7 5 4" xfId="41075"/>
    <cellStyle name="Normal 6 2 2 2 7 6" xfId="9816"/>
    <cellStyle name="Normal 6 2 2 2 7 6 2" xfId="26266"/>
    <cellStyle name="Normal 6 2 2 2 7 7" xfId="18040"/>
    <cellStyle name="Normal 6 2 2 2 7 8" xfId="34494"/>
    <cellStyle name="Normal 6 2 2 2 8" xfId="1821"/>
    <cellStyle name="Normal 6 2 2 2 8 2" xfId="10051"/>
    <cellStyle name="Normal 6 2 2 2 8 2 2" xfId="26501"/>
    <cellStyle name="Normal 6 2 2 2 8 3" xfId="18275"/>
    <cellStyle name="Normal 6 2 2 2 8 4" xfId="34729"/>
    <cellStyle name="Normal 6 2 2 2 9" xfId="3471"/>
    <cellStyle name="Normal 6 2 2 2 9 2" xfId="11696"/>
    <cellStyle name="Normal 6 2 2 2 9 2 2" xfId="28146"/>
    <cellStyle name="Normal 6 2 2 2 9 3" xfId="19921"/>
    <cellStyle name="Normal 6 2 2 2 9 4" xfId="36375"/>
    <cellStyle name="Normal 6 2 2 3" xfId="310"/>
    <cellStyle name="Normal 6 2 2 3 2" xfId="2009"/>
    <cellStyle name="Normal 6 2 2 3 2 2" xfId="10236"/>
    <cellStyle name="Normal 6 2 2 3 2 2 2" xfId="26686"/>
    <cellStyle name="Normal 6 2 2 3 2 3" xfId="18461"/>
    <cellStyle name="Normal 6 2 2 3 2 4" xfId="34915"/>
    <cellStyle name="Normal 6 2 2 3 3" xfId="3656"/>
    <cellStyle name="Normal 6 2 2 3 3 2" xfId="11881"/>
    <cellStyle name="Normal 6 2 2 3 3 2 2" xfId="28331"/>
    <cellStyle name="Normal 6 2 2 3 3 3" xfId="20106"/>
    <cellStyle name="Normal 6 2 2 3 3 4" xfId="36560"/>
    <cellStyle name="Normal 6 2 2 3 4" xfId="5301"/>
    <cellStyle name="Normal 6 2 2 3 4 2" xfId="13526"/>
    <cellStyle name="Normal 6 2 2 3 4 2 2" xfId="29976"/>
    <cellStyle name="Normal 6 2 2 3 4 3" xfId="21751"/>
    <cellStyle name="Normal 6 2 2 3 4 4" xfId="38205"/>
    <cellStyle name="Normal 6 2 2 3 5" xfId="6946"/>
    <cellStyle name="Normal 6 2 2 3 5 2" xfId="15171"/>
    <cellStyle name="Normal 6 2 2 3 5 2 2" xfId="31621"/>
    <cellStyle name="Normal 6 2 2 3 5 3" xfId="23396"/>
    <cellStyle name="Normal 6 2 2 3 5 4" xfId="39850"/>
    <cellStyle name="Normal 6 2 2 3 6" xfId="8591"/>
    <cellStyle name="Normal 6 2 2 3 6 2" xfId="25041"/>
    <cellStyle name="Normal 6 2 2 3 7" xfId="16815"/>
    <cellStyle name="Normal 6 2 2 3 8" xfId="33269"/>
    <cellStyle name="Normal 6 2 2 3 9" xfId="41496"/>
    <cellStyle name="Normal 6 2 2 4" xfId="551"/>
    <cellStyle name="Normal 6 2 2 4 2" xfId="2246"/>
    <cellStyle name="Normal 6 2 2 4 2 2" xfId="10471"/>
    <cellStyle name="Normal 6 2 2 4 2 2 2" xfId="26921"/>
    <cellStyle name="Normal 6 2 2 4 2 3" xfId="18696"/>
    <cellStyle name="Normal 6 2 2 4 2 4" xfId="35150"/>
    <cellStyle name="Normal 6 2 2 4 3" xfId="3891"/>
    <cellStyle name="Normal 6 2 2 4 3 2" xfId="12116"/>
    <cellStyle name="Normal 6 2 2 4 3 2 2" xfId="28566"/>
    <cellStyle name="Normal 6 2 2 4 3 3" xfId="20341"/>
    <cellStyle name="Normal 6 2 2 4 3 4" xfId="36795"/>
    <cellStyle name="Normal 6 2 2 4 4" xfId="5536"/>
    <cellStyle name="Normal 6 2 2 4 4 2" xfId="13761"/>
    <cellStyle name="Normal 6 2 2 4 4 2 2" xfId="30211"/>
    <cellStyle name="Normal 6 2 2 4 4 3" xfId="21986"/>
    <cellStyle name="Normal 6 2 2 4 4 4" xfId="38440"/>
    <cellStyle name="Normal 6 2 2 4 5" xfId="7181"/>
    <cellStyle name="Normal 6 2 2 4 5 2" xfId="15406"/>
    <cellStyle name="Normal 6 2 2 4 5 2 2" xfId="31856"/>
    <cellStyle name="Normal 6 2 2 4 5 3" xfId="23631"/>
    <cellStyle name="Normal 6 2 2 4 5 4" xfId="40085"/>
    <cellStyle name="Normal 6 2 2 4 6" xfId="8826"/>
    <cellStyle name="Normal 6 2 2 4 6 2" xfId="25276"/>
    <cellStyle name="Normal 6 2 2 4 7" xfId="17050"/>
    <cellStyle name="Normal 6 2 2 4 8" xfId="33504"/>
    <cellStyle name="Normal 6 2 2 4 9" xfId="41731"/>
    <cellStyle name="Normal 6 2 2 5" xfId="786"/>
    <cellStyle name="Normal 6 2 2 5 2" xfId="2481"/>
    <cellStyle name="Normal 6 2 2 5 2 2" xfId="10706"/>
    <cellStyle name="Normal 6 2 2 5 2 2 2" xfId="27156"/>
    <cellStyle name="Normal 6 2 2 5 2 3" xfId="18931"/>
    <cellStyle name="Normal 6 2 2 5 2 4" xfId="35385"/>
    <cellStyle name="Normal 6 2 2 5 3" xfId="4126"/>
    <cellStyle name="Normal 6 2 2 5 3 2" xfId="12351"/>
    <cellStyle name="Normal 6 2 2 5 3 2 2" xfId="28801"/>
    <cellStyle name="Normal 6 2 2 5 3 3" xfId="20576"/>
    <cellStyle name="Normal 6 2 2 5 3 4" xfId="37030"/>
    <cellStyle name="Normal 6 2 2 5 4" xfId="5771"/>
    <cellStyle name="Normal 6 2 2 5 4 2" xfId="13996"/>
    <cellStyle name="Normal 6 2 2 5 4 2 2" xfId="30446"/>
    <cellStyle name="Normal 6 2 2 5 4 3" xfId="22221"/>
    <cellStyle name="Normal 6 2 2 5 4 4" xfId="38675"/>
    <cellStyle name="Normal 6 2 2 5 5" xfId="7416"/>
    <cellStyle name="Normal 6 2 2 5 5 2" xfId="15641"/>
    <cellStyle name="Normal 6 2 2 5 5 2 2" xfId="32091"/>
    <cellStyle name="Normal 6 2 2 5 5 3" xfId="23866"/>
    <cellStyle name="Normal 6 2 2 5 5 4" xfId="40320"/>
    <cellStyle name="Normal 6 2 2 5 6" xfId="9061"/>
    <cellStyle name="Normal 6 2 2 5 6 2" xfId="25511"/>
    <cellStyle name="Normal 6 2 2 5 7" xfId="17285"/>
    <cellStyle name="Normal 6 2 2 5 8" xfId="33739"/>
    <cellStyle name="Normal 6 2 2 5 9" xfId="41966"/>
    <cellStyle name="Normal 6 2 2 6" xfId="1021"/>
    <cellStyle name="Normal 6 2 2 6 2" xfId="2716"/>
    <cellStyle name="Normal 6 2 2 6 2 2" xfId="10941"/>
    <cellStyle name="Normal 6 2 2 6 2 2 2" xfId="27391"/>
    <cellStyle name="Normal 6 2 2 6 2 3" xfId="19166"/>
    <cellStyle name="Normal 6 2 2 6 2 4" xfId="35620"/>
    <cellStyle name="Normal 6 2 2 6 3" xfId="4361"/>
    <cellStyle name="Normal 6 2 2 6 3 2" xfId="12586"/>
    <cellStyle name="Normal 6 2 2 6 3 2 2" xfId="29036"/>
    <cellStyle name="Normal 6 2 2 6 3 3" xfId="20811"/>
    <cellStyle name="Normal 6 2 2 6 3 4" xfId="37265"/>
    <cellStyle name="Normal 6 2 2 6 4" xfId="6006"/>
    <cellStyle name="Normal 6 2 2 6 4 2" xfId="14231"/>
    <cellStyle name="Normal 6 2 2 6 4 2 2" xfId="30681"/>
    <cellStyle name="Normal 6 2 2 6 4 3" xfId="22456"/>
    <cellStyle name="Normal 6 2 2 6 4 4" xfId="38910"/>
    <cellStyle name="Normal 6 2 2 6 5" xfId="7651"/>
    <cellStyle name="Normal 6 2 2 6 5 2" xfId="15876"/>
    <cellStyle name="Normal 6 2 2 6 5 2 2" xfId="32326"/>
    <cellStyle name="Normal 6 2 2 6 5 3" xfId="24101"/>
    <cellStyle name="Normal 6 2 2 6 5 4" xfId="40555"/>
    <cellStyle name="Normal 6 2 2 6 6" xfId="9296"/>
    <cellStyle name="Normal 6 2 2 6 6 2" xfId="25746"/>
    <cellStyle name="Normal 6 2 2 6 7" xfId="17520"/>
    <cellStyle name="Normal 6 2 2 6 8" xfId="33974"/>
    <cellStyle name="Normal 6 2 2 6 9" xfId="42201"/>
    <cellStyle name="Normal 6 2 2 7" xfId="1301"/>
    <cellStyle name="Normal 6 2 2 7 2" xfId="2951"/>
    <cellStyle name="Normal 6 2 2 7 2 2" xfId="11176"/>
    <cellStyle name="Normal 6 2 2 7 2 2 2" xfId="27626"/>
    <cellStyle name="Normal 6 2 2 7 2 3" xfId="19401"/>
    <cellStyle name="Normal 6 2 2 7 2 4" xfId="35855"/>
    <cellStyle name="Normal 6 2 2 7 3" xfId="4596"/>
    <cellStyle name="Normal 6 2 2 7 3 2" xfId="12821"/>
    <cellStyle name="Normal 6 2 2 7 3 2 2" xfId="29271"/>
    <cellStyle name="Normal 6 2 2 7 3 3" xfId="21046"/>
    <cellStyle name="Normal 6 2 2 7 3 4" xfId="37500"/>
    <cellStyle name="Normal 6 2 2 7 4" xfId="6241"/>
    <cellStyle name="Normal 6 2 2 7 4 2" xfId="14466"/>
    <cellStyle name="Normal 6 2 2 7 4 2 2" xfId="30916"/>
    <cellStyle name="Normal 6 2 2 7 4 3" xfId="22691"/>
    <cellStyle name="Normal 6 2 2 7 4 4" xfId="39145"/>
    <cellStyle name="Normal 6 2 2 7 5" xfId="7886"/>
    <cellStyle name="Normal 6 2 2 7 5 2" xfId="16111"/>
    <cellStyle name="Normal 6 2 2 7 5 2 2" xfId="32561"/>
    <cellStyle name="Normal 6 2 2 7 5 3" xfId="24336"/>
    <cellStyle name="Normal 6 2 2 7 5 4" xfId="40790"/>
    <cellStyle name="Normal 6 2 2 7 6" xfId="9531"/>
    <cellStyle name="Normal 6 2 2 7 6 2" xfId="25981"/>
    <cellStyle name="Normal 6 2 2 7 7" xfId="17755"/>
    <cellStyle name="Normal 6 2 2 7 8" xfId="34209"/>
    <cellStyle name="Normal 6 2 2 8" xfId="1536"/>
    <cellStyle name="Normal 6 2 2 8 2" xfId="3186"/>
    <cellStyle name="Normal 6 2 2 8 2 2" xfId="11411"/>
    <cellStyle name="Normal 6 2 2 8 2 2 2" xfId="27861"/>
    <cellStyle name="Normal 6 2 2 8 2 3" xfId="19636"/>
    <cellStyle name="Normal 6 2 2 8 2 4" xfId="36090"/>
    <cellStyle name="Normal 6 2 2 8 3" xfId="4831"/>
    <cellStyle name="Normal 6 2 2 8 3 2" xfId="13056"/>
    <cellStyle name="Normal 6 2 2 8 3 2 2" xfId="29506"/>
    <cellStyle name="Normal 6 2 2 8 3 3" xfId="21281"/>
    <cellStyle name="Normal 6 2 2 8 3 4" xfId="37735"/>
    <cellStyle name="Normal 6 2 2 8 4" xfId="6476"/>
    <cellStyle name="Normal 6 2 2 8 4 2" xfId="14701"/>
    <cellStyle name="Normal 6 2 2 8 4 2 2" xfId="31151"/>
    <cellStyle name="Normal 6 2 2 8 4 3" xfId="22926"/>
    <cellStyle name="Normal 6 2 2 8 4 4" xfId="39380"/>
    <cellStyle name="Normal 6 2 2 8 5" xfId="8121"/>
    <cellStyle name="Normal 6 2 2 8 5 2" xfId="16346"/>
    <cellStyle name="Normal 6 2 2 8 5 2 2" xfId="32796"/>
    <cellStyle name="Normal 6 2 2 8 5 3" xfId="24571"/>
    <cellStyle name="Normal 6 2 2 8 5 4" xfId="41025"/>
    <cellStyle name="Normal 6 2 2 8 6" xfId="9766"/>
    <cellStyle name="Normal 6 2 2 8 6 2" xfId="26216"/>
    <cellStyle name="Normal 6 2 2 8 7" xfId="17990"/>
    <cellStyle name="Normal 6 2 2 8 8" xfId="34444"/>
    <cellStyle name="Normal 6 2 2 9" xfId="1771"/>
    <cellStyle name="Normal 6 2 2 9 2" xfId="10001"/>
    <cellStyle name="Normal 6 2 2 9 2 2" xfId="26451"/>
    <cellStyle name="Normal 6 2 2 9 3" xfId="18225"/>
    <cellStyle name="Normal 6 2 2 9 4" xfId="34679"/>
    <cellStyle name="Normal 6 2 20" xfId="16555"/>
    <cellStyle name="Normal 6 2 21" xfId="33008"/>
    <cellStyle name="Normal 6 2 22" xfId="41236"/>
    <cellStyle name="Normal 6 2 3" xfId="92"/>
    <cellStyle name="Normal 6 2 3 10" xfId="5091"/>
    <cellStyle name="Normal 6 2 3 10 2" xfId="13316"/>
    <cellStyle name="Normal 6 2 3 10 2 2" xfId="29766"/>
    <cellStyle name="Normal 6 2 3 10 3" xfId="21541"/>
    <cellStyle name="Normal 6 2 3 10 4" xfId="37995"/>
    <cellStyle name="Normal 6 2 3 11" xfId="6736"/>
    <cellStyle name="Normal 6 2 3 11 2" xfId="14961"/>
    <cellStyle name="Normal 6 2 3 11 2 2" xfId="31411"/>
    <cellStyle name="Normal 6 2 3 11 3" xfId="23186"/>
    <cellStyle name="Normal 6 2 3 11 4" xfId="39640"/>
    <cellStyle name="Normal 6 2 3 12" xfId="8381"/>
    <cellStyle name="Normal 6 2 3 12 2" xfId="24831"/>
    <cellStyle name="Normal 6 2 3 13" xfId="16605"/>
    <cellStyle name="Normal 6 2 3 14" xfId="33058"/>
    <cellStyle name="Normal 6 2 3 15" xfId="41286"/>
    <cellStyle name="Normal 6 2 3 2" xfId="335"/>
    <cellStyle name="Normal 6 2 3 2 2" xfId="2034"/>
    <cellStyle name="Normal 6 2 3 2 2 2" xfId="10261"/>
    <cellStyle name="Normal 6 2 3 2 2 2 2" xfId="26711"/>
    <cellStyle name="Normal 6 2 3 2 2 3" xfId="18486"/>
    <cellStyle name="Normal 6 2 3 2 2 4" xfId="34940"/>
    <cellStyle name="Normal 6 2 3 2 3" xfId="3681"/>
    <cellStyle name="Normal 6 2 3 2 3 2" xfId="11906"/>
    <cellStyle name="Normal 6 2 3 2 3 2 2" xfId="28356"/>
    <cellStyle name="Normal 6 2 3 2 3 3" xfId="20131"/>
    <cellStyle name="Normal 6 2 3 2 3 4" xfId="36585"/>
    <cellStyle name="Normal 6 2 3 2 4" xfId="5326"/>
    <cellStyle name="Normal 6 2 3 2 4 2" xfId="13551"/>
    <cellStyle name="Normal 6 2 3 2 4 2 2" xfId="30001"/>
    <cellStyle name="Normal 6 2 3 2 4 3" xfId="21776"/>
    <cellStyle name="Normal 6 2 3 2 4 4" xfId="38230"/>
    <cellStyle name="Normal 6 2 3 2 5" xfId="6971"/>
    <cellStyle name="Normal 6 2 3 2 5 2" xfId="15196"/>
    <cellStyle name="Normal 6 2 3 2 5 2 2" xfId="31646"/>
    <cellStyle name="Normal 6 2 3 2 5 3" xfId="23421"/>
    <cellStyle name="Normal 6 2 3 2 5 4" xfId="39875"/>
    <cellStyle name="Normal 6 2 3 2 6" xfId="8616"/>
    <cellStyle name="Normal 6 2 3 2 6 2" xfId="25066"/>
    <cellStyle name="Normal 6 2 3 2 7" xfId="16840"/>
    <cellStyle name="Normal 6 2 3 2 8" xfId="33294"/>
    <cellStyle name="Normal 6 2 3 2 9" xfId="41521"/>
    <cellStyle name="Normal 6 2 3 3" xfId="576"/>
    <cellStyle name="Normal 6 2 3 3 2" xfId="2271"/>
    <cellStyle name="Normal 6 2 3 3 2 2" xfId="10496"/>
    <cellStyle name="Normal 6 2 3 3 2 2 2" xfId="26946"/>
    <cellStyle name="Normal 6 2 3 3 2 3" xfId="18721"/>
    <cellStyle name="Normal 6 2 3 3 2 4" xfId="35175"/>
    <cellStyle name="Normal 6 2 3 3 3" xfId="3916"/>
    <cellStyle name="Normal 6 2 3 3 3 2" xfId="12141"/>
    <cellStyle name="Normal 6 2 3 3 3 2 2" xfId="28591"/>
    <cellStyle name="Normal 6 2 3 3 3 3" xfId="20366"/>
    <cellStyle name="Normal 6 2 3 3 3 4" xfId="36820"/>
    <cellStyle name="Normal 6 2 3 3 4" xfId="5561"/>
    <cellStyle name="Normal 6 2 3 3 4 2" xfId="13786"/>
    <cellStyle name="Normal 6 2 3 3 4 2 2" xfId="30236"/>
    <cellStyle name="Normal 6 2 3 3 4 3" xfId="22011"/>
    <cellStyle name="Normal 6 2 3 3 4 4" xfId="38465"/>
    <cellStyle name="Normal 6 2 3 3 5" xfId="7206"/>
    <cellStyle name="Normal 6 2 3 3 5 2" xfId="15431"/>
    <cellStyle name="Normal 6 2 3 3 5 2 2" xfId="31881"/>
    <cellStyle name="Normal 6 2 3 3 5 3" xfId="23656"/>
    <cellStyle name="Normal 6 2 3 3 5 4" xfId="40110"/>
    <cellStyle name="Normal 6 2 3 3 6" xfId="8851"/>
    <cellStyle name="Normal 6 2 3 3 6 2" xfId="25301"/>
    <cellStyle name="Normal 6 2 3 3 7" xfId="17075"/>
    <cellStyle name="Normal 6 2 3 3 8" xfId="33529"/>
    <cellStyle name="Normal 6 2 3 3 9" xfId="41756"/>
    <cellStyle name="Normal 6 2 3 4" xfId="811"/>
    <cellStyle name="Normal 6 2 3 4 2" xfId="2506"/>
    <cellStyle name="Normal 6 2 3 4 2 2" xfId="10731"/>
    <cellStyle name="Normal 6 2 3 4 2 2 2" xfId="27181"/>
    <cellStyle name="Normal 6 2 3 4 2 3" xfId="18956"/>
    <cellStyle name="Normal 6 2 3 4 2 4" xfId="35410"/>
    <cellStyle name="Normal 6 2 3 4 3" xfId="4151"/>
    <cellStyle name="Normal 6 2 3 4 3 2" xfId="12376"/>
    <cellStyle name="Normal 6 2 3 4 3 2 2" xfId="28826"/>
    <cellStyle name="Normal 6 2 3 4 3 3" xfId="20601"/>
    <cellStyle name="Normal 6 2 3 4 3 4" xfId="37055"/>
    <cellStyle name="Normal 6 2 3 4 4" xfId="5796"/>
    <cellStyle name="Normal 6 2 3 4 4 2" xfId="14021"/>
    <cellStyle name="Normal 6 2 3 4 4 2 2" xfId="30471"/>
    <cellStyle name="Normal 6 2 3 4 4 3" xfId="22246"/>
    <cellStyle name="Normal 6 2 3 4 4 4" xfId="38700"/>
    <cellStyle name="Normal 6 2 3 4 5" xfId="7441"/>
    <cellStyle name="Normal 6 2 3 4 5 2" xfId="15666"/>
    <cellStyle name="Normal 6 2 3 4 5 2 2" xfId="32116"/>
    <cellStyle name="Normal 6 2 3 4 5 3" xfId="23891"/>
    <cellStyle name="Normal 6 2 3 4 5 4" xfId="40345"/>
    <cellStyle name="Normal 6 2 3 4 6" xfId="9086"/>
    <cellStyle name="Normal 6 2 3 4 6 2" xfId="25536"/>
    <cellStyle name="Normal 6 2 3 4 7" xfId="17310"/>
    <cellStyle name="Normal 6 2 3 4 8" xfId="33764"/>
    <cellStyle name="Normal 6 2 3 4 9" xfId="41991"/>
    <cellStyle name="Normal 6 2 3 5" xfId="1046"/>
    <cellStyle name="Normal 6 2 3 5 2" xfId="2741"/>
    <cellStyle name="Normal 6 2 3 5 2 2" xfId="10966"/>
    <cellStyle name="Normal 6 2 3 5 2 2 2" xfId="27416"/>
    <cellStyle name="Normal 6 2 3 5 2 3" xfId="19191"/>
    <cellStyle name="Normal 6 2 3 5 2 4" xfId="35645"/>
    <cellStyle name="Normal 6 2 3 5 3" xfId="4386"/>
    <cellStyle name="Normal 6 2 3 5 3 2" xfId="12611"/>
    <cellStyle name="Normal 6 2 3 5 3 2 2" xfId="29061"/>
    <cellStyle name="Normal 6 2 3 5 3 3" xfId="20836"/>
    <cellStyle name="Normal 6 2 3 5 3 4" xfId="37290"/>
    <cellStyle name="Normal 6 2 3 5 4" xfId="6031"/>
    <cellStyle name="Normal 6 2 3 5 4 2" xfId="14256"/>
    <cellStyle name="Normal 6 2 3 5 4 2 2" xfId="30706"/>
    <cellStyle name="Normal 6 2 3 5 4 3" xfId="22481"/>
    <cellStyle name="Normal 6 2 3 5 4 4" xfId="38935"/>
    <cellStyle name="Normal 6 2 3 5 5" xfId="7676"/>
    <cellStyle name="Normal 6 2 3 5 5 2" xfId="15901"/>
    <cellStyle name="Normal 6 2 3 5 5 2 2" xfId="32351"/>
    <cellStyle name="Normal 6 2 3 5 5 3" xfId="24126"/>
    <cellStyle name="Normal 6 2 3 5 5 4" xfId="40580"/>
    <cellStyle name="Normal 6 2 3 5 6" xfId="9321"/>
    <cellStyle name="Normal 6 2 3 5 6 2" xfId="25771"/>
    <cellStyle name="Normal 6 2 3 5 7" xfId="17545"/>
    <cellStyle name="Normal 6 2 3 5 8" xfId="33999"/>
    <cellStyle name="Normal 6 2 3 5 9" xfId="42226"/>
    <cellStyle name="Normal 6 2 3 6" xfId="1326"/>
    <cellStyle name="Normal 6 2 3 6 2" xfId="2976"/>
    <cellStyle name="Normal 6 2 3 6 2 2" xfId="11201"/>
    <cellStyle name="Normal 6 2 3 6 2 2 2" xfId="27651"/>
    <cellStyle name="Normal 6 2 3 6 2 3" xfId="19426"/>
    <cellStyle name="Normal 6 2 3 6 2 4" xfId="35880"/>
    <cellStyle name="Normal 6 2 3 6 3" xfId="4621"/>
    <cellStyle name="Normal 6 2 3 6 3 2" xfId="12846"/>
    <cellStyle name="Normal 6 2 3 6 3 2 2" xfId="29296"/>
    <cellStyle name="Normal 6 2 3 6 3 3" xfId="21071"/>
    <cellStyle name="Normal 6 2 3 6 3 4" xfId="37525"/>
    <cellStyle name="Normal 6 2 3 6 4" xfId="6266"/>
    <cellStyle name="Normal 6 2 3 6 4 2" xfId="14491"/>
    <cellStyle name="Normal 6 2 3 6 4 2 2" xfId="30941"/>
    <cellStyle name="Normal 6 2 3 6 4 3" xfId="22716"/>
    <cellStyle name="Normal 6 2 3 6 4 4" xfId="39170"/>
    <cellStyle name="Normal 6 2 3 6 5" xfId="7911"/>
    <cellStyle name="Normal 6 2 3 6 5 2" xfId="16136"/>
    <cellStyle name="Normal 6 2 3 6 5 2 2" xfId="32586"/>
    <cellStyle name="Normal 6 2 3 6 5 3" xfId="24361"/>
    <cellStyle name="Normal 6 2 3 6 5 4" xfId="40815"/>
    <cellStyle name="Normal 6 2 3 6 6" xfId="9556"/>
    <cellStyle name="Normal 6 2 3 6 6 2" xfId="26006"/>
    <cellStyle name="Normal 6 2 3 6 7" xfId="17780"/>
    <cellStyle name="Normal 6 2 3 6 8" xfId="34234"/>
    <cellStyle name="Normal 6 2 3 7" xfId="1561"/>
    <cellStyle name="Normal 6 2 3 7 2" xfId="3211"/>
    <cellStyle name="Normal 6 2 3 7 2 2" xfId="11436"/>
    <cellStyle name="Normal 6 2 3 7 2 2 2" xfId="27886"/>
    <cellStyle name="Normal 6 2 3 7 2 3" xfId="19661"/>
    <cellStyle name="Normal 6 2 3 7 2 4" xfId="36115"/>
    <cellStyle name="Normal 6 2 3 7 3" xfId="4856"/>
    <cellStyle name="Normal 6 2 3 7 3 2" xfId="13081"/>
    <cellStyle name="Normal 6 2 3 7 3 2 2" xfId="29531"/>
    <cellStyle name="Normal 6 2 3 7 3 3" xfId="21306"/>
    <cellStyle name="Normal 6 2 3 7 3 4" xfId="37760"/>
    <cellStyle name="Normal 6 2 3 7 4" xfId="6501"/>
    <cellStyle name="Normal 6 2 3 7 4 2" xfId="14726"/>
    <cellStyle name="Normal 6 2 3 7 4 2 2" xfId="31176"/>
    <cellStyle name="Normal 6 2 3 7 4 3" xfId="22951"/>
    <cellStyle name="Normal 6 2 3 7 4 4" xfId="39405"/>
    <cellStyle name="Normal 6 2 3 7 5" xfId="8146"/>
    <cellStyle name="Normal 6 2 3 7 5 2" xfId="16371"/>
    <cellStyle name="Normal 6 2 3 7 5 2 2" xfId="32821"/>
    <cellStyle name="Normal 6 2 3 7 5 3" xfId="24596"/>
    <cellStyle name="Normal 6 2 3 7 5 4" xfId="41050"/>
    <cellStyle name="Normal 6 2 3 7 6" xfId="9791"/>
    <cellStyle name="Normal 6 2 3 7 6 2" xfId="26241"/>
    <cellStyle name="Normal 6 2 3 7 7" xfId="18015"/>
    <cellStyle name="Normal 6 2 3 7 8" xfId="34469"/>
    <cellStyle name="Normal 6 2 3 8" xfId="1796"/>
    <cellStyle name="Normal 6 2 3 8 2" xfId="10026"/>
    <cellStyle name="Normal 6 2 3 8 2 2" xfId="26476"/>
    <cellStyle name="Normal 6 2 3 8 3" xfId="18250"/>
    <cellStyle name="Normal 6 2 3 8 4" xfId="34704"/>
    <cellStyle name="Normal 6 2 3 9" xfId="3446"/>
    <cellStyle name="Normal 6 2 3 9 2" xfId="11671"/>
    <cellStyle name="Normal 6 2 3 9 2 2" xfId="28121"/>
    <cellStyle name="Normal 6 2 3 9 3" xfId="19896"/>
    <cellStyle name="Normal 6 2 3 9 4" xfId="36350"/>
    <cellStyle name="Normal 6 2 4" xfId="142"/>
    <cellStyle name="Normal 6 2 4 10" xfId="5141"/>
    <cellStyle name="Normal 6 2 4 10 2" xfId="13366"/>
    <cellStyle name="Normal 6 2 4 10 2 2" xfId="29816"/>
    <cellStyle name="Normal 6 2 4 10 3" xfId="21591"/>
    <cellStyle name="Normal 6 2 4 10 4" xfId="38045"/>
    <cellStyle name="Normal 6 2 4 11" xfId="6786"/>
    <cellStyle name="Normal 6 2 4 11 2" xfId="15011"/>
    <cellStyle name="Normal 6 2 4 11 2 2" xfId="31461"/>
    <cellStyle name="Normal 6 2 4 11 3" xfId="23236"/>
    <cellStyle name="Normal 6 2 4 11 4" xfId="39690"/>
    <cellStyle name="Normal 6 2 4 12" xfId="8431"/>
    <cellStyle name="Normal 6 2 4 12 2" xfId="24881"/>
    <cellStyle name="Normal 6 2 4 13" xfId="16655"/>
    <cellStyle name="Normal 6 2 4 14" xfId="33108"/>
    <cellStyle name="Normal 6 2 4 15" xfId="41336"/>
    <cellStyle name="Normal 6 2 4 2" xfId="385"/>
    <cellStyle name="Normal 6 2 4 2 2" xfId="2084"/>
    <cellStyle name="Normal 6 2 4 2 2 2" xfId="10311"/>
    <cellStyle name="Normal 6 2 4 2 2 2 2" xfId="26761"/>
    <cellStyle name="Normal 6 2 4 2 2 3" xfId="18536"/>
    <cellStyle name="Normal 6 2 4 2 2 4" xfId="34990"/>
    <cellStyle name="Normal 6 2 4 2 3" xfId="3731"/>
    <cellStyle name="Normal 6 2 4 2 3 2" xfId="11956"/>
    <cellStyle name="Normal 6 2 4 2 3 2 2" xfId="28406"/>
    <cellStyle name="Normal 6 2 4 2 3 3" xfId="20181"/>
    <cellStyle name="Normal 6 2 4 2 3 4" xfId="36635"/>
    <cellStyle name="Normal 6 2 4 2 4" xfId="5376"/>
    <cellStyle name="Normal 6 2 4 2 4 2" xfId="13601"/>
    <cellStyle name="Normal 6 2 4 2 4 2 2" xfId="30051"/>
    <cellStyle name="Normal 6 2 4 2 4 3" xfId="21826"/>
    <cellStyle name="Normal 6 2 4 2 4 4" xfId="38280"/>
    <cellStyle name="Normal 6 2 4 2 5" xfId="7021"/>
    <cellStyle name="Normal 6 2 4 2 5 2" xfId="15246"/>
    <cellStyle name="Normal 6 2 4 2 5 2 2" xfId="31696"/>
    <cellStyle name="Normal 6 2 4 2 5 3" xfId="23471"/>
    <cellStyle name="Normal 6 2 4 2 5 4" xfId="39925"/>
    <cellStyle name="Normal 6 2 4 2 6" xfId="8666"/>
    <cellStyle name="Normal 6 2 4 2 6 2" xfId="25116"/>
    <cellStyle name="Normal 6 2 4 2 7" xfId="16890"/>
    <cellStyle name="Normal 6 2 4 2 8" xfId="33344"/>
    <cellStyle name="Normal 6 2 4 2 9" xfId="41571"/>
    <cellStyle name="Normal 6 2 4 3" xfId="626"/>
    <cellStyle name="Normal 6 2 4 3 2" xfId="2321"/>
    <cellStyle name="Normal 6 2 4 3 2 2" xfId="10546"/>
    <cellStyle name="Normal 6 2 4 3 2 2 2" xfId="26996"/>
    <cellStyle name="Normal 6 2 4 3 2 3" xfId="18771"/>
    <cellStyle name="Normal 6 2 4 3 2 4" xfId="35225"/>
    <cellStyle name="Normal 6 2 4 3 3" xfId="3966"/>
    <cellStyle name="Normal 6 2 4 3 3 2" xfId="12191"/>
    <cellStyle name="Normal 6 2 4 3 3 2 2" xfId="28641"/>
    <cellStyle name="Normal 6 2 4 3 3 3" xfId="20416"/>
    <cellStyle name="Normal 6 2 4 3 3 4" xfId="36870"/>
    <cellStyle name="Normal 6 2 4 3 4" xfId="5611"/>
    <cellStyle name="Normal 6 2 4 3 4 2" xfId="13836"/>
    <cellStyle name="Normal 6 2 4 3 4 2 2" xfId="30286"/>
    <cellStyle name="Normal 6 2 4 3 4 3" xfId="22061"/>
    <cellStyle name="Normal 6 2 4 3 4 4" xfId="38515"/>
    <cellStyle name="Normal 6 2 4 3 5" xfId="7256"/>
    <cellStyle name="Normal 6 2 4 3 5 2" xfId="15481"/>
    <cellStyle name="Normal 6 2 4 3 5 2 2" xfId="31931"/>
    <cellStyle name="Normal 6 2 4 3 5 3" xfId="23706"/>
    <cellStyle name="Normal 6 2 4 3 5 4" xfId="40160"/>
    <cellStyle name="Normal 6 2 4 3 6" xfId="8901"/>
    <cellStyle name="Normal 6 2 4 3 6 2" xfId="25351"/>
    <cellStyle name="Normal 6 2 4 3 7" xfId="17125"/>
    <cellStyle name="Normal 6 2 4 3 8" xfId="33579"/>
    <cellStyle name="Normal 6 2 4 3 9" xfId="41806"/>
    <cellStyle name="Normal 6 2 4 4" xfId="861"/>
    <cellStyle name="Normal 6 2 4 4 2" xfId="2556"/>
    <cellStyle name="Normal 6 2 4 4 2 2" xfId="10781"/>
    <cellStyle name="Normal 6 2 4 4 2 2 2" xfId="27231"/>
    <cellStyle name="Normal 6 2 4 4 2 3" xfId="19006"/>
    <cellStyle name="Normal 6 2 4 4 2 4" xfId="35460"/>
    <cellStyle name="Normal 6 2 4 4 3" xfId="4201"/>
    <cellStyle name="Normal 6 2 4 4 3 2" xfId="12426"/>
    <cellStyle name="Normal 6 2 4 4 3 2 2" xfId="28876"/>
    <cellStyle name="Normal 6 2 4 4 3 3" xfId="20651"/>
    <cellStyle name="Normal 6 2 4 4 3 4" xfId="37105"/>
    <cellStyle name="Normal 6 2 4 4 4" xfId="5846"/>
    <cellStyle name="Normal 6 2 4 4 4 2" xfId="14071"/>
    <cellStyle name="Normal 6 2 4 4 4 2 2" xfId="30521"/>
    <cellStyle name="Normal 6 2 4 4 4 3" xfId="22296"/>
    <cellStyle name="Normal 6 2 4 4 4 4" xfId="38750"/>
    <cellStyle name="Normal 6 2 4 4 5" xfId="7491"/>
    <cellStyle name="Normal 6 2 4 4 5 2" xfId="15716"/>
    <cellStyle name="Normal 6 2 4 4 5 2 2" xfId="32166"/>
    <cellStyle name="Normal 6 2 4 4 5 3" xfId="23941"/>
    <cellStyle name="Normal 6 2 4 4 5 4" xfId="40395"/>
    <cellStyle name="Normal 6 2 4 4 6" xfId="9136"/>
    <cellStyle name="Normal 6 2 4 4 6 2" xfId="25586"/>
    <cellStyle name="Normal 6 2 4 4 7" xfId="17360"/>
    <cellStyle name="Normal 6 2 4 4 8" xfId="33814"/>
    <cellStyle name="Normal 6 2 4 4 9" xfId="42041"/>
    <cellStyle name="Normal 6 2 4 5" xfId="1096"/>
    <cellStyle name="Normal 6 2 4 5 2" xfId="2791"/>
    <cellStyle name="Normal 6 2 4 5 2 2" xfId="11016"/>
    <cellStyle name="Normal 6 2 4 5 2 2 2" xfId="27466"/>
    <cellStyle name="Normal 6 2 4 5 2 3" xfId="19241"/>
    <cellStyle name="Normal 6 2 4 5 2 4" xfId="35695"/>
    <cellStyle name="Normal 6 2 4 5 3" xfId="4436"/>
    <cellStyle name="Normal 6 2 4 5 3 2" xfId="12661"/>
    <cellStyle name="Normal 6 2 4 5 3 2 2" xfId="29111"/>
    <cellStyle name="Normal 6 2 4 5 3 3" xfId="20886"/>
    <cellStyle name="Normal 6 2 4 5 3 4" xfId="37340"/>
    <cellStyle name="Normal 6 2 4 5 4" xfId="6081"/>
    <cellStyle name="Normal 6 2 4 5 4 2" xfId="14306"/>
    <cellStyle name="Normal 6 2 4 5 4 2 2" xfId="30756"/>
    <cellStyle name="Normal 6 2 4 5 4 3" xfId="22531"/>
    <cellStyle name="Normal 6 2 4 5 4 4" xfId="38985"/>
    <cellStyle name="Normal 6 2 4 5 5" xfId="7726"/>
    <cellStyle name="Normal 6 2 4 5 5 2" xfId="15951"/>
    <cellStyle name="Normal 6 2 4 5 5 2 2" xfId="32401"/>
    <cellStyle name="Normal 6 2 4 5 5 3" xfId="24176"/>
    <cellStyle name="Normal 6 2 4 5 5 4" xfId="40630"/>
    <cellStyle name="Normal 6 2 4 5 6" xfId="9371"/>
    <cellStyle name="Normal 6 2 4 5 6 2" xfId="25821"/>
    <cellStyle name="Normal 6 2 4 5 7" xfId="17595"/>
    <cellStyle name="Normal 6 2 4 5 8" xfId="34049"/>
    <cellStyle name="Normal 6 2 4 5 9" xfId="42276"/>
    <cellStyle name="Normal 6 2 4 6" xfId="1376"/>
    <cellStyle name="Normal 6 2 4 6 2" xfId="3026"/>
    <cellStyle name="Normal 6 2 4 6 2 2" xfId="11251"/>
    <cellStyle name="Normal 6 2 4 6 2 2 2" xfId="27701"/>
    <cellStyle name="Normal 6 2 4 6 2 3" xfId="19476"/>
    <cellStyle name="Normal 6 2 4 6 2 4" xfId="35930"/>
    <cellStyle name="Normal 6 2 4 6 3" xfId="4671"/>
    <cellStyle name="Normal 6 2 4 6 3 2" xfId="12896"/>
    <cellStyle name="Normal 6 2 4 6 3 2 2" xfId="29346"/>
    <cellStyle name="Normal 6 2 4 6 3 3" xfId="21121"/>
    <cellStyle name="Normal 6 2 4 6 3 4" xfId="37575"/>
    <cellStyle name="Normal 6 2 4 6 4" xfId="6316"/>
    <cellStyle name="Normal 6 2 4 6 4 2" xfId="14541"/>
    <cellStyle name="Normal 6 2 4 6 4 2 2" xfId="30991"/>
    <cellStyle name="Normal 6 2 4 6 4 3" xfId="22766"/>
    <cellStyle name="Normal 6 2 4 6 4 4" xfId="39220"/>
    <cellStyle name="Normal 6 2 4 6 5" xfId="7961"/>
    <cellStyle name="Normal 6 2 4 6 5 2" xfId="16186"/>
    <cellStyle name="Normal 6 2 4 6 5 2 2" xfId="32636"/>
    <cellStyle name="Normal 6 2 4 6 5 3" xfId="24411"/>
    <cellStyle name="Normal 6 2 4 6 5 4" xfId="40865"/>
    <cellStyle name="Normal 6 2 4 6 6" xfId="9606"/>
    <cellStyle name="Normal 6 2 4 6 6 2" xfId="26056"/>
    <cellStyle name="Normal 6 2 4 6 7" xfId="17830"/>
    <cellStyle name="Normal 6 2 4 6 8" xfId="34284"/>
    <cellStyle name="Normal 6 2 4 7" xfId="1611"/>
    <cellStyle name="Normal 6 2 4 7 2" xfId="3261"/>
    <cellStyle name="Normal 6 2 4 7 2 2" xfId="11486"/>
    <cellStyle name="Normal 6 2 4 7 2 2 2" xfId="27936"/>
    <cellStyle name="Normal 6 2 4 7 2 3" xfId="19711"/>
    <cellStyle name="Normal 6 2 4 7 2 4" xfId="36165"/>
    <cellStyle name="Normal 6 2 4 7 3" xfId="4906"/>
    <cellStyle name="Normal 6 2 4 7 3 2" xfId="13131"/>
    <cellStyle name="Normal 6 2 4 7 3 2 2" xfId="29581"/>
    <cellStyle name="Normal 6 2 4 7 3 3" xfId="21356"/>
    <cellStyle name="Normal 6 2 4 7 3 4" xfId="37810"/>
    <cellStyle name="Normal 6 2 4 7 4" xfId="6551"/>
    <cellStyle name="Normal 6 2 4 7 4 2" xfId="14776"/>
    <cellStyle name="Normal 6 2 4 7 4 2 2" xfId="31226"/>
    <cellStyle name="Normal 6 2 4 7 4 3" xfId="23001"/>
    <cellStyle name="Normal 6 2 4 7 4 4" xfId="39455"/>
    <cellStyle name="Normal 6 2 4 7 5" xfId="8196"/>
    <cellStyle name="Normal 6 2 4 7 5 2" xfId="16421"/>
    <cellStyle name="Normal 6 2 4 7 5 2 2" xfId="32871"/>
    <cellStyle name="Normal 6 2 4 7 5 3" xfId="24646"/>
    <cellStyle name="Normal 6 2 4 7 5 4" xfId="41100"/>
    <cellStyle name="Normal 6 2 4 7 6" xfId="9841"/>
    <cellStyle name="Normal 6 2 4 7 6 2" xfId="26291"/>
    <cellStyle name="Normal 6 2 4 7 7" xfId="18065"/>
    <cellStyle name="Normal 6 2 4 7 8" xfId="34519"/>
    <cellStyle name="Normal 6 2 4 8" xfId="1846"/>
    <cellStyle name="Normal 6 2 4 8 2" xfId="10076"/>
    <cellStyle name="Normal 6 2 4 8 2 2" xfId="26526"/>
    <cellStyle name="Normal 6 2 4 8 3" xfId="18300"/>
    <cellStyle name="Normal 6 2 4 8 4" xfId="34754"/>
    <cellStyle name="Normal 6 2 4 9" xfId="3496"/>
    <cellStyle name="Normal 6 2 4 9 2" xfId="11721"/>
    <cellStyle name="Normal 6 2 4 9 2 2" xfId="28171"/>
    <cellStyle name="Normal 6 2 4 9 3" xfId="19946"/>
    <cellStyle name="Normal 6 2 4 9 4" xfId="36400"/>
    <cellStyle name="Normal 6 2 5" xfId="169"/>
    <cellStyle name="Normal 6 2 5 10" xfId="5168"/>
    <cellStyle name="Normal 6 2 5 10 2" xfId="13393"/>
    <cellStyle name="Normal 6 2 5 10 2 2" xfId="29843"/>
    <cellStyle name="Normal 6 2 5 10 3" xfId="21618"/>
    <cellStyle name="Normal 6 2 5 10 4" xfId="38072"/>
    <cellStyle name="Normal 6 2 5 11" xfId="6813"/>
    <cellStyle name="Normal 6 2 5 11 2" xfId="15038"/>
    <cellStyle name="Normal 6 2 5 11 2 2" xfId="31488"/>
    <cellStyle name="Normal 6 2 5 11 3" xfId="23263"/>
    <cellStyle name="Normal 6 2 5 11 4" xfId="39717"/>
    <cellStyle name="Normal 6 2 5 12" xfId="8458"/>
    <cellStyle name="Normal 6 2 5 12 2" xfId="24908"/>
    <cellStyle name="Normal 6 2 5 13" xfId="16682"/>
    <cellStyle name="Normal 6 2 5 14" xfId="33135"/>
    <cellStyle name="Normal 6 2 5 15" xfId="41363"/>
    <cellStyle name="Normal 6 2 5 2" xfId="412"/>
    <cellStyle name="Normal 6 2 5 2 2" xfId="2111"/>
    <cellStyle name="Normal 6 2 5 2 2 2" xfId="10338"/>
    <cellStyle name="Normal 6 2 5 2 2 2 2" xfId="26788"/>
    <cellStyle name="Normal 6 2 5 2 2 3" xfId="18563"/>
    <cellStyle name="Normal 6 2 5 2 2 4" xfId="35017"/>
    <cellStyle name="Normal 6 2 5 2 3" xfId="3758"/>
    <cellStyle name="Normal 6 2 5 2 3 2" xfId="11983"/>
    <cellStyle name="Normal 6 2 5 2 3 2 2" xfId="28433"/>
    <cellStyle name="Normal 6 2 5 2 3 3" xfId="20208"/>
    <cellStyle name="Normal 6 2 5 2 3 4" xfId="36662"/>
    <cellStyle name="Normal 6 2 5 2 4" xfId="5403"/>
    <cellStyle name="Normal 6 2 5 2 4 2" xfId="13628"/>
    <cellStyle name="Normal 6 2 5 2 4 2 2" xfId="30078"/>
    <cellStyle name="Normal 6 2 5 2 4 3" xfId="21853"/>
    <cellStyle name="Normal 6 2 5 2 4 4" xfId="38307"/>
    <cellStyle name="Normal 6 2 5 2 5" xfId="7048"/>
    <cellStyle name="Normal 6 2 5 2 5 2" xfId="15273"/>
    <cellStyle name="Normal 6 2 5 2 5 2 2" xfId="31723"/>
    <cellStyle name="Normal 6 2 5 2 5 3" xfId="23498"/>
    <cellStyle name="Normal 6 2 5 2 5 4" xfId="39952"/>
    <cellStyle name="Normal 6 2 5 2 6" xfId="8693"/>
    <cellStyle name="Normal 6 2 5 2 6 2" xfId="25143"/>
    <cellStyle name="Normal 6 2 5 2 7" xfId="16917"/>
    <cellStyle name="Normal 6 2 5 2 8" xfId="33371"/>
    <cellStyle name="Normal 6 2 5 2 9" xfId="41598"/>
    <cellStyle name="Normal 6 2 5 3" xfId="653"/>
    <cellStyle name="Normal 6 2 5 3 2" xfId="2348"/>
    <cellStyle name="Normal 6 2 5 3 2 2" xfId="10573"/>
    <cellStyle name="Normal 6 2 5 3 2 2 2" xfId="27023"/>
    <cellStyle name="Normal 6 2 5 3 2 3" xfId="18798"/>
    <cellStyle name="Normal 6 2 5 3 2 4" xfId="35252"/>
    <cellStyle name="Normal 6 2 5 3 3" xfId="3993"/>
    <cellStyle name="Normal 6 2 5 3 3 2" xfId="12218"/>
    <cellStyle name="Normal 6 2 5 3 3 2 2" xfId="28668"/>
    <cellStyle name="Normal 6 2 5 3 3 3" xfId="20443"/>
    <cellStyle name="Normal 6 2 5 3 3 4" xfId="36897"/>
    <cellStyle name="Normal 6 2 5 3 4" xfId="5638"/>
    <cellStyle name="Normal 6 2 5 3 4 2" xfId="13863"/>
    <cellStyle name="Normal 6 2 5 3 4 2 2" xfId="30313"/>
    <cellStyle name="Normal 6 2 5 3 4 3" xfId="22088"/>
    <cellStyle name="Normal 6 2 5 3 4 4" xfId="38542"/>
    <cellStyle name="Normal 6 2 5 3 5" xfId="7283"/>
    <cellStyle name="Normal 6 2 5 3 5 2" xfId="15508"/>
    <cellStyle name="Normal 6 2 5 3 5 2 2" xfId="31958"/>
    <cellStyle name="Normal 6 2 5 3 5 3" xfId="23733"/>
    <cellStyle name="Normal 6 2 5 3 5 4" xfId="40187"/>
    <cellStyle name="Normal 6 2 5 3 6" xfId="8928"/>
    <cellStyle name="Normal 6 2 5 3 6 2" xfId="25378"/>
    <cellStyle name="Normal 6 2 5 3 7" xfId="17152"/>
    <cellStyle name="Normal 6 2 5 3 8" xfId="33606"/>
    <cellStyle name="Normal 6 2 5 3 9" xfId="41833"/>
    <cellStyle name="Normal 6 2 5 4" xfId="888"/>
    <cellStyle name="Normal 6 2 5 4 2" xfId="2583"/>
    <cellStyle name="Normal 6 2 5 4 2 2" xfId="10808"/>
    <cellStyle name="Normal 6 2 5 4 2 2 2" xfId="27258"/>
    <cellStyle name="Normal 6 2 5 4 2 3" xfId="19033"/>
    <cellStyle name="Normal 6 2 5 4 2 4" xfId="35487"/>
    <cellStyle name="Normal 6 2 5 4 3" xfId="4228"/>
    <cellStyle name="Normal 6 2 5 4 3 2" xfId="12453"/>
    <cellStyle name="Normal 6 2 5 4 3 2 2" xfId="28903"/>
    <cellStyle name="Normal 6 2 5 4 3 3" xfId="20678"/>
    <cellStyle name="Normal 6 2 5 4 3 4" xfId="37132"/>
    <cellStyle name="Normal 6 2 5 4 4" xfId="5873"/>
    <cellStyle name="Normal 6 2 5 4 4 2" xfId="14098"/>
    <cellStyle name="Normal 6 2 5 4 4 2 2" xfId="30548"/>
    <cellStyle name="Normal 6 2 5 4 4 3" xfId="22323"/>
    <cellStyle name="Normal 6 2 5 4 4 4" xfId="38777"/>
    <cellStyle name="Normal 6 2 5 4 5" xfId="7518"/>
    <cellStyle name="Normal 6 2 5 4 5 2" xfId="15743"/>
    <cellStyle name="Normal 6 2 5 4 5 2 2" xfId="32193"/>
    <cellStyle name="Normal 6 2 5 4 5 3" xfId="23968"/>
    <cellStyle name="Normal 6 2 5 4 5 4" xfId="40422"/>
    <cellStyle name="Normal 6 2 5 4 6" xfId="9163"/>
    <cellStyle name="Normal 6 2 5 4 6 2" xfId="25613"/>
    <cellStyle name="Normal 6 2 5 4 7" xfId="17387"/>
    <cellStyle name="Normal 6 2 5 4 8" xfId="33841"/>
    <cellStyle name="Normal 6 2 5 4 9" xfId="42068"/>
    <cellStyle name="Normal 6 2 5 5" xfId="1123"/>
    <cellStyle name="Normal 6 2 5 5 2" xfId="2818"/>
    <cellStyle name="Normal 6 2 5 5 2 2" xfId="11043"/>
    <cellStyle name="Normal 6 2 5 5 2 2 2" xfId="27493"/>
    <cellStyle name="Normal 6 2 5 5 2 3" xfId="19268"/>
    <cellStyle name="Normal 6 2 5 5 2 4" xfId="35722"/>
    <cellStyle name="Normal 6 2 5 5 3" xfId="4463"/>
    <cellStyle name="Normal 6 2 5 5 3 2" xfId="12688"/>
    <cellStyle name="Normal 6 2 5 5 3 2 2" xfId="29138"/>
    <cellStyle name="Normal 6 2 5 5 3 3" xfId="20913"/>
    <cellStyle name="Normal 6 2 5 5 3 4" xfId="37367"/>
    <cellStyle name="Normal 6 2 5 5 4" xfId="6108"/>
    <cellStyle name="Normal 6 2 5 5 4 2" xfId="14333"/>
    <cellStyle name="Normal 6 2 5 5 4 2 2" xfId="30783"/>
    <cellStyle name="Normal 6 2 5 5 4 3" xfId="22558"/>
    <cellStyle name="Normal 6 2 5 5 4 4" xfId="39012"/>
    <cellStyle name="Normal 6 2 5 5 5" xfId="7753"/>
    <cellStyle name="Normal 6 2 5 5 5 2" xfId="15978"/>
    <cellStyle name="Normal 6 2 5 5 5 2 2" xfId="32428"/>
    <cellStyle name="Normal 6 2 5 5 5 3" xfId="24203"/>
    <cellStyle name="Normal 6 2 5 5 5 4" xfId="40657"/>
    <cellStyle name="Normal 6 2 5 5 6" xfId="9398"/>
    <cellStyle name="Normal 6 2 5 5 6 2" xfId="25848"/>
    <cellStyle name="Normal 6 2 5 5 7" xfId="17622"/>
    <cellStyle name="Normal 6 2 5 5 8" xfId="34076"/>
    <cellStyle name="Normal 6 2 5 5 9" xfId="42303"/>
    <cellStyle name="Normal 6 2 5 6" xfId="1403"/>
    <cellStyle name="Normal 6 2 5 6 2" xfId="3053"/>
    <cellStyle name="Normal 6 2 5 6 2 2" xfId="11278"/>
    <cellStyle name="Normal 6 2 5 6 2 2 2" xfId="27728"/>
    <cellStyle name="Normal 6 2 5 6 2 3" xfId="19503"/>
    <cellStyle name="Normal 6 2 5 6 2 4" xfId="35957"/>
    <cellStyle name="Normal 6 2 5 6 3" xfId="4698"/>
    <cellStyle name="Normal 6 2 5 6 3 2" xfId="12923"/>
    <cellStyle name="Normal 6 2 5 6 3 2 2" xfId="29373"/>
    <cellStyle name="Normal 6 2 5 6 3 3" xfId="21148"/>
    <cellStyle name="Normal 6 2 5 6 3 4" xfId="37602"/>
    <cellStyle name="Normal 6 2 5 6 4" xfId="6343"/>
    <cellStyle name="Normal 6 2 5 6 4 2" xfId="14568"/>
    <cellStyle name="Normal 6 2 5 6 4 2 2" xfId="31018"/>
    <cellStyle name="Normal 6 2 5 6 4 3" xfId="22793"/>
    <cellStyle name="Normal 6 2 5 6 4 4" xfId="39247"/>
    <cellStyle name="Normal 6 2 5 6 5" xfId="7988"/>
    <cellStyle name="Normal 6 2 5 6 5 2" xfId="16213"/>
    <cellStyle name="Normal 6 2 5 6 5 2 2" xfId="32663"/>
    <cellStyle name="Normal 6 2 5 6 5 3" xfId="24438"/>
    <cellStyle name="Normal 6 2 5 6 5 4" xfId="40892"/>
    <cellStyle name="Normal 6 2 5 6 6" xfId="9633"/>
    <cellStyle name="Normal 6 2 5 6 6 2" xfId="26083"/>
    <cellStyle name="Normal 6 2 5 6 7" xfId="17857"/>
    <cellStyle name="Normal 6 2 5 6 8" xfId="34311"/>
    <cellStyle name="Normal 6 2 5 7" xfId="1638"/>
    <cellStyle name="Normal 6 2 5 7 2" xfId="3288"/>
    <cellStyle name="Normal 6 2 5 7 2 2" xfId="11513"/>
    <cellStyle name="Normal 6 2 5 7 2 2 2" xfId="27963"/>
    <cellStyle name="Normal 6 2 5 7 2 3" xfId="19738"/>
    <cellStyle name="Normal 6 2 5 7 2 4" xfId="36192"/>
    <cellStyle name="Normal 6 2 5 7 3" xfId="4933"/>
    <cellStyle name="Normal 6 2 5 7 3 2" xfId="13158"/>
    <cellStyle name="Normal 6 2 5 7 3 2 2" xfId="29608"/>
    <cellStyle name="Normal 6 2 5 7 3 3" xfId="21383"/>
    <cellStyle name="Normal 6 2 5 7 3 4" xfId="37837"/>
    <cellStyle name="Normal 6 2 5 7 4" xfId="6578"/>
    <cellStyle name="Normal 6 2 5 7 4 2" xfId="14803"/>
    <cellStyle name="Normal 6 2 5 7 4 2 2" xfId="31253"/>
    <cellStyle name="Normal 6 2 5 7 4 3" xfId="23028"/>
    <cellStyle name="Normal 6 2 5 7 4 4" xfId="39482"/>
    <cellStyle name="Normal 6 2 5 7 5" xfId="8223"/>
    <cellStyle name="Normal 6 2 5 7 5 2" xfId="16448"/>
    <cellStyle name="Normal 6 2 5 7 5 2 2" xfId="32898"/>
    <cellStyle name="Normal 6 2 5 7 5 3" xfId="24673"/>
    <cellStyle name="Normal 6 2 5 7 5 4" xfId="41127"/>
    <cellStyle name="Normal 6 2 5 7 6" xfId="9868"/>
    <cellStyle name="Normal 6 2 5 7 6 2" xfId="26318"/>
    <cellStyle name="Normal 6 2 5 7 7" xfId="18092"/>
    <cellStyle name="Normal 6 2 5 7 8" xfId="34546"/>
    <cellStyle name="Normal 6 2 5 8" xfId="1873"/>
    <cellStyle name="Normal 6 2 5 8 2" xfId="10103"/>
    <cellStyle name="Normal 6 2 5 8 2 2" xfId="26553"/>
    <cellStyle name="Normal 6 2 5 8 3" xfId="18327"/>
    <cellStyle name="Normal 6 2 5 8 4" xfId="34781"/>
    <cellStyle name="Normal 6 2 5 9" xfId="3523"/>
    <cellStyle name="Normal 6 2 5 9 2" xfId="11748"/>
    <cellStyle name="Normal 6 2 5 9 2 2" xfId="28198"/>
    <cellStyle name="Normal 6 2 5 9 3" xfId="19973"/>
    <cellStyle name="Normal 6 2 5 9 4" xfId="36427"/>
    <cellStyle name="Normal 6 2 6" xfId="198"/>
    <cellStyle name="Normal 6 2 6 10" xfId="5195"/>
    <cellStyle name="Normal 6 2 6 10 2" xfId="13420"/>
    <cellStyle name="Normal 6 2 6 10 2 2" xfId="29870"/>
    <cellStyle name="Normal 6 2 6 10 3" xfId="21645"/>
    <cellStyle name="Normal 6 2 6 10 4" xfId="38099"/>
    <cellStyle name="Normal 6 2 6 11" xfId="6840"/>
    <cellStyle name="Normal 6 2 6 11 2" xfId="15065"/>
    <cellStyle name="Normal 6 2 6 11 2 2" xfId="31515"/>
    <cellStyle name="Normal 6 2 6 11 3" xfId="23290"/>
    <cellStyle name="Normal 6 2 6 11 4" xfId="39744"/>
    <cellStyle name="Normal 6 2 6 12" xfId="8485"/>
    <cellStyle name="Normal 6 2 6 12 2" xfId="24935"/>
    <cellStyle name="Normal 6 2 6 13" xfId="16709"/>
    <cellStyle name="Normal 6 2 6 14" xfId="33162"/>
    <cellStyle name="Normal 6 2 6 15" xfId="41390"/>
    <cellStyle name="Normal 6 2 6 2" xfId="441"/>
    <cellStyle name="Normal 6 2 6 2 2" xfId="2138"/>
    <cellStyle name="Normal 6 2 6 2 2 2" xfId="10365"/>
    <cellStyle name="Normal 6 2 6 2 2 2 2" xfId="26815"/>
    <cellStyle name="Normal 6 2 6 2 2 3" xfId="18590"/>
    <cellStyle name="Normal 6 2 6 2 2 4" xfId="35044"/>
    <cellStyle name="Normal 6 2 6 2 3" xfId="3785"/>
    <cellStyle name="Normal 6 2 6 2 3 2" xfId="12010"/>
    <cellStyle name="Normal 6 2 6 2 3 2 2" xfId="28460"/>
    <cellStyle name="Normal 6 2 6 2 3 3" xfId="20235"/>
    <cellStyle name="Normal 6 2 6 2 3 4" xfId="36689"/>
    <cellStyle name="Normal 6 2 6 2 4" xfId="5430"/>
    <cellStyle name="Normal 6 2 6 2 4 2" xfId="13655"/>
    <cellStyle name="Normal 6 2 6 2 4 2 2" xfId="30105"/>
    <cellStyle name="Normal 6 2 6 2 4 3" xfId="21880"/>
    <cellStyle name="Normal 6 2 6 2 4 4" xfId="38334"/>
    <cellStyle name="Normal 6 2 6 2 5" xfId="7075"/>
    <cellStyle name="Normal 6 2 6 2 5 2" xfId="15300"/>
    <cellStyle name="Normal 6 2 6 2 5 2 2" xfId="31750"/>
    <cellStyle name="Normal 6 2 6 2 5 3" xfId="23525"/>
    <cellStyle name="Normal 6 2 6 2 5 4" xfId="39979"/>
    <cellStyle name="Normal 6 2 6 2 6" xfId="8720"/>
    <cellStyle name="Normal 6 2 6 2 6 2" xfId="25170"/>
    <cellStyle name="Normal 6 2 6 2 7" xfId="16944"/>
    <cellStyle name="Normal 6 2 6 2 8" xfId="33398"/>
    <cellStyle name="Normal 6 2 6 2 9" xfId="41625"/>
    <cellStyle name="Normal 6 2 6 3" xfId="680"/>
    <cellStyle name="Normal 6 2 6 3 2" xfId="2375"/>
    <cellStyle name="Normal 6 2 6 3 2 2" xfId="10600"/>
    <cellStyle name="Normal 6 2 6 3 2 2 2" xfId="27050"/>
    <cellStyle name="Normal 6 2 6 3 2 3" xfId="18825"/>
    <cellStyle name="Normal 6 2 6 3 2 4" xfId="35279"/>
    <cellStyle name="Normal 6 2 6 3 3" xfId="4020"/>
    <cellStyle name="Normal 6 2 6 3 3 2" xfId="12245"/>
    <cellStyle name="Normal 6 2 6 3 3 2 2" xfId="28695"/>
    <cellStyle name="Normal 6 2 6 3 3 3" xfId="20470"/>
    <cellStyle name="Normal 6 2 6 3 3 4" xfId="36924"/>
    <cellStyle name="Normal 6 2 6 3 4" xfId="5665"/>
    <cellStyle name="Normal 6 2 6 3 4 2" xfId="13890"/>
    <cellStyle name="Normal 6 2 6 3 4 2 2" xfId="30340"/>
    <cellStyle name="Normal 6 2 6 3 4 3" xfId="22115"/>
    <cellStyle name="Normal 6 2 6 3 4 4" xfId="38569"/>
    <cellStyle name="Normal 6 2 6 3 5" xfId="7310"/>
    <cellStyle name="Normal 6 2 6 3 5 2" xfId="15535"/>
    <cellStyle name="Normal 6 2 6 3 5 2 2" xfId="31985"/>
    <cellStyle name="Normal 6 2 6 3 5 3" xfId="23760"/>
    <cellStyle name="Normal 6 2 6 3 5 4" xfId="40214"/>
    <cellStyle name="Normal 6 2 6 3 6" xfId="8955"/>
    <cellStyle name="Normal 6 2 6 3 6 2" xfId="25405"/>
    <cellStyle name="Normal 6 2 6 3 7" xfId="17179"/>
    <cellStyle name="Normal 6 2 6 3 8" xfId="33633"/>
    <cellStyle name="Normal 6 2 6 3 9" xfId="41860"/>
    <cellStyle name="Normal 6 2 6 4" xfId="915"/>
    <cellStyle name="Normal 6 2 6 4 2" xfId="2610"/>
    <cellStyle name="Normal 6 2 6 4 2 2" xfId="10835"/>
    <cellStyle name="Normal 6 2 6 4 2 2 2" xfId="27285"/>
    <cellStyle name="Normal 6 2 6 4 2 3" xfId="19060"/>
    <cellStyle name="Normal 6 2 6 4 2 4" xfId="35514"/>
    <cellStyle name="Normal 6 2 6 4 3" xfId="4255"/>
    <cellStyle name="Normal 6 2 6 4 3 2" xfId="12480"/>
    <cellStyle name="Normal 6 2 6 4 3 2 2" xfId="28930"/>
    <cellStyle name="Normal 6 2 6 4 3 3" xfId="20705"/>
    <cellStyle name="Normal 6 2 6 4 3 4" xfId="37159"/>
    <cellStyle name="Normal 6 2 6 4 4" xfId="5900"/>
    <cellStyle name="Normal 6 2 6 4 4 2" xfId="14125"/>
    <cellStyle name="Normal 6 2 6 4 4 2 2" xfId="30575"/>
    <cellStyle name="Normal 6 2 6 4 4 3" xfId="22350"/>
    <cellStyle name="Normal 6 2 6 4 4 4" xfId="38804"/>
    <cellStyle name="Normal 6 2 6 4 5" xfId="7545"/>
    <cellStyle name="Normal 6 2 6 4 5 2" xfId="15770"/>
    <cellStyle name="Normal 6 2 6 4 5 2 2" xfId="32220"/>
    <cellStyle name="Normal 6 2 6 4 5 3" xfId="23995"/>
    <cellStyle name="Normal 6 2 6 4 5 4" xfId="40449"/>
    <cellStyle name="Normal 6 2 6 4 6" xfId="9190"/>
    <cellStyle name="Normal 6 2 6 4 6 2" xfId="25640"/>
    <cellStyle name="Normal 6 2 6 4 7" xfId="17414"/>
    <cellStyle name="Normal 6 2 6 4 8" xfId="33868"/>
    <cellStyle name="Normal 6 2 6 4 9" xfId="42095"/>
    <cellStyle name="Normal 6 2 6 5" xfId="1150"/>
    <cellStyle name="Normal 6 2 6 5 2" xfId="2845"/>
    <cellStyle name="Normal 6 2 6 5 2 2" xfId="11070"/>
    <cellStyle name="Normal 6 2 6 5 2 2 2" xfId="27520"/>
    <cellStyle name="Normal 6 2 6 5 2 3" xfId="19295"/>
    <cellStyle name="Normal 6 2 6 5 2 4" xfId="35749"/>
    <cellStyle name="Normal 6 2 6 5 3" xfId="4490"/>
    <cellStyle name="Normal 6 2 6 5 3 2" xfId="12715"/>
    <cellStyle name="Normal 6 2 6 5 3 2 2" xfId="29165"/>
    <cellStyle name="Normal 6 2 6 5 3 3" xfId="20940"/>
    <cellStyle name="Normal 6 2 6 5 3 4" xfId="37394"/>
    <cellStyle name="Normal 6 2 6 5 4" xfId="6135"/>
    <cellStyle name="Normal 6 2 6 5 4 2" xfId="14360"/>
    <cellStyle name="Normal 6 2 6 5 4 2 2" xfId="30810"/>
    <cellStyle name="Normal 6 2 6 5 4 3" xfId="22585"/>
    <cellStyle name="Normal 6 2 6 5 4 4" xfId="39039"/>
    <cellStyle name="Normal 6 2 6 5 5" xfId="7780"/>
    <cellStyle name="Normal 6 2 6 5 5 2" xfId="16005"/>
    <cellStyle name="Normal 6 2 6 5 5 2 2" xfId="32455"/>
    <cellStyle name="Normal 6 2 6 5 5 3" xfId="24230"/>
    <cellStyle name="Normal 6 2 6 5 5 4" xfId="40684"/>
    <cellStyle name="Normal 6 2 6 5 6" xfId="9425"/>
    <cellStyle name="Normal 6 2 6 5 6 2" xfId="25875"/>
    <cellStyle name="Normal 6 2 6 5 7" xfId="17649"/>
    <cellStyle name="Normal 6 2 6 5 8" xfId="34103"/>
    <cellStyle name="Normal 6 2 6 5 9" xfId="42330"/>
    <cellStyle name="Normal 6 2 6 6" xfId="1430"/>
    <cellStyle name="Normal 6 2 6 6 2" xfId="3080"/>
    <cellStyle name="Normal 6 2 6 6 2 2" xfId="11305"/>
    <cellStyle name="Normal 6 2 6 6 2 2 2" xfId="27755"/>
    <cellStyle name="Normal 6 2 6 6 2 3" xfId="19530"/>
    <cellStyle name="Normal 6 2 6 6 2 4" xfId="35984"/>
    <cellStyle name="Normal 6 2 6 6 3" xfId="4725"/>
    <cellStyle name="Normal 6 2 6 6 3 2" xfId="12950"/>
    <cellStyle name="Normal 6 2 6 6 3 2 2" xfId="29400"/>
    <cellStyle name="Normal 6 2 6 6 3 3" xfId="21175"/>
    <cellStyle name="Normal 6 2 6 6 3 4" xfId="37629"/>
    <cellStyle name="Normal 6 2 6 6 4" xfId="6370"/>
    <cellStyle name="Normal 6 2 6 6 4 2" xfId="14595"/>
    <cellStyle name="Normal 6 2 6 6 4 2 2" xfId="31045"/>
    <cellStyle name="Normal 6 2 6 6 4 3" xfId="22820"/>
    <cellStyle name="Normal 6 2 6 6 4 4" xfId="39274"/>
    <cellStyle name="Normal 6 2 6 6 5" xfId="8015"/>
    <cellStyle name="Normal 6 2 6 6 5 2" xfId="16240"/>
    <cellStyle name="Normal 6 2 6 6 5 2 2" xfId="32690"/>
    <cellStyle name="Normal 6 2 6 6 5 3" xfId="24465"/>
    <cellStyle name="Normal 6 2 6 6 5 4" xfId="40919"/>
    <cellStyle name="Normal 6 2 6 6 6" xfId="9660"/>
    <cellStyle name="Normal 6 2 6 6 6 2" xfId="26110"/>
    <cellStyle name="Normal 6 2 6 6 7" xfId="17884"/>
    <cellStyle name="Normal 6 2 6 6 8" xfId="34338"/>
    <cellStyle name="Normal 6 2 6 7" xfId="1665"/>
    <cellStyle name="Normal 6 2 6 7 2" xfId="3315"/>
    <cellStyle name="Normal 6 2 6 7 2 2" xfId="11540"/>
    <cellStyle name="Normal 6 2 6 7 2 2 2" xfId="27990"/>
    <cellStyle name="Normal 6 2 6 7 2 3" xfId="19765"/>
    <cellStyle name="Normal 6 2 6 7 2 4" xfId="36219"/>
    <cellStyle name="Normal 6 2 6 7 3" xfId="4960"/>
    <cellStyle name="Normal 6 2 6 7 3 2" xfId="13185"/>
    <cellStyle name="Normal 6 2 6 7 3 2 2" xfId="29635"/>
    <cellStyle name="Normal 6 2 6 7 3 3" xfId="21410"/>
    <cellStyle name="Normal 6 2 6 7 3 4" xfId="37864"/>
    <cellStyle name="Normal 6 2 6 7 4" xfId="6605"/>
    <cellStyle name="Normal 6 2 6 7 4 2" xfId="14830"/>
    <cellStyle name="Normal 6 2 6 7 4 2 2" xfId="31280"/>
    <cellStyle name="Normal 6 2 6 7 4 3" xfId="23055"/>
    <cellStyle name="Normal 6 2 6 7 4 4" xfId="39509"/>
    <cellStyle name="Normal 6 2 6 7 5" xfId="8250"/>
    <cellStyle name="Normal 6 2 6 7 5 2" xfId="16475"/>
    <cellStyle name="Normal 6 2 6 7 5 2 2" xfId="32925"/>
    <cellStyle name="Normal 6 2 6 7 5 3" xfId="24700"/>
    <cellStyle name="Normal 6 2 6 7 5 4" xfId="41154"/>
    <cellStyle name="Normal 6 2 6 7 6" xfId="9895"/>
    <cellStyle name="Normal 6 2 6 7 6 2" xfId="26345"/>
    <cellStyle name="Normal 6 2 6 7 7" xfId="18119"/>
    <cellStyle name="Normal 6 2 6 7 8" xfId="34573"/>
    <cellStyle name="Normal 6 2 6 8" xfId="1900"/>
    <cellStyle name="Normal 6 2 6 8 2" xfId="10130"/>
    <cellStyle name="Normal 6 2 6 8 2 2" xfId="26580"/>
    <cellStyle name="Normal 6 2 6 8 3" xfId="18354"/>
    <cellStyle name="Normal 6 2 6 8 4" xfId="34808"/>
    <cellStyle name="Normal 6 2 6 9" xfId="3550"/>
    <cellStyle name="Normal 6 2 6 9 2" xfId="11775"/>
    <cellStyle name="Normal 6 2 6 9 2 2" xfId="28225"/>
    <cellStyle name="Normal 6 2 6 9 3" xfId="20000"/>
    <cellStyle name="Normal 6 2 6 9 4" xfId="36454"/>
    <cellStyle name="Normal 6 2 7" xfId="225"/>
    <cellStyle name="Normal 6 2 7 10" xfId="5222"/>
    <cellStyle name="Normal 6 2 7 10 2" xfId="13447"/>
    <cellStyle name="Normal 6 2 7 10 2 2" xfId="29897"/>
    <cellStyle name="Normal 6 2 7 10 3" xfId="21672"/>
    <cellStyle name="Normal 6 2 7 10 4" xfId="38126"/>
    <cellStyle name="Normal 6 2 7 11" xfId="6867"/>
    <cellStyle name="Normal 6 2 7 11 2" xfId="15092"/>
    <cellStyle name="Normal 6 2 7 11 2 2" xfId="31542"/>
    <cellStyle name="Normal 6 2 7 11 3" xfId="23317"/>
    <cellStyle name="Normal 6 2 7 11 4" xfId="39771"/>
    <cellStyle name="Normal 6 2 7 12" xfId="8512"/>
    <cellStyle name="Normal 6 2 7 12 2" xfId="24962"/>
    <cellStyle name="Normal 6 2 7 13" xfId="16736"/>
    <cellStyle name="Normal 6 2 7 14" xfId="33189"/>
    <cellStyle name="Normal 6 2 7 15" xfId="41417"/>
    <cellStyle name="Normal 6 2 7 2" xfId="468"/>
    <cellStyle name="Normal 6 2 7 2 2" xfId="2165"/>
    <cellStyle name="Normal 6 2 7 2 2 2" xfId="10392"/>
    <cellStyle name="Normal 6 2 7 2 2 2 2" xfId="26842"/>
    <cellStyle name="Normal 6 2 7 2 2 3" xfId="18617"/>
    <cellStyle name="Normal 6 2 7 2 2 4" xfId="35071"/>
    <cellStyle name="Normal 6 2 7 2 3" xfId="3812"/>
    <cellStyle name="Normal 6 2 7 2 3 2" xfId="12037"/>
    <cellStyle name="Normal 6 2 7 2 3 2 2" xfId="28487"/>
    <cellStyle name="Normal 6 2 7 2 3 3" xfId="20262"/>
    <cellStyle name="Normal 6 2 7 2 3 4" xfId="36716"/>
    <cellStyle name="Normal 6 2 7 2 4" xfId="5457"/>
    <cellStyle name="Normal 6 2 7 2 4 2" xfId="13682"/>
    <cellStyle name="Normal 6 2 7 2 4 2 2" xfId="30132"/>
    <cellStyle name="Normal 6 2 7 2 4 3" xfId="21907"/>
    <cellStyle name="Normal 6 2 7 2 4 4" xfId="38361"/>
    <cellStyle name="Normal 6 2 7 2 5" xfId="7102"/>
    <cellStyle name="Normal 6 2 7 2 5 2" xfId="15327"/>
    <cellStyle name="Normal 6 2 7 2 5 2 2" xfId="31777"/>
    <cellStyle name="Normal 6 2 7 2 5 3" xfId="23552"/>
    <cellStyle name="Normal 6 2 7 2 5 4" xfId="40006"/>
    <cellStyle name="Normal 6 2 7 2 6" xfId="8747"/>
    <cellStyle name="Normal 6 2 7 2 6 2" xfId="25197"/>
    <cellStyle name="Normal 6 2 7 2 7" xfId="16971"/>
    <cellStyle name="Normal 6 2 7 2 8" xfId="33425"/>
    <cellStyle name="Normal 6 2 7 2 9" xfId="41652"/>
    <cellStyle name="Normal 6 2 7 3" xfId="707"/>
    <cellStyle name="Normal 6 2 7 3 2" xfId="2402"/>
    <cellStyle name="Normal 6 2 7 3 2 2" xfId="10627"/>
    <cellStyle name="Normal 6 2 7 3 2 2 2" xfId="27077"/>
    <cellStyle name="Normal 6 2 7 3 2 3" xfId="18852"/>
    <cellStyle name="Normal 6 2 7 3 2 4" xfId="35306"/>
    <cellStyle name="Normal 6 2 7 3 3" xfId="4047"/>
    <cellStyle name="Normal 6 2 7 3 3 2" xfId="12272"/>
    <cellStyle name="Normal 6 2 7 3 3 2 2" xfId="28722"/>
    <cellStyle name="Normal 6 2 7 3 3 3" xfId="20497"/>
    <cellStyle name="Normal 6 2 7 3 3 4" xfId="36951"/>
    <cellStyle name="Normal 6 2 7 3 4" xfId="5692"/>
    <cellStyle name="Normal 6 2 7 3 4 2" xfId="13917"/>
    <cellStyle name="Normal 6 2 7 3 4 2 2" xfId="30367"/>
    <cellStyle name="Normal 6 2 7 3 4 3" xfId="22142"/>
    <cellStyle name="Normal 6 2 7 3 4 4" xfId="38596"/>
    <cellStyle name="Normal 6 2 7 3 5" xfId="7337"/>
    <cellStyle name="Normal 6 2 7 3 5 2" xfId="15562"/>
    <cellStyle name="Normal 6 2 7 3 5 2 2" xfId="32012"/>
    <cellStyle name="Normal 6 2 7 3 5 3" xfId="23787"/>
    <cellStyle name="Normal 6 2 7 3 5 4" xfId="40241"/>
    <cellStyle name="Normal 6 2 7 3 6" xfId="8982"/>
    <cellStyle name="Normal 6 2 7 3 6 2" xfId="25432"/>
    <cellStyle name="Normal 6 2 7 3 7" xfId="17206"/>
    <cellStyle name="Normal 6 2 7 3 8" xfId="33660"/>
    <cellStyle name="Normal 6 2 7 3 9" xfId="41887"/>
    <cellStyle name="Normal 6 2 7 4" xfId="942"/>
    <cellStyle name="Normal 6 2 7 4 2" xfId="2637"/>
    <cellStyle name="Normal 6 2 7 4 2 2" xfId="10862"/>
    <cellStyle name="Normal 6 2 7 4 2 2 2" xfId="27312"/>
    <cellStyle name="Normal 6 2 7 4 2 3" xfId="19087"/>
    <cellStyle name="Normal 6 2 7 4 2 4" xfId="35541"/>
    <cellStyle name="Normal 6 2 7 4 3" xfId="4282"/>
    <cellStyle name="Normal 6 2 7 4 3 2" xfId="12507"/>
    <cellStyle name="Normal 6 2 7 4 3 2 2" xfId="28957"/>
    <cellStyle name="Normal 6 2 7 4 3 3" xfId="20732"/>
    <cellStyle name="Normal 6 2 7 4 3 4" xfId="37186"/>
    <cellStyle name="Normal 6 2 7 4 4" xfId="5927"/>
    <cellStyle name="Normal 6 2 7 4 4 2" xfId="14152"/>
    <cellStyle name="Normal 6 2 7 4 4 2 2" xfId="30602"/>
    <cellStyle name="Normal 6 2 7 4 4 3" xfId="22377"/>
    <cellStyle name="Normal 6 2 7 4 4 4" xfId="38831"/>
    <cellStyle name="Normal 6 2 7 4 5" xfId="7572"/>
    <cellStyle name="Normal 6 2 7 4 5 2" xfId="15797"/>
    <cellStyle name="Normal 6 2 7 4 5 2 2" xfId="32247"/>
    <cellStyle name="Normal 6 2 7 4 5 3" xfId="24022"/>
    <cellStyle name="Normal 6 2 7 4 5 4" xfId="40476"/>
    <cellStyle name="Normal 6 2 7 4 6" xfId="9217"/>
    <cellStyle name="Normal 6 2 7 4 6 2" xfId="25667"/>
    <cellStyle name="Normal 6 2 7 4 7" xfId="17441"/>
    <cellStyle name="Normal 6 2 7 4 8" xfId="33895"/>
    <cellStyle name="Normal 6 2 7 4 9" xfId="42122"/>
    <cellStyle name="Normal 6 2 7 5" xfId="1177"/>
    <cellStyle name="Normal 6 2 7 5 2" xfId="2872"/>
    <cellStyle name="Normal 6 2 7 5 2 2" xfId="11097"/>
    <cellStyle name="Normal 6 2 7 5 2 2 2" xfId="27547"/>
    <cellStyle name="Normal 6 2 7 5 2 3" xfId="19322"/>
    <cellStyle name="Normal 6 2 7 5 2 4" xfId="35776"/>
    <cellStyle name="Normal 6 2 7 5 3" xfId="4517"/>
    <cellStyle name="Normal 6 2 7 5 3 2" xfId="12742"/>
    <cellStyle name="Normal 6 2 7 5 3 2 2" xfId="29192"/>
    <cellStyle name="Normal 6 2 7 5 3 3" xfId="20967"/>
    <cellStyle name="Normal 6 2 7 5 3 4" xfId="37421"/>
    <cellStyle name="Normal 6 2 7 5 4" xfId="6162"/>
    <cellStyle name="Normal 6 2 7 5 4 2" xfId="14387"/>
    <cellStyle name="Normal 6 2 7 5 4 2 2" xfId="30837"/>
    <cellStyle name="Normal 6 2 7 5 4 3" xfId="22612"/>
    <cellStyle name="Normal 6 2 7 5 4 4" xfId="39066"/>
    <cellStyle name="Normal 6 2 7 5 5" xfId="7807"/>
    <cellStyle name="Normal 6 2 7 5 5 2" xfId="16032"/>
    <cellStyle name="Normal 6 2 7 5 5 2 2" xfId="32482"/>
    <cellStyle name="Normal 6 2 7 5 5 3" xfId="24257"/>
    <cellStyle name="Normal 6 2 7 5 5 4" xfId="40711"/>
    <cellStyle name="Normal 6 2 7 5 6" xfId="9452"/>
    <cellStyle name="Normal 6 2 7 5 6 2" xfId="25902"/>
    <cellStyle name="Normal 6 2 7 5 7" xfId="17676"/>
    <cellStyle name="Normal 6 2 7 5 8" xfId="34130"/>
    <cellStyle name="Normal 6 2 7 5 9" xfId="42357"/>
    <cellStyle name="Normal 6 2 7 6" xfId="1457"/>
    <cellStyle name="Normal 6 2 7 6 2" xfId="3107"/>
    <cellStyle name="Normal 6 2 7 6 2 2" xfId="11332"/>
    <cellStyle name="Normal 6 2 7 6 2 2 2" xfId="27782"/>
    <cellStyle name="Normal 6 2 7 6 2 3" xfId="19557"/>
    <cellStyle name="Normal 6 2 7 6 2 4" xfId="36011"/>
    <cellStyle name="Normal 6 2 7 6 3" xfId="4752"/>
    <cellStyle name="Normal 6 2 7 6 3 2" xfId="12977"/>
    <cellStyle name="Normal 6 2 7 6 3 2 2" xfId="29427"/>
    <cellStyle name="Normal 6 2 7 6 3 3" xfId="21202"/>
    <cellStyle name="Normal 6 2 7 6 3 4" xfId="37656"/>
    <cellStyle name="Normal 6 2 7 6 4" xfId="6397"/>
    <cellStyle name="Normal 6 2 7 6 4 2" xfId="14622"/>
    <cellStyle name="Normal 6 2 7 6 4 2 2" xfId="31072"/>
    <cellStyle name="Normal 6 2 7 6 4 3" xfId="22847"/>
    <cellStyle name="Normal 6 2 7 6 4 4" xfId="39301"/>
    <cellStyle name="Normal 6 2 7 6 5" xfId="8042"/>
    <cellStyle name="Normal 6 2 7 6 5 2" xfId="16267"/>
    <cellStyle name="Normal 6 2 7 6 5 2 2" xfId="32717"/>
    <cellStyle name="Normal 6 2 7 6 5 3" xfId="24492"/>
    <cellStyle name="Normal 6 2 7 6 5 4" xfId="40946"/>
    <cellStyle name="Normal 6 2 7 6 6" xfId="9687"/>
    <cellStyle name="Normal 6 2 7 6 6 2" xfId="26137"/>
    <cellStyle name="Normal 6 2 7 6 7" xfId="17911"/>
    <cellStyle name="Normal 6 2 7 6 8" xfId="34365"/>
    <cellStyle name="Normal 6 2 7 7" xfId="1692"/>
    <cellStyle name="Normal 6 2 7 7 2" xfId="3342"/>
    <cellStyle name="Normal 6 2 7 7 2 2" xfId="11567"/>
    <cellStyle name="Normal 6 2 7 7 2 2 2" xfId="28017"/>
    <cellStyle name="Normal 6 2 7 7 2 3" xfId="19792"/>
    <cellStyle name="Normal 6 2 7 7 2 4" xfId="36246"/>
    <cellStyle name="Normal 6 2 7 7 3" xfId="4987"/>
    <cellStyle name="Normal 6 2 7 7 3 2" xfId="13212"/>
    <cellStyle name="Normal 6 2 7 7 3 2 2" xfId="29662"/>
    <cellStyle name="Normal 6 2 7 7 3 3" xfId="21437"/>
    <cellStyle name="Normal 6 2 7 7 3 4" xfId="37891"/>
    <cellStyle name="Normal 6 2 7 7 4" xfId="6632"/>
    <cellStyle name="Normal 6 2 7 7 4 2" xfId="14857"/>
    <cellStyle name="Normal 6 2 7 7 4 2 2" xfId="31307"/>
    <cellStyle name="Normal 6 2 7 7 4 3" xfId="23082"/>
    <cellStyle name="Normal 6 2 7 7 4 4" xfId="39536"/>
    <cellStyle name="Normal 6 2 7 7 5" xfId="8277"/>
    <cellStyle name="Normal 6 2 7 7 5 2" xfId="16502"/>
    <cellStyle name="Normal 6 2 7 7 5 2 2" xfId="32952"/>
    <cellStyle name="Normal 6 2 7 7 5 3" xfId="24727"/>
    <cellStyle name="Normal 6 2 7 7 5 4" xfId="41181"/>
    <cellStyle name="Normal 6 2 7 7 6" xfId="9922"/>
    <cellStyle name="Normal 6 2 7 7 6 2" xfId="26372"/>
    <cellStyle name="Normal 6 2 7 7 7" xfId="18146"/>
    <cellStyle name="Normal 6 2 7 7 8" xfId="34600"/>
    <cellStyle name="Normal 6 2 7 8" xfId="1927"/>
    <cellStyle name="Normal 6 2 7 8 2" xfId="10157"/>
    <cellStyle name="Normal 6 2 7 8 2 2" xfId="26607"/>
    <cellStyle name="Normal 6 2 7 8 3" xfId="18381"/>
    <cellStyle name="Normal 6 2 7 8 4" xfId="34835"/>
    <cellStyle name="Normal 6 2 7 9" xfId="3577"/>
    <cellStyle name="Normal 6 2 7 9 2" xfId="11802"/>
    <cellStyle name="Normal 6 2 7 9 2 2" xfId="28252"/>
    <cellStyle name="Normal 6 2 7 9 3" xfId="20027"/>
    <cellStyle name="Normal 6 2 7 9 4" xfId="36481"/>
    <cellStyle name="Normal 6 2 8" xfId="254"/>
    <cellStyle name="Normal 6 2 8 10" xfId="5249"/>
    <cellStyle name="Normal 6 2 8 10 2" xfId="13474"/>
    <cellStyle name="Normal 6 2 8 10 2 2" xfId="29924"/>
    <cellStyle name="Normal 6 2 8 10 3" xfId="21699"/>
    <cellStyle name="Normal 6 2 8 10 4" xfId="38153"/>
    <cellStyle name="Normal 6 2 8 11" xfId="6894"/>
    <cellStyle name="Normal 6 2 8 11 2" xfId="15119"/>
    <cellStyle name="Normal 6 2 8 11 2 2" xfId="31569"/>
    <cellStyle name="Normal 6 2 8 11 3" xfId="23344"/>
    <cellStyle name="Normal 6 2 8 11 4" xfId="39798"/>
    <cellStyle name="Normal 6 2 8 12" xfId="8539"/>
    <cellStyle name="Normal 6 2 8 12 2" xfId="24989"/>
    <cellStyle name="Normal 6 2 8 13" xfId="16763"/>
    <cellStyle name="Normal 6 2 8 14" xfId="33216"/>
    <cellStyle name="Normal 6 2 8 15" xfId="41444"/>
    <cellStyle name="Normal 6 2 8 2" xfId="497"/>
    <cellStyle name="Normal 6 2 8 2 2" xfId="2192"/>
    <cellStyle name="Normal 6 2 8 2 2 2" xfId="10419"/>
    <cellStyle name="Normal 6 2 8 2 2 2 2" xfId="26869"/>
    <cellStyle name="Normal 6 2 8 2 2 3" xfId="18644"/>
    <cellStyle name="Normal 6 2 8 2 2 4" xfId="35098"/>
    <cellStyle name="Normal 6 2 8 2 3" xfId="3839"/>
    <cellStyle name="Normal 6 2 8 2 3 2" xfId="12064"/>
    <cellStyle name="Normal 6 2 8 2 3 2 2" xfId="28514"/>
    <cellStyle name="Normal 6 2 8 2 3 3" xfId="20289"/>
    <cellStyle name="Normal 6 2 8 2 3 4" xfId="36743"/>
    <cellStyle name="Normal 6 2 8 2 4" xfId="5484"/>
    <cellStyle name="Normal 6 2 8 2 4 2" xfId="13709"/>
    <cellStyle name="Normal 6 2 8 2 4 2 2" xfId="30159"/>
    <cellStyle name="Normal 6 2 8 2 4 3" xfId="21934"/>
    <cellStyle name="Normal 6 2 8 2 4 4" xfId="38388"/>
    <cellStyle name="Normal 6 2 8 2 5" xfId="7129"/>
    <cellStyle name="Normal 6 2 8 2 5 2" xfId="15354"/>
    <cellStyle name="Normal 6 2 8 2 5 2 2" xfId="31804"/>
    <cellStyle name="Normal 6 2 8 2 5 3" xfId="23579"/>
    <cellStyle name="Normal 6 2 8 2 5 4" xfId="40033"/>
    <cellStyle name="Normal 6 2 8 2 6" xfId="8774"/>
    <cellStyle name="Normal 6 2 8 2 6 2" xfId="25224"/>
    <cellStyle name="Normal 6 2 8 2 7" xfId="16998"/>
    <cellStyle name="Normal 6 2 8 2 8" xfId="33452"/>
    <cellStyle name="Normal 6 2 8 2 9" xfId="41679"/>
    <cellStyle name="Normal 6 2 8 3" xfId="734"/>
    <cellStyle name="Normal 6 2 8 3 2" xfId="2429"/>
    <cellStyle name="Normal 6 2 8 3 2 2" xfId="10654"/>
    <cellStyle name="Normal 6 2 8 3 2 2 2" xfId="27104"/>
    <cellStyle name="Normal 6 2 8 3 2 3" xfId="18879"/>
    <cellStyle name="Normal 6 2 8 3 2 4" xfId="35333"/>
    <cellStyle name="Normal 6 2 8 3 3" xfId="4074"/>
    <cellStyle name="Normal 6 2 8 3 3 2" xfId="12299"/>
    <cellStyle name="Normal 6 2 8 3 3 2 2" xfId="28749"/>
    <cellStyle name="Normal 6 2 8 3 3 3" xfId="20524"/>
    <cellStyle name="Normal 6 2 8 3 3 4" xfId="36978"/>
    <cellStyle name="Normal 6 2 8 3 4" xfId="5719"/>
    <cellStyle name="Normal 6 2 8 3 4 2" xfId="13944"/>
    <cellStyle name="Normal 6 2 8 3 4 2 2" xfId="30394"/>
    <cellStyle name="Normal 6 2 8 3 4 3" xfId="22169"/>
    <cellStyle name="Normal 6 2 8 3 4 4" xfId="38623"/>
    <cellStyle name="Normal 6 2 8 3 5" xfId="7364"/>
    <cellStyle name="Normal 6 2 8 3 5 2" xfId="15589"/>
    <cellStyle name="Normal 6 2 8 3 5 2 2" xfId="32039"/>
    <cellStyle name="Normal 6 2 8 3 5 3" xfId="23814"/>
    <cellStyle name="Normal 6 2 8 3 5 4" xfId="40268"/>
    <cellStyle name="Normal 6 2 8 3 6" xfId="9009"/>
    <cellStyle name="Normal 6 2 8 3 6 2" xfId="25459"/>
    <cellStyle name="Normal 6 2 8 3 7" xfId="17233"/>
    <cellStyle name="Normal 6 2 8 3 8" xfId="33687"/>
    <cellStyle name="Normal 6 2 8 3 9" xfId="41914"/>
    <cellStyle name="Normal 6 2 8 4" xfId="969"/>
    <cellStyle name="Normal 6 2 8 4 2" xfId="2664"/>
    <cellStyle name="Normal 6 2 8 4 2 2" xfId="10889"/>
    <cellStyle name="Normal 6 2 8 4 2 2 2" xfId="27339"/>
    <cellStyle name="Normal 6 2 8 4 2 3" xfId="19114"/>
    <cellStyle name="Normal 6 2 8 4 2 4" xfId="35568"/>
    <cellStyle name="Normal 6 2 8 4 3" xfId="4309"/>
    <cellStyle name="Normal 6 2 8 4 3 2" xfId="12534"/>
    <cellStyle name="Normal 6 2 8 4 3 2 2" xfId="28984"/>
    <cellStyle name="Normal 6 2 8 4 3 3" xfId="20759"/>
    <cellStyle name="Normal 6 2 8 4 3 4" xfId="37213"/>
    <cellStyle name="Normal 6 2 8 4 4" xfId="5954"/>
    <cellStyle name="Normal 6 2 8 4 4 2" xfId="14179"/>
    <cellStyle name="Normal 6 2 8 4 4 2 2" xfId="30629"/>
    <cellStyle name="Normal 6 2 8 4 4 3" xfId="22404"/>
    <cellStyle name="Normal 6 2 8 4 4 4" xfId="38858"/>
    <cellStyle name="Normal 6 2 8 4 5" xfId="7599"/>
    <cellStyle name="Normal 6 2 8 4 5 2" xfId="15824"/>
    <cellStyle name="Normal 6 2 8 4 5 2 2" xfId="32274"/>
    <cellStyle name="Normal 6 2 8 4 5 3" xfId="24049"/>
    <cellStyle name="Normal 6 2 8 4 5 4" xfId="40503"/>
    <cellStyle name="Normal 6 2 8 4 6" xfId="9244"/>
    <cellStyle name="Normal 6 2 8 4 6 2" xfId="25694"/>
    <cellStyle name="Normal 6 2 8 4 7" xfId="17468"/>
    <cellStyle name="Normal 6 2 8 4 8" xfId="33922"/>
    <cellStyle name="Normal 6 2 8 4 9" xfId="42149"/>
    <cellStyle name="Normal 6 2 8 5" xfId="1204"/>
    <cellStyle name="Normal 6 2 8 5 2" xfId="2899"/>
    <cellStyle name="Normal 6 2 8 5 2 2" xfId="11124"/>
    <cellStyle name="Normal 6 2 8 5 2 2 2" xfId="27574"/>
    <cellStyle name="Normal 6 2 8 5 2 3" xfId="19349"/>
    <cellStyle name="Normal 6 2 8 5 2 4" xfId="35803"/>
    <cellStyle name="Normal 6 2 8 5 3" xfId="4544"/>
    <cellStyle name="Normal 6 2 8 5 3 2" xfId="12769"/>
    <cellStyle name="Normal 6 2 8 5 3 2 2" xfId="29219"/>
    <cellStyle name="Normal 6 2 8 5 3 3" xfId="20994"/>
    <cellStyle name="Normal 6 2 8 5 3 4" xfId="37448"/>
    <cellStyle name="Normal 6 2 8 5 4" xfId="6189"/>
    <cellStyle name="Normal 6 2 8 5 4 2" xfId="14414"/>
    <cellStyle name="Normal 6 2 8 5 4 2 2" xfId="30864"/>
    <cellStyle name="Normal 6 2 8 5 4 3" xfId="22639"/>
    <cellStyle name="Normal 6 2 8 5 4 4" xfId="39093"/>
    <cellStyle name="Normal 6 2 8 5 5" xfId="7834"/>
    <cellStyle name="Normal 6 2 8 5 5 2" xfId="16059"/>
    <cellStyle name="Normal 6 2 8 5 5 2 2" xfId="32509"/>
    <cellStyle name="Normal 6 2 8 5 5 3" xfId="24284"/>
    <cellStyle name="Normal 6 2 8 5 5 4" xfId="40738"/>
    <cellStyle name="Normal 6 2 8 5 6" xfId="9479"/>
    <cellStyle name="Normal 6 2 8 5 6 2" xfId="25929"/>
    <cellStyle name="Normal 6 2 8 5 7" xfId="17703"/>
    <cellStyle name="Normal 6 2 8 5 8" xfId="34157"/>
    <cellStyle name="Normal 6 2 8 5 9" xfId="42384"/>
    <cellStyle name="Normal 6 2 8 6" xfId="1484"/>
    <cellStyle name="Normal 6 2 8 6 2" xfId="3134"/>
    <cellStyle name="Normal 6 2 8 6 2 2" xfId="11359"/>
    <cellStyle name="Normal 6 2 8 6 2 2 2" xfId="27809"/>
    <cellStyle name="Normal 6 2 8 6 2 3" xfId="19584"/>
    <cellStyle name="Normal 6 2 8 6 2 4" xfId="36038"/>
    <cellStyle name="Normal 6 2 8 6 3" xfId="4779"/>
    <cellStyle name="Normal 6 2 8 6 3 2" xfId="13004"/>
    <cellStyle name="Normal 6 2 8 6 3 2 2" xfId="29454"/>
    <cellStyle name="Normal 6 2 8 6 3 3" xfId="21229"/>
    <cellStyle name="Normal 6 2 8 6 3 4" xfId="37683"/>
    <cellStyle name="Normal 6 2 8 6 4" xfId="6424"/>
    <cellStyle name="Normal 6 2 8 6 4 2" xfId="14649"/>
    <cellStyle name="Normal 6 2 8 6 4 2 2" xfId="31099"/>
    <cellStyle name="Normal 6 2 8 6 4 3" xfId="22874"/>
    <cellStyle name="Normal 6 2 8 6 4 4" xfId="39328"/>
    <cellStyle name="Normal 6 2 8 6 5" xfId="8069"/>
    <cellStyle name="Normal 6 2 8 6 5 2" xfId="16294"/>
    <cellStyle name="Normal 6 2 8 6 5 2 2" xfId="32744"/>
    <cellStyle name="Normal 6 2 8 6 5 3" xfId="24519"/>
    <cellStyle name="Normal 6 2 8 6 5 4" xfId="40973"/>
    <cellStyle name="Normal 6 2 8 6 6" xfId="9714"/>
    <cellStyle name="Normal 6 2 8 6 6 2" xfId="26164"/>
    <cellStyle name="Normal 6 2 8 6 7" xfId="17938"/>
    <cellStyle name="Normal 6 2 8 6 8" xfId="34392"/>
    <cellStyle name="Normal 6 2 8 7" xfId="1719"/>
    <cellStyle name="Normal 6 2 8 7 2" xfId="3369"/>
    <cellStyle name="Normal 6 2 8 7 2 2" xfId="11594"/>
    <cellStyle name="Normal 6 2 8 7 2 2 2" xfId="28044"/>
    <cellStyle name="Normal 6 2 8 7 2 3" xfId="19819"/>
    <cellStyle name="Normal 6 2 8 7 2 4" xfId="36273"/>
    <cellStyle name="Normal 6 2 8 7 3" xfId="5014"/>
    <cellStyle name="Normal 6 2 8 7 3 2" xfId="13239"/>
    <cellStyle name="Normal 6 2 8 7 3 2 2" xfId="29689"/>
    <cellStyle name="Normal 6 2 8 7 3 3" xfId="21464"/>
    <cellStyle name="Normal 6 2 8 7 3 4" xfId="37918"/>
    <cellStyle name="Normal 6 2 8 7 4" xfId="6659"/>
    <cellStyle name="Normal 6 2 8 7 4 2" xfId="14884"/>
    <cellStyle name="Normal 6 2 8 7 4 2 2" xfId="31334"/>
    <cellStyle name="Normal 6 2 8 7 4 3" xfId="23109"/>
    <cellStyle name="Normal 6 2 8 7 4 4" xfId="39563"/>
    <cellStyle name="Normal 6 2 8 7 5" xfId="8304"/>
    <cellStyle name="Normal 6 2 8 7 5 2" xfId="16529"/>
    <cellStyle name="Normal 6 2 8 7 5 2 2" xfId="32979"/>
    <cellStyle name="Normal 6 2 8 7 5 3" xfId="24754"/>
    <cellStyle name="Normal 6 2 8 7 5 4" xfId="41208"/>
    <cellStyle name="Normal 6 2 8 7 6" xfId="9949"/>
    <cellStyle name="Normal 6 2 8 7 6 2" xfId="26399"/>
    <cellStyle name="Normal 6 2 8 7 7" xfId="18173"/>
    <cellStyle name="Normal 6 2 8 7 8" xfId="34627"/>
    <cellStyle name="Normal 6 2 8 8" xfId="1954"/>
    <cellStyle name="Normal 6 2 8 8 2" xfId="10184"/>
    <cellStyle name="Normal 6 2 8 8 2 2" xfId="26634"/>
    <cellStyle name="Normal 6 2 8 8 3" xfId="18408"/>
    <cellStyle name="Normal 6 2 8 8 4" xfId="34862"/>
    <cellStyle name="Normal 6 2 8 9" xfId="3604"/>
    <cellStyle name="Normal 6 2 8 9 2" xfId="11829"/>
    <cellStyle name="Normal 6 2 8 9 2 2" xfId="28279"/>
    <cellStyle name="Normal 6 2 8 9 3" xfId="20054"/>
    <cellStyle name="Normal 6 2 8 9 4" xfId="36508"/>
    <cellStyle name="Normal 6 2 9" xfId="283"/>
    <cellStyle name="Normal 6 2 9 2" xfId="1984"/>
    <cellStyle name="Normal 6 2 9 2 2" xfId="10211"/>
    <cellStyle name="Normal 6 2 9 2 2 2" xfId="26661"/>
    <cellStyle name="Normal 6 2 9 2 3" xfId="18436"/>
    <cellStyle name="Normal 6 2 9 2 4" xfId="34890"/>
    <cellStyle name="Normal 6 2 9 3" xfId="3631"/>
    <cellStyle name="Normal 6 2 9 3 2" xfId="11856"/>
    <cellStyle name="Normal 6 2 9 3 2 2" xfId="28306"/>
    <cellStyle name="Normal 6 2 9 3 3" xfId="20081"/>
    <cellStyle name="Normal 6 2 9 3 4" xfId="36535"/>
    <cellStyle name="Normal 6 2 9 4" xfId="5276"/>
    <cellStyle name="Normal 6 2 9 4 2" xfId="13501"/>
    <cellStyle name="Normal 6 2 9 4 2 2" xfId="29951"/>
    <cellStyle name="Normal 6 2 9 4 3" xfId="21726"/>
    <cellStyle name="Normal 6 2 9 4 4" xfId="38180"/>
    <cellStyle name="Normal 6 2 9 5" xfId="6921"/>
    <cellStyle name="Normal 6 2 9 5 2" xfId="15146"/>
    <cellStyle name="Normal 6 2 9 5 2 2" xfId="31596"/>
    <cellStyle name="Normal 6 2 9 5 3" xfId="23371"/>
    <cellStyle name="Normal 6 2 9 5 4" xfId="39825"/>
    <cellStyle name="Normal 6 2 9 6" xfId="8566"/>
    <cellStyle name="Normal 6 2 9 6 2" xfId="25016"/>
    <cellStyle name="Normal 6 2 9 7" xfId="16790"/>
    <cellStyle name="Normal 6 2 9 8" xfId="33244"/>
    <cellStyle name="Normal 6 2 9 9" xfId="41471"/>
    <cellStyle name="Normal 6 20" xfId="8324"/>
    <cellStyle name="Normal 6 20 2" xfId="24774"/>
    <cellStyle name="Normal 6 21" xfId="16548"/>
    <cellStyle name="Normal 6 22" xfId="33001"/>
    <cellStyle name="Normal 6 23" xfId="41229"/>
    <cellStyle name="Normal 6 3" xfId="60"/>
    <cellStyle name="Normal 6 3 10" xfId="3414"/>
    <cellStyle name="Normal 6 3 10 2" xfId="11639"/>
    <cellStyle name="Normal 6 3 10 2 2" xfId="28089"/>
    <cellStyle name="Normal 6 3 10 3" xfId="19864"/>
    <cellStyle name="Normal 6 3 10 4" xfId="36318"/>
    <cellStyle name="Normal 6 3 11" xfId="5059"/>
    <cellStyle name="Normal 6 3 11 2" xfId="13284"/>
    <cellStyle name="Normal 6 3 11 2 2" xfId="29734"/>
    <cellStyle name="Normal 6 3 11 3" xfId="21509"/>
    <cellStyle name="Normal 6 3 11 4" xfId="37963"/>
    <cellStyle name="Normal 6 3 12" xfId="6704"/>
    <cellStyle name="Normal 6 3 12 2" xfId="14929"/>
    <cellStyle name="Normal 6 3 12 2 2" xfId="31379"/>
    <cellStyle name="Normal 6 3 12 3" xfId="23154"/>
    <cellStyle name="Normal 6 3 12 4" xfId="39608"/>
    <cellStyle name="Normal 6 3 13" xfId="8349"/>
    <cellStyle name="Normal 6 3 13 2" xfId="24799"/>
    <cellStyle name="Normal 6 3 14" xfId="16573"/>
    <cellStyle name="Normal 6 3 15" xfId="33026"/>
    <cellStyle name="Normal 6 3 16" xfId="41254"/>
    <cellStyle name="Normal 6 3 2" xfId="110"/>
    <cellStyle name="Normal 6 3 2 10" xfId="5109"/>
    <cellStyle name="Normal 6 3 2 10 2" xfId="13334"/>
    <cellStyle name="Normal 6 3 2 10 2 2" xfId="29784"/>
    <cellStyle name="Normal 6 3 2 10 3" xfId="21559"/>
    <cellStyle name="Normal 6 3 2 10 4" xfId="38013"/>
    <cellStyle name="Normal 6 3 2 11" xfId="6754"/>
    <cellStyle name="Normal 6 3 2 11 2" xfId="14979"/>
    <cellStyle name="Normal 6 3 2 11 2 2" xfId="31429"/>
    <cellStyle name="Normal 6 3 2 11 3" xfId="23204"/>
    <cellStyle name="Normal 6 3 2 11 4" xfId="39658"/>
    <cellStyle name="Normal 6 3 2 12" xfId="8399"/>
    <cellStyle name="Normal 6 3 2 12 2" xfId="24849"/>
    <cellStyle name="Normal 6 3 2 13" xfId="16623"/>
    <cellStyle name="Normal 6 3 2 14" xfId="33076"/>
    <cellStyle name="Normal 6 3 2 15" xfId="41304"/>
    <cellStyle name="Normal 6 3 2 2" xfId="353"/>
    <cellStyle name="Normal 6 3 2 2 2" xfId="2052"/>
    <cellStyle name="Normal 6 3 2 2 2 2" xfId="10279"/>
    <cellStyle name="Normal 6 3 2 2 2 2 2" xfId="26729"/>
    <cellStyle name="Normal 6 3 2 2 2 3" xfId="18504"/>
    <cellStyle name="Normal 6 3 2 2 2 4" xfId="34958"/>
    <cellStyle name="Normal 6 3 2 2 3" xfId="3699"/>
    <cellStyle name="Normal 6 3 2 2 3 2" xfId="11924"/>
    <cellStyle name="Normal 6 3 2 2 3 2 2" xfId="28374"/>
    <cellStyle name="Normal 6 3 2 2 3 3" xfId="20149"/>
    <cellStyle name="Normal 6 3 2 2 3 4" xfId="36603"/>
    <cellStyle name="Normal 6 3 2 2 4" xfId="5344"/>
    <cellStyle name="Normal 6 3 2 2 4 2" xfId="13569"/>
    <cellStyle name="Normal 6 3 2 2 4 2 2" xfId="30019"/>
    <cellStyle name="Normal 6 3 2 2 4 3" xfId="21794"/>
    <cellStyle name="Normal 6 3 2 2 4 4" xfId="38248"/>
    <cellStyle name="Normal 6 3 2 2 5" xfId="6989"/>
    <cellStyle name="Normal 6 3 2 2 5 2" xfId="15214"/>
    <cellStyle name="Normal 6 3 2 2 5 2 2" xfId="31664"/>
    <cellStyle name="Normal 6 3 2 2 5 3" xfId="23439"/>
    <cellStyle name="Normal 6 3 2 2 5 4" xfId="39893"/>
    <cellStyle name="Normal 6 3 2 2 6" xfId="8634"/>
    <cellStyle name="Normal 6 3 2 2 6 2" xfId="25084"/>
    <cellStyle name="Normal 6 3 2 2 7" xfId="16858"/>
    <cellStyle name="Normal 6 3 2 2 8" xfId="33312"/>
    <cellStyle name="Normal 6 3 2 2 9" xfId="41539"/>
    <cellStyle name="Normal 6 3 2 3" xfId="594"/>
    <cellStyle name="Normal 6 3 2 3 2" xfId="2289"/>
    <cellStyle name="Normal 6 3 2 3 2 2" xfId="10514"/>
    <cellStyle name="Normal 6 3 2 3 2 2 2" xfId="26964"/>
    <cellStyle name="Normal 6 3 2 3 2 3" xfId="18739"/>
    <cellStyle name="Normal 6 3 2 3 2 4" xfId="35193"/>
    <cellStyle name="Normal 6 3 2 3 3" xfId="3934"/>
    <cellStyle name="Normal 6 3 2 3 3 2" xfId="12159"/>
    <cellStyle name="Normal 6 3 2 3 3 2 2" xfId="28609"/>
    <cellStyle name="Normal 6 3 2 3 3 3" xfId="20384"/>
    <cellStyle name="Normal 6 3 2 3 3 4" xfId="36838"/>
    <cellStyle name="Normal 6 3 2 3 4" xfId="5579"/>
    <cellStyle name="Normal 6 3 2 3 4 2" xfId="13804"/>
    <cellStyle name="Normal 6 3 2 3 4 2 2" xfId="30254"/>
    <cellStyle name="Normal 6 3 2 3 4 3" xfId="22029"/>
    <cellStyle name="Normal 6 3 2 3 4 4" xfId="38483"/>
    <cellStyle name="Normal 6 3 2 3 5" xfId="7224"/>
    <cellStyle name="Normal 6 3 2 3 5 2" xfId="15449"/>
    <cellStyle name="Normal 6 3 2 3 5 2 2" xfId="31899"/>
    <cellStyle name="Normal 6 3 2 3 5 3" xfId="23674"/>
    <cellStyle name="Normal 6 3 2 3 5 4" xfId="40128"/>
    <cellStyle name="Normal 6 3 2 3 6" xfId="8869"/>
    <cellStyle name="Normal 6 3 2 3 6 2" xfId="25319"/>
    <cellStyle name="Normal 6 3 2 3 7" xfId="17093"/>
    <cellStyle name="Normal 6 3 2 3 8" xfId="33547"/>
    <cellStyle name="Normal 6 3 2 3 9" xfId="41774"/>
    <cellStyle name="Normal 6 3 2 4" xfId="829"/>
    <cellStyle name="Normal 6 3 2 4 2" xfId="2524"/>
    <cellStyle name="Normal 6 3 2 4 2 2" xfId="10749"/>
    <cellStyle name="Normal 6 3 2 4 2 2 2" xfId="27199"/>
    <cellStyle name="Normal 6 3 2 4 2 3" xfId="18974"/>
    <cellStyle name="Normal 6 3 2 4 2 4" xfId="35428"/>
    <cellStyle name="Normal 6 3 2 4 3" xfId="4169"/>
    <cellStyle name="Normal 6 3 2 4 3 2" xfId="12394"/>
    <cellStyle name="Normal 6 3 2 4 3 2 2" xfId="28844"/>
    <cellStyle name="Normal 6 3 2 4 3 3" xfId="20619"/>
    <cellStyle name="Normal 6 3 2 4 3 4" xfId="37073"/>
    <cellStyle name="Normal 6 3 2 4 4" xfId="5814"/>
    <cellStyle name="Normal 6 3 2 4 4 2" xfId="14039"/>
    <cellStyle name="Normal 6 3 2 4 4 2 2" xfId="30489"/>
    <cellStyle name="Normal 6 3 2 4 4 3" xfId="22264"/>
    <cellStyle name="Normal 6 3 2 4 4 4" xfId="38718"/>
    <cellStyle name="Normal 6 3 2 4 5" xfId="7459"/>
    <cellStyle name="Normal 6 3 2 4 5 2" xfId="15684"/>
    <cellStyle name="Normal 6 3 2 4 5 2 2" xfId="32134"/>
    <cellStyle name="Normal 6 3 2 4 5 3" xfId="23909"/>
    <cellStyle name="Normal 6 3 2 4 5 4" xfId="40363"/>
    <cellStyle name="Normal 6 3 2 4 6" xfId="9104"/>
    <cellStyle name="Normal 6 3 2 4 6 2" xfId="25554"/>
    <cellStyle name="Normal 6 3 2 4 7" xfId="17328"/>
    <cellStyle name="Normal 6 3 2 4 8" xfId="33782"/>
    <cellStyle name="Normal 6 3 2 4 9" xfId="42009"/>
    <cellStyle name="Normal 6 3 2 5" xfId="1064"/>
    <cellStyle name="Normal 6 3 2 5 2" xfId="2759"/>
    <cellStyle name="Normal 6 3 2 5 2 2" xfId="10984"/>
    <cellStyle name="Normal 6 3 2 5 2 2 2" xfId="27434"/>
    <cellStyle name="Normal 6 3 2 5 2 3" xfId="19209"/>
    <cellStyle name="Normal 6 3 2 5 2 4" xfId="35663"/>
    <cellStyle name="Normal 6 3 2 5 3" xfId="4404"/>
    <cellStyle name="Normal 6 3 2 5 3 2" xfId="12629"/>
    <cellStyle name="Normal 6 3 2 5 3 2 2" xfId="29079"/>
    <cellStyle name="Normal 6 3 2 5 3 3" xfId="20854"/>
    <cellStyle name="Normal 6 3 2 5 3 4" xfId="37308"/>
    <cellStyle name="Normal 6 3 2 5 4" xfId="6049"/>
    <cellStyle name="Normal 6 3 2 5 4 2" xfId="14274"/>
    <cellStyle name="Normal 6 3 2 5 4 2 2" xfId="30724"/>
    <cellStyle name="Normal 6 3 2 5 4 3" xfId="22499"/>
    <cellStyle name="Normal 6 3 2 5 4 4" xfId="38953"/>
    <cellStyle name="Normal 6 3 2 5 5" xfId="7694"/>
    <cellStyle name="Normal 6 3 2 5 5 2" xfId="15919"/>
    <cellStyle name="Normal 6 3 2 5 5 2 2" xfId="32369"/>
    <cellStyle name="Normal 6 3 2 5 5 3" xfId="24144"/>
    <cellStyle name="Normal 6 3 2 5 5 4" xfId="40598"/>
    <cellStyle name="Normal 6 3 2 5 6" xfId="9339"/>
    <cellStyle name="Normal 6 3 2 5 6 2" xfId="25789"/>
    <cellStyle name="Normal 6 3 2 5 7" xfId="17563"/>
    <cellStyle name="Normal 6 3 2 5 8" xfId="34017"/>
    <cellStyle name="Normal 6 3 2 5 9" xfId="42244"/>
    <cellStyle name="Normal 6 3 2 6" xfId="1344"/>
    <cellStyle name="Normal 6 3 2 6 2" xfId="2994"/>
    <cellStyle name="Normal 6 3 2 6 2 2" xfId="11219"/>
    <cellStyle name="Normal 6 3 2 6 2 2 2" xfId="27669"/>
    <cellStyle name="Normal 6 3 2 6 2 3" xfId="19444"/>
    <cellStyle name="Normal 6 3 2 6 2 4" xfId="35898"/>
    <cellStyle name="Normal 6 3 2 6 3" xfId="4639"/>
    <cellStyle name="Normal 6 3 2 6 3 2" xfId="12864"/>
    <cellStyle name="Normal 6 3 2 6 3 2 2" xfId="29314"/>
    <cellStyle name="Normal 6 3 2 6 3 3" xfId="21089"/>
    <cellStyle name="Normal 6 3 2 6 3 4" xfId="37543"/>
    <cellStyle name="Normal 6 3 2 6 4" xfId="6284"/>
    <cellStyle name="Normal 6 3 2 6 4 2" xfId="14509"/>
    <cellStyle name="Normal 6 3 2 6 4 2 2" xfId="30959"/>
    <cellStyle name="Normal 6 3 2 6 4 3" xfId="22734"/>
    <cellStyle name="Normal 6 3 2 6 4 4" xfId="39188"/>
    <cellStyle name="Normal 6 3 2 6 5" xfId="7929"/>
    <cellStyle name="Normal 6 3 2 6 5 2" xfId="16154"/>
    <cellStyle name="Normal 6 3 2 6 5 2 2" xfId="32604"/>
    <cellStyle name="Normal 6 3 2 6 5 3" xfId="24379"/>
    <cellStyle name="Normal 6 3 2 6 5 4" xfId="40833"/>
    <cellStyle name="Normal 6 3 2 6 6" xfId="9574"/>
    <cellStyle name="Normal 6 3 2 6 6 2" xfId="26024"/>
    <cellStyle name="Normal 6 3 2 6 7" xfId="17798"/>
    <cellStyle name="Normal 6 3 2 6 8" xfId="34252"/>
    <cellStyle name="Normal 6 3 2 7" xfId="1579"/>
    <cellStyle name="Normal 6 3 2 7 2" xfId="3229"/>
    <cellStyle name="Normal 6 3 2 7 2 2" xfId="11454"/>
    <cellStyle name="Normal 6 3 2 7 2 2 2" xfId="27904"/>
    <cellStyle name="Normal 6 3 2 7 2 3" xfId="19679"/>
    <cellStyle name="Normal 6 3 2 7 2 4" xfId="36133"/>
    <cellStyle name="Normal 6 3 2 7 3" xfId="4874"/>
    <cellStyle name="Normal 6 3 2 7 3 2" xfId="13099"/>
    <cellStyle name="Normal 6 3 2 7 3 2 2" xfId="29549"/>
    <cellStyle name="Normal 6 3 2 7 3 3" xfId="21324"/>
    <cellStyle name="Normal 6 3 2 7 3 4" xfId="37778"/>
    <cellStyle name="Normal 6 3 2 7 4" xfId="6519"/>
    <cellStyle name="Normal 6 3 2 7 4 2" xfId="14744"/>
    <cellStyle name="Normal 6 3 2 7 4 2 2" xfId="31194"/>
    <cellStyle name="Normal 6 3 2 7 4 3" xfId="22969"/>
    <cellStyle name="Normal 6 3 2 7 4 4" xfId="39423"/>
    <cellStyle name="Normal 6 3 2 7 5" xfId="8164"/>
    <cellStyle name="Normal 6 3 2 7 5 2" xfId="16389"/>
    <cellStyle name="Normal 6 3 2 7 5 2 2" xfId="32839"/>
    <cellStyle name="Normal 6 3 2 7 5 3" xfId="24614"/>
    <cellStyle name="Normal 6 3 2 7 5 4" xfId="41068"/>
    <cellStyle name="Normal 6 3 2 7 6" xfId="9809"/>
    <cellStyle name="Normal 6 3 2 7 6 2" xfId="26259"/>
    <cellStyle name="Normal 6 3 2 7 7" xfId="18033"/>
    <cellStyle name="Normal 6 3 2 7 8" xfId="34487"/>
    <cellStyle name="Normal 6 3 2 8" xfId="1814"/>
    <cellStyle name="Normal 6 3 2 8 2" xfId="10044"/>
    <cellStyle name="Normal 6 3 2 8 2 2" xfId="26494"/>
    <cellStyle name="Normal 6 3 2 8 3" xfId="18268"/>
    <cellStyle name="Normal 6 3 2 8 4" xfId="34722"/>
    <cellStyle name="Normal 6 3 2 9" xfId="3464"/>
    <cellStyle name="Normal 6 3 2 9 2" xfId="11689"/>
    <cellStyle name="Normal 6 3 2 9 2 2" xfId="28139"/>
    <cellStyle name="Normal 6 3 2 9 3" xfId="19914"/>
    <cellStyle name="Normal 6 3 2 9 4" xfId="36368"/>
    <cellStyle name="Normal 6 3 3" xfId="303"/>
    <cellStyle name="Normal 6 3 3 2" xfId="2002"/>
    <cellStyle name="Normal 6 3 3 2 2" xfId="10229"/>
    <cellStyle name="Normal 6 3 3 2 2 2" xfId="26679"/>
    <cellStyle name="Normal 6 3 3 2 3" xfId="18454"/>
    <cellStyle name="Normal 6 3 3 2 4" xfId="34908"/>
    <cellStyle name="Normal 6 3 3 3" xfId="3649"/>
    <cellStyle name="Normal 6 3 3 3 2" xfId="11874"/>
    <cellStyle name="Normal 6 3 3 3 2 2" xfId="28324"/>
    <cellStyle name="Normal 6 3 3 3 3" xfId="20099"/>
    <cellStyle name="Normal 6 3 3 3 4" xfId="36553"/>
    <cellStyle name="Normal 6 3 3 4" xfId="5294"/>
    <cellStyle name="Normal 6 3 3 4 2" xfId="13519"/>
    <cellStyle name="Normal 6 3 3 4 2 2" xfId="29969"/>
    <cellStyle name="Normal 6 3 3 4 3" xfId="21744"/>
    <cellStyle name="Normal 6 3 3 4 4" xfId="38198"/>
    <cellStyle name="Normal 6 3 3 5" xfId="6939"/>
    <cellStyle name="Normal 6 3 3 5 2" xfId="15164"/>
    <cellStyle name="Normal 6 3 3 5 2 2" xfId="31614"/>
    <cellStyle name="Normal 6 3 3 5 3" xfId="23389"/>
    <cellStyle name="Normal 6 3 3 5 4" xfId="39843"/>
    <cellStyle name="Normal 6 3 3 6" xfId="8584"/>
    <cellStyle name="Normal 6 3 3 6 2" xfId="25034"/>
    <cellStyle name="Normal 6 3 3 7" xfId="16808"/>
    <cellStyle name="Normal 6 3 3 8" xfId="33262"/>
    <cellStyle name="Normal 6 3 3 9" xfId="41489"/>
    <cellStyle name="Normal 6 3 4" xfId="544"/>
    <cellStyle name="Normal 6 3 4 2" xfId="2239"/>
    <cellStyle name="Normal 6 3 4 2 2" xfId="10464"/>
    <cellStyle name="Normal 6 3 4 2 2 2" xfId="26914"/>
    <cellStyle name="Normal 6 3 4 2 3" xfId="18689"/>
    <cellStyle name="Normal 6 3 4 2 4" xfId="35143"/>
    <cellStyle name="Normal 6 3 4 3" xfId="3884"/>
    <cellStyle name="Normal 6 3 4 3 2" xfId="12109"/>
    <cellStyle name="Normal 6 3 4 3 2 2" xfId="28559"/>
    <cellStyle name="Normal 6 3 4 3 3" xfId="20334"/>
    <cellStyle name="Normal 6 3 4 3 4" xfId="36788"/>
    <cellStyle name="Normal 6 3 4 4" xfId="5529"/>
    <cellStyle name="Normal 6 3 4 4 2" xfId="13754"/>
    <cellStyle name="Normal 6 3 4 4 2 2" xfId="30204"/>
    <cellStyle name="Normal 6 3 4 4 3" xfId="21979"/>
    <cellStyle name="Normal 6 3 4 4 4" xfId="38433"/>
    <cellStyle name="Normal 6 3 4 5" xfId="7174"/>
    <cellStyle name="Normal 6 3 4 5 2" xfId="15399"/>
    <cellStyle name="Normal 6 3 4 5 2 2" xfId="31849"/>
    <cellStyle name="Normal 6 3 4 5 3" xfId="23624"/>
    <cellStyle name="Normal 6 3 4 5 4" xfId="40078"/>
    <cellStyle name="Normal 6 3 4 6" xfId="8819"/>
    <cellStyle name="Normal 6 3 4 6 2" xfId="25269"/>
    <cellStyle name="Normal 6 3 4 7" xfId="17043"/>
    <cellStyle name="Normal 6 3 4 8" xfId="33497"/>
    <cellStyle name="Normal 6 3 4 9" xfId="41724"/>
    <cellStyle name="Normal 6 3 5" xfId="779"/>
    <cellStyle name="Normal 6 3 5 2" xfId="2474"/>
    <cellStyle name="Normal 6 3 5 2 2" xfId="10699"/>
    <cellStyle name="Normal 6 3 5 2 2 2" xfId="27149"/>
    <cellStyle name="Normal 6 3 5 2 3" xfId="18924"/>
    <cellStyle name="Normal 6 3 5 2 4" xfId="35378"/>
    <cellStyle name="Normal 6 3 5 3" xfId="4119"/>
    <cellStyle name="Normal 6 3 5 3 2" xfId="12344"/>
    <cellStyle name="Normal 6 3 5 3 2 2" xfId="28794"/>
    <cellStyle name="Normal 6 3 5 3 3" xfId="20569"/>
    <cellStyle name="Normal 6 3 5 3 4" xfId="37023"/>
    <cellStyle name="Normal 6 3 5 4" xfId="5764"/>
    <cellStyle name="Normal 6 3 5 4 2" xfId="13989"/>
    <cellStyle name="Normal 6 3 5 4 2 2" xfId="30439"/>
    <cellStyle name="Normal 6 3 5 4 3" xfId="22214"/>
    <cellStyle name="Normal 6 3 5 4 4" xfId="38668"/>
    <cellStyle name="Normal 6 3 5 5" xfId="7409"/>
    <cellStyle name="Normal 6 3 5 5 2" xfId="15634"/>
    <cellStyle name="Normal 6 3 5 5 2 2" xfId="32084"/>
    <cellStyle name="Normal 6 3 5 5 3" xfId="23859"/>
    <cellStyle name="Normal 6 3 5 5 4" xfId="40313"/>
    <cellStyle name="Normal 6 3 5 6" xfId="9054"/>
    <cellStyle name="Normal 6 3 5 6 2" xfId="25504"/>
    <cellStyle name="Normal 6 3 5 7" xfId="17278"/>
    <cellStyle name="Normal 6 3 5 8" xfId="33732"/>
    <cellStyle name="Normal 6 3 5 9" xfId="41959"/>
    <cellStyle name="Normal 6 3 6" xfId="1014"/>
    <cellStyle name="Normal 6 3 6 2" xfId="2709"/>
    <cellStyle name="Normal 6 3 6 2 2" xfId="10934"/>
    <cellStyle name="Normal 6 3 6 2 2 2" xfId="27384"/>
    <cellStyle name="Normal 6 3 6 2 3" xfId="19159"/>
    <cellStyle name="Normal 6 3 6 2 4" xfId="35613"/>
    <cellStyle name="Normal 6 3 6 3" xfId="4354"/>
    <cellStyle name="Normal 6 3 6 3 2" xfId="12579"/>
    <cellStyle name="Normal 6 3 6 3 2 2" xfId="29029"/>
    <cellStyle name="Normal 6 3 6 3 3" xfId="20804"/>
    <cellStyle name="Normal 6 3 6 3 4" xfId="37258"/>
    <cellStyle name="Normal 6 3 6 4" xfId="5999"/>
    <cellStyle name="Normal 6 3 6 4 2" xfId="14224"/>
    <cellStyle name="Normal 6 3 6 4 2 2" xfId="30674"/>
    <cellStyle name="Normal 6 3 6 4 3" xfId="22449"/>
    <cellStyle name="Normal 6 3 6 4 4" xfId="38903"/>
    <cellStyle name="Normal 6 3 6 5" xfId="7644"/>
    <cellStyle name="Normal 6 3 6 5 2" xfId="15869"/>
    <cellStyle name="Normal 6 3 6 5 2 2" xfId="32319"/>
    <cellStyle name="Normal 6 3 6 5 3" xfId="24094"/>
    <cellStyle name="Normal 6 3 6 5 4" xfId="40548"/>
    <cellStyle name="Normal 6 3 6 6" xfId="9289"/>
    <cellStyle name="Normal 6 3 6 6 2" xfId="25739"/>
    <cellStyle name="Normal 6 3 6 7" xfId="17513"/>
    <cellStyle name="Normal 6 3 6 8" xfId="33967"/>
    <cellStyle name="Normal 6 3 6 9" xfId="42194"/>
    <cellStyle name="Normal 6 3 7" xfId="1294"/>
    <cellStyle name="Normal 6 3 7 2" xfId="2944"/>
    <cellStyle name="Normal 6 3 7 2 2" xfId="11169"/>
    <cellStyle name="Normal 6 3 7 2 2 2" xfId="27619"/>
    <cellStyle name="Normal 6 3 7 2 3" xfId="19394"/>
    <cellStyle name="Normal 6 3 7 2 4" xfId="35848"/>
    <cellStyle name="Normal 6 3 7 3" xfId="4589"/>
    <cellStyle name="Normal 6 3 7 3 2" xfId="12814"/>
    <cellStyle name="Normal 6 3 7 3 2 2" xfId="29264"/>
    <cellStyle name="Normal 6 3 7 3 3" xfId="21039"/>
    <cellStyle name="Normal 6 3 7 3 4" xfId="37493"/>
    <cellStyle name="Normal 6 3 7 4" xfId="6234"/>
    <cellStyle name="Normal 6 3 7 4 2" xfId="14459"/>
    <cellStyle name="Normal 6 3 7 4 2 2" xfId="30909"/>
    <cellStyle name="Normal 6 3 7 4 3" xfId="22684"/>
    <cellStyle name="Normal 6 3 7 4 4" xfId="39138"/>
    <cellStyle name="Normal 6 3 7 5" xfId="7879"/>
    <cellStyle name="Normal 6 3 7 5 2" xfId="16104"/>
    <cellStyle name="Normal 6 3 7 5 2 2" xfId="32554"/>
    <cellStyle name="Normal 6 3 7 5 3" xfId="24329"/>
    <cellStyle name="Normal 6 3 7 5 4" xfId="40783"/>
    <cellStyle name="Normal 6 3 7 6" xfId="9524"/>
    <cellStyle name="Normal 6 3 7 6 2" xfId="25974"/>
    <cellStyle name="Normal 6 3 7 7" xfId="17748"/>
    <cellStyle name="Normal 6 3 7 8" xfId="34202"/>
    <cellStyle name="Normal 6 3 8" xfId="1529"/>
    <cellStyle name="Normal 6 3 8 2" xfId="3179"/>
    <cellStyle name="Normal 6 3 8 2 2" xfId="11404"/>
    <cellStyle name="Normal 6 3 8 2 2 2" xfId="27854"/>
    <cellStyle name="Normal 6 3 8 2 3" xfId="19629"/>
    <cellStyle name="Normal 6 3 8 2 4" xfId="36083"/>
    <cellStyle name="Normal 6 3 8 3" xfId="4824"/>
    <cellStyle name="Normal 6 3 8 3 2" xfId="13049"/>
    <cellStyle name="Normal 6 3 8 3 2 2" xfId="29499"/>
    <cellStyle name="Normal 6 3 8 3 3" xfId="21274"/>
    <cellStyle name="Normal 6 3 8 3 4" xfId="37728"/>
    <cellStyle name="Normal 6 3 8 4" xfId="6469"/>
    <cellStyle name="Normal 6 3 8 4 2" xfId="14694"/>
    <cellStyle name="Normal 6 3 8 4 2 2" xfId="31144"/>
    <cellStyle name="Normal 6 3 8 4 3" xfId="22919"/>
    <cellStyle name="Normal 6 3 8 4 4" xfId="39373"/>
    <cellStyle name="Normal 6 3 8 5" xfId="8114"/>
    <cellStyle name="Normal 6 3 8 5 2" xfId="16339"/>
    <cellStyle name="Normal 6 3 8 5 2 2" xfId="32789"/>
    <cellStyle name="Normal 6 3 8 5 3" xfId="24564"/>
    <cellStyle name="Normal 6 3 8 5 4" xfId="41018"/>
    <cellStyle name="Normal 6 3 8 6" xfId="9759"/>
    <cellStyle name="Normal 6 3 8 6 2" xfId="26209"/>
    <cellStyle name="Normal 6 3 8 7" xfId="17983"/>
    <cellStyle name="Normal 6 3 8 8" xfId="34437"/>
    <cellStyle name="Normal 6 3 9" xfId="1764"/>
    <cellStyle name="Normal 6 3 9 2" xfId="9994"/>
    <cellStyle name="Normal 6 3 9 2 2" xfId="26444"/>
    <cellStyle name="Normal 6 3 9 3" xfId="18218"/>
    <cellStyle name="Normal 6 3 9 4" xfId="34672"/>
    <cellStyle name="Normal 6 4" xfId="85"/>
    <cellStyle name="Normal 6 4 10" xfId="5084"/>
    <cellStyle name="Normal 6 4 10 2" xfId="13309"/>
    <cellStyle name="Normal 6 4 10 2 2" xfId="29759"/>
    <cellStyle name="Normal 6 4 10 3" xfId="21534"/>
    <cellStyle name="Normal 6 4 10 4" xfId="37988"/>
    <cellStyle name="Normal 6 4 11" xfId="6729"/>
    <cellStyle name="Normal 6 4 11 2" xfId="14954"/>
    <cellStyle name="Normal 6 4 11 2 2" xfId="31404"/>
    <cellStyle name="Normal 6 4 11 3" xfId="23179"/>
    <cellStyle name="Normal 6 4 11 4" xfId="39633"/>
    <cellStyle name="Normal 6 4 12" xfId="8374"/>
    <cellStyle name="Normal 6 4 12 2" xfId="24824"/>
    <cellStyle name="Normal 6 4 13" xfId="16598"/>
    <cellStyle name="Normal 6 4 14" xfId="33051"/>
    <cellStyle name="Normal 6 4 15" xfId="41279"/>
    <cellStyle name="Normal 6 4 2" xfId="328"/>
    <cellStyle name="Normal 6 4 2 2" xfId="2027"/>
    <cellStyle name="Normal 6 4 2 2 2" xfId="10254"/>
    <cellStyle name="Normal 6 4 2 2 2 2" xfId="26704"/>
    <cellStyle name="Normal 6 4 2 2 3" xfId="18479"/>
    <cellStyle name="Normal 6 4 2 2 4" xfId="34933"/>
    <cellStyle name="Normal 6 4 2 3" xfId="3674"/>
    <cellStyle name="Normal 6 4 2 3 2" xfId="11899"/>
    <cellStyle name="Normal 6 4 2 3 2 2" xfId="28349"/>
    <cellStyle name="Normal 6 4 2 3 3" xfId="20124"/>
    <cellStyle name="Normal 6 4 2 3 4" xfId="36578"/>
    <cellStyle name="Normal 6 4 2 4" xfId="5319"/>
    <cellStyle name="Normal 6 4 2 4 2" xfId="13544"/>
    <cellStyle name="Normal 6 4 2 4 2 2" xfId="29994"/>
    <cellStyle name="Normal 6 4 2 4 3" xfId="21769"/>
    <cellStyle name="Normal 6 4 2 4 4" xfId="38223"/>
    <cellStyle name="Normal 6 4 2 5" xfId="6964"/>
    <cellStyle name="Normal 6 4 2 5 2" xfId="15189"/>
    <cellStyle name="Normal 6 4 2 5 2 2" xfId="31639"/>
    <cellStyle name="Normal 6 4 2 5 3" xfId="23414"/>
    <cellStyle name="Normal 6 4 2 5 4" xfId="39868"/>
    <cellStyle name="Normal 6 4 2 6" xfId="8609"/>
    <cellStyle name="Normal 6 4 2 6 2" xfId="25059"/>
    <cellStyle name="Normal 6 4 2 7" xfId="16833"/>
    <cellStyle name="Normal 6 4 2 8" xfId="33287"/>
    <cellStyle name="Normal 6 4 2 9" xfId="41514"/>
    <cellStyle name="Normal 6 4 3" xfId="569"/>
    <cellStyle name="Normal 6 4 3 2" xfId="2264"/>
    <cellStyle name="Normal 6 4 3 2 2" xfId="10489"/>
    <cellStyle name="Normal 6 4 3 2 2 2" xfId="26939"/>
    <cellStyle name="Normal 6 4 3 2 3" xfId="18714"/>
    <cellStyle name="Normal 6 4 3 2 4" xfId="35168"/>
    <cellStyle name="Normal 6 4 3 3" xfId="3909"/>
    <cellStyle name="Normal 6 4 3 3 2" xfId="12134"/>
    <cellStyle name="Normal 6 4 3 3 2 2" xfId="28584"/>
    <cellStyle name="Normal 6 4 3 3 3" xfId="20359"/>
    <cellStyle name="Normal 6 4 3 3 4" xfId="36813"/>
    <cellStyle name="Normal 6 4 3 4" xfId="5554"/>
    <cellStyle name="Normal 6 4 3 4 2" xfId="13779"/>
    <cellStyle name="Normal 6 4 3 4 2 2" xfId="30229"/>
    <cellStyle name="Normal 6 4 3 4 3" xfId="22004"/>
    <cellStyle name="Normal 6 4 3 4 4" xfId="38458"/>
    <cellStyle name="Normal 6 4 3 5" xfId="7199"/>
    <cellStyle name="Normal 6 4 3 5 2" xfId="15424"/>
    <cellStyle name="Normal 6 4 3 5 2 2" xfId="31874"/>
    <cellStyle name="Normal 6 4 3 5 3" xfId="23649"/>
    <cellStyle name="Normal 6 4 3 5 4" xfId="40103"/>
    <cellStyle name="Normal 6 4 3 6" xfId="8844"/>
    <cellStyle name="Normal 6 4 3 6 2" xfId="25294"/>
    <cellStyle name="Normal 6 4 3 7" xfId="17068"/>
    <cellStyle name="Normal 6 4 3 8" xfId="33522"/>
    <cellStyle name="Normal 6 4 3 9" xfId="41749"/>
    <cellStyle name="Normal 6 4 4" xfId="804"/>
    <cellStyle name="Normal 6 4 4 2" xfId="2499"/>
    <cellStyle name="Normal 6 4 4 2 2" xfId="10724"/>
    <cellStyle name="Normal 6 4 4 2 2 2" xfId="27174"/>
    <cellStyle name="Normal 6 4 4 2 3" xfId="18949"/>
    <cellStyle name="Normal 6 4 4 2 4" xfId="35403"/>
    <cellStyle name="Normal 6 4 4 3" xfId="4144"/>
    <cellStyle name="Normal 6 4 4 3 2" xfId="12369"/>
    <cellStyle name="Normal 6 4 4 3 2 2" xfId="28819"/>
    <cellStyle name="Normal 6 4 4 3 3" xfId="20594"/>
    <cellStyle name="Normal 6 4 4 3 4" xfId="37048"/>
    <cellStyle name="Normal 6 4 4 4" xfId="5789"/>
    <cellStyle name="Normal 6 4 4 4 2" xfId="14014"/>
    <cellStyle name="Normal 6 4 4 4 2 2" xfId="30464"/>
    <cellStyle name="Normal 6 4 4 4 3" xfId="22239"/>
    <cellStyle name="Normal 6 4 4 4 4" xfId="38693"/>
    <cellStyle name="Normal 6 4 4 5" xfId="7434"/>
    <cellStyle name="Normal 6 4 4 5 2" xfId="15659"/>
    <cellStyle name="Normal 6 4 4 5 2 2" xfId="32109"/>
    <cellStyle name="Normal 6 4 4 5 3" xfId="23884"/>
    <cellStyle name="Normal 6 4 4 5 4" xfId="40338"/>
    <cellStyle name="Normal 6 4 4 6" xfId="9079"/>
    <cellStyle name="Normal 6 4 4 6 2" xfId="25529"/>
    <cellStyle name="Normal 6 4 4 7" xfId="17303"/>
    <cellStyle name="Normal 6 4 4 8" xfId="33757"/>
    <cellStyle name="Normal 6 4 4 9" xfId="41984"/>
    <cellStyle name="Normal 6 4 5" xfId="1039"/>
    <cellStyle name="Normal 6 4 5 2" xfId="2734"/>
    <cellStyle name="Normal 6 4 5 2 2" xfId="10959"/>
    <cellStyle name="Normal 6 4 5 2 2 2" xfId="27409"/>
    <cellStyle name="Normal 6 4 5 2 3" xfId="19184"/>
    <cellStyle name="Normal 6 4 5 2 4" xfId="35638"/>
    <cellStyle name="Normal 6 4 5 3" xfId="4379"/>
    <cellStyle name="Normal 6 4 5 3 2" xfId="12604"/>
    <cellStyle name="Normal 6 4 5 3 2 2" xfId="29054"/>
    <cellStyle name="Normal 6 4 5 3 3" xfId="20829"/>
    <cellStyle name="Normal 6 4 5 3 4" xfId="37283"/>
    <cellStyle name="Normal 6 4 5 4" xfId="6024"/>
    <cellStyle name="Normal 6 4 5 4 2" xfId="14249"/>
    <cellStyle name="Normal 6 4 5 4 2 2" xfId="30699"/>
    <cellStyle name="Normal 6 4 5 4 3" xfId="22474"/>
    <cellStyle name="Normal 6 4 5 4 4" xfId="38928"/>
    <cellStyle name="Normal 6 4 5 5" xfId="7669"/>
    <cellStyle name="Normal 6 4 5 5 2" xfId="15894"/>
    <cellStyle name="Normal 6 4 5 5 2 2" xfId="32344"/>
    <cellStyle name="Normal 6 4 5 5 3" xfId="24119"/>
    <cellStyle name="Normal 6 4 5 5 4" xfId="40573"/>
    <cellStyle name="Normal 6 4 5 6" xfId="9314"/>
    <cellStyle name="Normal 6 4 5 6 2" xfId="25764"/>
    <cellStyle name="Normal 6 4 5 7" xfId="17538"/>
    <cellStyle name="Normal 6 4 5 8" xfId="33992"/>
    <cellStyle name="Normal 6 4 5 9" xfId="42219"/>
    <cellStyle name="Normal 6 4 6" xfId="1319"/>
    <cellStyle name="Normal 6 4 6 2" xfId="2969"/>
    <cellStyle name="Normal 6 4 6 2 2" xfId="11194"/>
    <cellStyle name="Normal 6 4 6 2 2 2" xfId="27644"/>
    <cellStyle name="Normal 6 4 6 2 3" xfId="19419"/>
    <cellStyle name="Normal 6 4 6 2 4" xfId="35873"/>
    <cellStyle name="Normal 6 4 6 3" xfId="4614"/>
    <cellStyle name="Normal 6 4 6 3 2" xfId="12839"/>
    <cellStyle name="Normal 6 4 6 3 2 2" xfId="29289"/>
    <cellStyle name="Normal 6 4 6 3 3" xfId="21064"/>
    <cellStyle name="Normal 6 4 6 3 4" xfId="37518"/>
    <cellStyle name="Normal 6 4 6 4" xfId="6259"/>
    <cellStyle name="Normal 6 4 6 4 2" xfId="14484"/>
    <cellStyle name="Normal 6 4 6 4 2 2" xfId="30934"/>
    <cellStyle name="Normal 6 4 6 4 3" xfId="22709"/>
    <cellStyle name="Normal 6 4 6 4 4" xfId="39163"/>
    <cellStyle name="Normal 6 4 6 5" xfId="7904"/>
    <cellStyle name="Normal 6 4 6 5 2" xfId="16129"/>
    <cellStyle name="Normal 6 4 6 5 2 2" xfId="32579"/>
    <cellStyle name="Normal 6 4 6 5 3" xfId="24354"/>
    <cellStyle name="Normal 6 4 6 5 4" xfId="40808"/>
    <cellStyle name="Normal 6 4 6 6" xfId="9549"/>
    <cellStyle name="Normal 6 4 6 6 2" xfId="25999"/>
    <cellStyle name="Normal 6 4 6 7" xfId="17773"/>
    <cellStyle name="Normal 6 4 6 8" xfId="34227"/>
    <cellStyle name="Normal 6 4 7" xfId="1554"/>
    <cellStyle name="Normal 6 4 7 2" xfId="3204"/>
    <cellStyle name="Normal 6 4 7 2 2" xfId="11429"/>
    <cellStyle name="Normal 6 4 7 2 2 2" xfId="27879"/>
    <cellStyle name="Normal 6 4 7 2 3" xfId="19654"/>
    <cellStyle name="Normal 6 4 7 2 4" xfId="36108"/>
    <cellStyle name="Normal 6 4 7 3" xfId="4849"/>
    <cellStyle name="Normal 6 4 7 3 2" xfId="13074"/>
    <cellStyle name="Normal 6 4 7 3 2 2" xfId="29524"/>
    <cellStyle name="Normal 6 4 7 3 3" xfId="21299"/>
    <cellStyle name="Normal 6 4 7 3 4" xfId="37753"/>
    <cellStyle name="Normal 6 4 7 4" xfId="6494"/>
    <cellStyle name="Normal 6 4 7 4 2" xfId="14719"/>
    <cellStyle name="Normal 6 4 7 4 2 2" xfId="31169"/>
    <cellStyle name="Normal 6 4 7 4 3" xfId="22944"/>
    <cellStyle name="Normal 6 4 7 4 4" xfId="39398"/>
    <cellStyle name="Normal 6 4 7 5" xfId="8139"/>
    <cellStyle name="Normal 6 4 7 5 2" xfId="16364"/>
    <cellStyle name="Normal 6 4 7 5 2 2" xfId="32814"/>
    <cellStyle name="Normal 6 4 7 5 3" xfId="24589"/>
    <cellStyle name="Normal 6 4 7 5 4" xfId="41043"/>
    <cellStyle name="Normal 6 4 7 6" xfId="9784"/>
    <cellStyle name="Normal 6 4 7 6 2" xfId="26234"/>
    <cellStyle name="Normal 6 4 7 7" xfId="18008"/>
    <cellStyle name="Normal 6 4 7 8" xfId="34462"/>
    <cellStyle name="Normal 6 4 8" xfId="1789"/>
    <cellStyle name="Normal 6 4 8 2" xfId="10019"/>
    <cellStyle name="Normal 6 4 8 2 2" xfId="26469"/>
    <cellStyle name="Normal 6 4 8 3" xfId="18243"/>
    <cellStyle name="Normal 6 4 8 4" xfId="34697"/>
    <cellStyle name="Normal 6 4 9" xfId="3439"/>
    <cellStyle name="Normal 6 4 9 2" xfId="11664"/>
    <cellStyle name="Normal 6 4 9 2 2" xfId="28114"/>
    <cellStyle name="Normal 6 4 9 3" xfId="19889"/>
    <cellStyle name="Normal 6 4 9 4" xfId="36343"/>
    <cellStyle name="Normal 6 5" xfId="135"/>
    <cellStyle name="Normal 6 5 10" xfId="5134"/>
    <cellStyle name="Normal 6 5 10 2" xfId="13359"/>
    <cellStyle name="Normal 6 5 10 2 2" xfId="29809"/>
    <cellStyle name="Normal 6 5 10 3" xfId="21584"/>
    <cellStyle name="Normal 6 5 10 4" xfId="38038"/>
    <cellStyle name="Normal 6 5 11" xfId="6779"/>
    <cellStyle name="Normal 6 5 11 2" xfId="15004"/>
    <cellStyle name="Normal 6 5 11 2 2" xfId="31454"/>
    <cellStyle name="Normal 6 5 11 3" xfId="23229"/>
    <cellStyle name="Normal 6 5 11 4" xfId="39683"/>
    <cellStyle name="Normal 6 5 12" xfId="8424"/>
    <cellStyle name="Normal 6 5 12 2" xfId="24874"/>
    <cellStyle name="Normal 6 5 13" xfId="16648"/>
    <cellStyle name="Normal 6 5 14" xfId="33101"/>
    <cellStyle name="Normal 6 5 15" xfId="41329"/>
    <cellStyle name="Normal 6 5 2" xfId="378"/>
    <cellStyle name="Normal 6 5 2 2" xfId="2077"/>
    <cellStyle name="Normal 6 5 2 2 2" xfId="10304"/>
    <cellStyle name="Normal 6 5 2 2 2 2" xfId="26754"/>
    <cellStyle name="Normal 6 5 2 2 3" xfId="18529"/>
    <cellStyle name="Normal 6 5 2 2 4" xfId="34983"/>
    <cellStyle name="Normal 6 5 2 3" xfId="3724"/>
    <cellStyle name="Normal 6 5 2 3 2" xfId="11949"/>
    <cellStyle name="Normal 6 5 2 3 2 2" xfId="28399"/>
    <cellStyle name="Normal 6 5 2 3 3" xfId="20174"/>
    <cellStyle name="Normal 6 5 2 3 4" xfId="36628"/>
    <cellStyle name="Normal 6 5 2 4" xfId="5369"/>
    <cellStyle name="Normal 6 5 2 4 2" xfId="13594"/>
    <cellStyle name="Normal 6 5 2 4 2 2" xfId="30044"/>
    <cellStyle name="Normal 6 5 2 4 3" xfId="21819"/>
    <cellStyle name="Normal 6 5 2 4 4" xfId="38273"/>
    <cellStyle name="Normal 6 5 2 5" xfId="7014"/>
    <cellStyle name="Normal 6 5 2 5 2" xfId="15239"/>
    <cellStyle name="Normal 6 5 2 5 2 2" xfId="31689"/>
    <cellStyle name="Normal 6 5 2 5 3" xfId="23464"/>
    <cellStyle name="Normal 6 5 2 5 4" xfId="39918"/>
    <cellStyle name="Normal 6 5 2 6" xfId="8659"/>
    <cellStyle name="Normal 6 5 2 6 2" xfId="25109"/>
    <cellStyle name="Normal 6 5 2 7" xfId="16883"/>
    <cellStyle name="Normal 6 5 2 8" xfId="33337"/>
    <cellStyle name="Normal 6 5 2 9" xfId="41564"/>
    <cellStyle name="Normal 6 5 3" xfId="619"/>
    <cellStyle name="Normal 6 5 3 2" xfId="2314"/>
    <cellStyle name="Normal 6 5 3 2 2" xfId="10539"/>
    <cellStyle name="Normal 6 5 3 2 2 2" xfId="26989"/>
    <cellStyle name="Normal 6 5 3 2 3" xfId="18764"/>
    <cellStyle name="Normal 6 5 3 2 4" xfId="35218"/>
    <cellStyle name="Normal 6 5 3 3" xfId="3959"/>
    <cellStyle name="Normal 6 5 3 3 2" xfId="12184"/>
    <cellStyle name="Normal 6 5 3 3 2 2" xfId="28634"/>
    <cellStyle name="Normal 6 5 3 3 3" xfId="20409"/>
    <cellStyle name="Normal 6 5 3 3 4" xfId="36863"/>
    <cellStyle name="Normal 6 5 3 4" xfId="5604"/>
    <cellStyle name="Normal 6 5 3 4 2" xfId="13829"/>
    <cellStyle name="Normal 6 5 3 4 2 2" xfId="30279"/>
    <cellStyle name="Normal 6 5 3 4 3" xfId="22054"/>
    <cellStyle name="Normal 6 5 3 4 4" xfId="38508"/>
    <cellStyle name="Normal 6 5 3 5" xfId="7249"/>
    <cellStyle name="Normal 6 5 3 5 2" xfId="15474"/>
    <cellStyle name="Normal 6 5 3 5 2 2" xfId="31924"/>
    <cellStyle name="Normal 6 5 3 5 3" xfId="23699"/>
    <cellStyle name="Normal 6 5 3 5 4" xfId="40153"/>
    <cellStyle name="Normal 6 5 3 6" xfId="8894"/>
    <cellStyle name="Normal 6 5 3 6 2" xfId="25344"/>
    <cellStyle name="Normal 6 5 3 7" xfId="17118"/>
    <cellStyle name="Normal 6 5 3 8" xfId="33572"/>
    <cellStyle name="Normal 6 5 3 9" xfId="41799"/>
    <cellStyle name="Normal 6 5 4" xfId="854"/>
    <cellStyle name="Normal 6 5 4 2" xfId="2549"/>
    <cellStyle name="Normal 6 5 4 2 2" xfId="10774"/>
    <cellStyle name="Normal 6 5 4 2 2 2" xfId="27224"/>
    <cellStyle name="Normal 6 5 4 2 3" xfId="18999"/>
    <cellStyle name="Normal 6 5 4 2 4" xfId="35453"/>
    <cellStyle name="Normal 6 5 4 3" xfId="4194"/>
    <cellStyle name="Normal 6 5 4 3 2" xfId="12419"/>
    <cellStyle name="Normal 6 5 4 3 2 2" xfId="28869"/>
    <cellStyle name="Normal 6 5 4 3 3" xfId="20644"/>
    <cellStyle name="Normal 6 5 4 3 4" xfId="37098"/>
    <cellStyle name="Normal 6 5 4 4" xfId="5839"/>
    <cellStyle name="Normal 6 5 4 4 2" xfId="14064"/>
    <cellStyle name="Normal 6 5 4 4 2 2" xfId="30514"/>
    <cellStyle name="Normal 6 5 4 4 3" xfId="22289"/>
    <cellStyle name="Normal 6 5 4 4 4" xfId="38743"/>
    <cellStyle name="Normal 6 5 4 5" xfId="7484"/>
    <cellStyle name="Normal 6 5 4 5 2" xfId="15709"/>
    <cellStyle name="Normal 6 5 4 5 2 2" xfId="32159"/>
    <cellStyle name="Normal 6 5 4 5 3" xfId="23934"/>
    <cellStyle name="Normal 6 5 4 5 4" xfId="40388"/>
    <cellStyle name="Normal 6 5 4 6" xfId="9129"/>
    <cellStyle name="Normal 6 5 4 6 2" xfId="25579"/>
    <cellStyle name="Normal 6 5 4 7" xfId="17353"/>
    <cellStyle name="Normal 6 5 4 8" xfId="33807"/>
    <cellStyle name="Normal 6 5 4 9" xfId="42034"/>
    <cellStyle name="Normal 6 5 5" xfId="1089"/>
    <cellStyle name="Normal 6 5 5 2" xfId="2784"/>
    <cellStyle name="Normal 6 5 5 2 2" xfId="11009"/>
    <cellStyle name="Normal 6 5 5 2 2 2" xfId="27459"/>
    <cellStyle name="Normal 6 5 5 2 3" xfId="19234"/>
    <cellStyle name="Normal 6 5 5 2 4" xfId="35688"/>
    <cellStyle name="Normal 6 5 5 3" xfId="4429"/>
    <cellStyle name="Normal 6 5 5 3 2" xfId="12654"/>
    <cellStyle name="Normal 6 5 5 3 2 2" xfId="29104"/>
    <cellStyle name="Normal 6 5 5 3 3" xfId="20879"/>
    <cellStyle name="Normal 6 5 5 3 4" xfId="37333"/>
    <cellStyle name="Normal 6 5 5 4" xfId="6074"/>
    <cellStyle name="Normal 6 5 5 4 2" xfId="14299"/>
    <cellStyle name="Normal 6 5 5 4 2 2" xfId="30749"/>
    <cellStyle name="Normal 6 5 5 4 3" xfId="22524"/>
    <cellStyle name="Normal 6 5 5 4 4" xfId="38978"/>
    <cellStyle name="Normal 6 5 5 5" xfId="7719"/>
    <cellStyle name="Normal 6 5 5 5 2" xfId="15944"/>
    <cellStyle name="Normal 6 5 5 5 2 2" xfId="32394"/>
    <cellStyle name="Normal 6 5 5 5 3" xfId="24169"/>
    <cellStyle name="Normal 6 5 5 5 4" xfId="40623"/>
    <cellStyle name="Normal 6 5 5 6" xfId="9364"/>
    <cellStyle name="Normal 6 5 5 6 2" xfId="25814"/>
    <cellStyle name="Normal 6 5 5 7" xfId="17588"/>
    <cellStyle name="Normal 6 5 5 8" xfId="34042"/>
    <cellStyle name="Normal 6 5 5 9" xfId="42269"/>
    <cellStyle name="Normal 6 5 6" xfId="1369"/>
    <cellStyle name="Normal 6 5 6 2" xfId="3019"/>
    <cellStyle name="Normal 6 5 6 2 2" xfId="11244"/>
    <cellStyle name="Normal 6 5 6 2 2 2" xfId="27694"/>
    <cellStyle name="Normal 6 5 6 2 3" xfId="19469"/>
    <cellStyle name="Normal 6 5 6 2 4" xfId="35923"/>
    <cellStyle name="Normal 6 5 6 3" xfId="4664"/>
    <cellStyle name="Normal 6 5 6 3 2" xfId="12889"/>
    <cellStyle name="Normal 6 5 6 3 2 2" xfId="29339"/>
    <cellStyle name="Normal 6 5 6 3 3" xfId="21114"/>
    <cellStyle name="Normal 6 5 6 3 4" xfId="37568"/>
    <cellStyle name="Normal 6 5 6 4" xfId="6309"/>
    <cellStyle name="Normal 6 5 6 4 2" xfId="14534"/>
    <cellStyle name="Normal 6 5 6 4 2 2" xfId="30984"/>
    <cellStyle name="Normal 6 5 6 4 3" xfId="22759"/>
    <cellStyle name="Normal 6 5 6 4 4" xfId="39213"/>
    <cellStyle name="Normal 6 5 6 5" xfId="7954"/>
    <cellStyle name="Normal 6 5 6 5 2" xfId="16179"/>
    <cellStyle name="Normal 6 5 6 5 2 2" xfId="32629"/>
    <cellStyle name="Normal 6 5 6 5 3" xfId="24404"/>
    <cellStyle name="Normal 6 5 6 5 4" xfId="40858"/>
    <cellStyle name="Normal 6 5 6 6" xfId="9599"/>
    <cellStyle name="Normal 6 5 6 6 2" xfId="26049"/>
    <cellStyle name="Normal 6 5 6 7" xfId="17823"/>
    <cellStyle name="Normal 6 5 6 8" xfId="34277"/>
    <cellStyle name="Normal 6 5 7" xfId="1604"/>
    <cellStyle name="Normal 6 5 7 2" xfId="3254"/>
    <cellStyle name="Normal 6 5 7 2 2" xfId="11479"/>
    <cellStyle name="Normal 6 5 7 2 2 2" xfId="27929"/>
    <cellStyle name="Normal 6 5 7 2 3" xfId="19704"/>
    <cellStyle name="Normal 6 5 7 2 4" xfId="36158"/>
    <cellStyle name="Normal 6 5 7 3" xfId="4899"/>
    <cellStyle name="Normal 6 5 7 3 2" xfId="13124"/>
    <cellStyle name="Normal 6 5 7 3 2 2" xfId="29574"/>
    <cellStyle name="Normal 6 5 7 3 3" xfId="21349"/>
    <cellStyle name="Normal 6 5 7 3 4" xfId="37803"/>
    <cellStyle name="Normal 6 5 7 4" xfId="6544"/>
    <cellStyle name="Normal 6 5 7 4 2" xfId="14769"/>
    <cellStyle name="Normal 6 5 7 4 2 2" xfId="31219"/>
    <cellStyle name="Normal 6 5 7 4 3" xfId="22994"/>
    <cellStyle name="Normal 6 5 7 4 4" xfId="39448"/>
    <cellStyle name="Normal 6 5 7 5" xfId="8189"/>
    <cellStyle name="Normal 6 5 7 5 2" xfId="16414"/>
    <cellStyle name="Normal 6 5 7 5 2 2" xfId="32864"/>
    <cellStyle name="Normal 6 5 7 5 3" xfId="24639"/>
    <cellStyle name="Normal 6 5 7 5 4" xfId="41093"/>
    <cellStyle name="Normal 6 5 7 6" xfId="9834"/>
    <cellStyle name="Normal 6 5 7 6 2" xfId="26284"/>
    <cellStyle name="Normal 6 5 7 7" xfId="18058"/>
    <cellStyle name="Normal 6 5 7 8" xfId="34512"/>
    <cellStyle name="Normal 6 5 8" xfId="1839"/>
    <cellStyle name="Normal 6 5 8 2" xfId="10069"/>
    <cellStyle name="Normal 6 5 8 2 2" xfId="26519"/>
    <cellStyle name="Normal 6 5 8 3" xfId="18293"/>
    <cellStyle name="Normal 6 5 8 4" xfId="34747"/>
    <cellStyle name="Normal 6 5 9" xfId="3489"/>
    <cellStyle name="Normal 6 5 9 2" xfId="11714"/>
    <cellStyle name="Normal 6 5 9 2 2" xfId="28164"/>
    <cellStyle name="Normal 6 5 9 3" xfId="19939"/>
    <cellStyle name="Normal 6 5 9 4" xfId="36393"/>
    <cellStyle name="Normal 6 6" xfId="162"/>
    <cellStyle name="Normal 6 6 10" xfId="5161"/>
    <cellStyle name="Normal 6 6 10 2" xfId="13386"/>
    <cellStyle name="Normal 6 6 10 2 2" xfId="29836"/>
    <cellStyle name="Normal 6 6 10 3" xfId="21611"/>
    <cellStyle name="Normal 6 6 10 4" xfId="38065"/>
    <cellStyle name="Normal 6 6 11" xfId="6806"/>
    <cellStyle name="Normal 6 6 11 2" xfId="15031"/>
    <cellStyle name="Normal 6 6 11 2 2" xfId="31481"/>
    <cellStyle name="Normal 6 6 11 3" xfId="23256"/>
    <cellStyle name="Normal 6 6 11 4" xfId="39710"/>
    <cellStyle name="Normal 6 6 12" xfId="8451"/>
    <cellStyle name="Normal 6 6 12 2" xfId="24901"/>
    <cellStyle name="Normal 6 6 13" xfId="16675"/>
    <cellStyle name="Normal 6 6 14" xfId="33128"/>
    <cellStyle name="Normal 6 6 15" xfId="41356"/>
    <cellStyle name="Normal 6 6 2" xfId="405"/>
    <cellStyle name="Normal 6 6 2 2" xfId="2104"/>
    <cellStyle name="Normal 6 6 2 2 2" xfId="10331"/>
    <cellStyle name="Normal 6 6 2 2 2 2" xfId="26781"/>
    <cellStyle name="Normal 6 6 2 2 3" xfId="18556"/>
    <cellStyle name="Normal 6 6 2 2 4" xfId="35010"/>
    <cellStyle name="Normal 6 6 2 3" xfId="3751"/>
    <cellStyle name="Normal 6 6 2 3 2" xfId="11976"/>
    <cellStyle name="Normal 6 6 2 3 2 2" xfId="28426"/>
    <cellStyle name="Normal 6 6 2 3 3" xfId="20201"/>
    <cellStyle name="Normal 6 6 2 3 4" xfId="36655"/>
    <cellStyle name="Normal 6 6 2 4" xfId="5396"/>
    <cellStyle name="Normal 6 6 2 4 2" xfId="13621"/>
    <cellStyle name="Normal 6 6 2 4 2 2" xfId="30071"/>
    <cellStyle name="Normal 6 6 2 4 3" xfId="21846"/>
    <cellStyle name="Normal 6 6 2 4 4" xfId="38300"/>
    <cellStyle name="Normal 6 6 2 5" xfId="7041"/>
    <cellStyle name="Normal 6 6 2 5 2" xfId="15266"/>
    <cellStyle name="Normal 6 6 2 5 2 2" xfId="31716"/>
    <cellStyle name="Normal 6 6 2 5 3" xfId="23491"/>
    <cellStyle name="Normal 6 6 2 5 4" xfId="39945"/>
    <cellStyle name="Normal 6 6 2 6" xfId="8686"/>
    <cellStyle name="Normal 6 6 2 6 2" xfId="25136"/>
    <cellStyle name="Normal 6 6 2 7" xfId="16910"/>
    <cellStyle name="Normal 6 6 2 8" xfId="33364"/>
    <cellStyle name="Normal 6 6 2 9" xfId="41591"/>
    <cellStyle name="Normal 6 6 3" xfId="646"/>
    <cellStyle name="Normal 6 6 3 2" xfId="2341"/>
    <cellStyle name="Normal 6 6 3 2 2" xfId="10566"/>
    <cellStyle name="Normal 6 6 3 2 2 2" xfId="27016"/>
    <cellStyle name="Normal 6 6 3 2 3" xfId="18791"/>
    <cellStyle name="Normal 6 6 3 2 4" xfId="35245"/>
    <cellStyle name="Normal 6 6 3 3" xfId="3986"/>
    <cellStyle name="Normal 6 6 3 3 2" xfId="12211"/>
    <cellStyle name="Normal 6 6 3 3 2 2" xfId="28661"/>
    <cellStyle name="Normal 6 6 3 3 3" xfId="20436"/>
    <cellStyle name="Normal 6 6 3 3 4" xfId="36890"/>
    <cellStyle name="Normal 6 6 3 4" xfId="5631"/>
    <cellStyle name="Normal 6 6 3 4 2" xfId="13856"/>
    <cellStyle name="Normal 6 6 3 4 2 2" xfId="30306"/>
    <cellStyle name="Normal 6 6 3 4 3" xfId="22081"/>
    <cellStyle name="Normal 6 6 3 4 4" xfId="38535"/>
    <cellStyle name="Normal 6 6 3 5" xfId="7276"/>
    <cellStyle name="Normal 6 6 3 5 2" xfId="15501"/>
    <cellStyle name="Normal 6 6 3 5 2 2" xfId="31951"/>
    <cellStyle name="Normal 6 6 3 5 3" xfId="23726"/>
    <cellStyle name="Normal 6 6 3 5 4" xfId="40180"/>
    <cellStyle name="Normal 6 6 3 6" xfId="8921"/>
    <cellStyle name="Normal 6 6 3 6 2" xfId="25371"/>
    <cellStyle name="Normal 6 6 3 7" xfId="17145"/>
    <cellStyle name="Normal 6 6 3 8" xfId="33599"/>
    <cellStyle name="Normal 6 6 3 9" xfId="41826"/>
    <cellStyle name="Normal 6 6 4" xfId="881"/>
    <cellStyle name="Normal 6 6 4 2" xfId="2576"/>
    <cellStyle name="Normal 6 6 4 2 2" xfId="10801"/>
    <cellStyle name="Normal 6 6 4 2 2 2" xfId="27251"/>
    <cellStyle name="Normal 6 6 4 2 3" xfId="19026"/>
    <cellStyle name="Normal 6 6 4 2 4" xfId="35480"/>
    <cellStyle name="Normal 6 6 4 3" xfId="4221"/>
    <cellStyle name="Normal 6 6 4 3 2" xfId="12446"/>
    <cellStyle name="Normal 6 6 4 3 2 2" xfId="28896"/>
    <cellStyle name="Normal 6 6 4 3 3" xfId="20671"/>
    <cellStyle name="Normal 6 6 4 3 4" xfId="37125"/>
    <cellStyle name="Normal 6 6 4 4" xfId="5866"/>
    <cellStyle name="Normal 6 6 4 4 2" xfId="14091"/>
    <cellStyle name="Normal 6 6 4 4 2 2" xfId="30541"/>
    <cellStyle name="Normal 6 6 4 4 3" xfId="22316"/>
    <cellStyle name="Normal 6 6 4 4 4" xfId="38770"/>
    <cellStyle name="Normal 6 6 4 5" xfId="7511"/>
    <cellStyle name="Normal 6 6 4 5 2" xfId="15736"/>
    <cellStyle name="Normal 6 6 4 5 2 2" xfId="32186"/>
    <cellStyle name="Normal 6 6 4 5 3" xfId="23961"/>
    <cellStyle name="Normal 6 6 4 5 4" xfId="40415"/>
    <cellStyle name="Normal 6 6 4 6" xfId="9156"/>
    <cellStyle name="Normal 6 6 4 6 2" xfId="25606"/>
    <cellStyle name="Normal 6 6 4 7" xfId="17380"/>
    <cellStyle name="Normal 6 6 4 8" xfId="33834"/>
    <cellStyle name="Normal 6 6 4 9" xfId="42061"/>
    <cellStyle name="Normal 6 6 5" xfId="1116"/>
    <cellStyle name="Normal 6 6 5 2" xfId="2811"/>
    <cellStyle name="Normal 6 6 5 2 2" xfId="11036"/>
    <cellStyle name="Normal 6 6 5 2 2 2" xfId="27486"/>
    <cellStyle name="Normal 6 6 5 2 3" xfId="19261"/>
    <cellStyle name="Normal 6 6 5 2 4" xfId="35715"/>
    <cellStyle name="Normal 6 6 5 3" xfId="4456"/>
    <cellStyle name="Normal 6 6 5 3 2" xfId="12681"/>
    <cellStyle name="Normal 6 6 5 3 2 2" xfId="29131"/>
    <cellStyle name="Normal 6 6 5 3 3" xfId="20906"/>
    <cellStyle name="Normal 6 6 5 3 4" xfId="37360"/>
    <cellStyle name="Normal 6 6 5 4" xfId="6101"/>
    <cellStyle name="Normal 6 6 5 4 2" xfId="14326"/>
    <cellStyle name="Normal 6 6 5 4 2 2" xfId="30776"/>
    <cellStyle name="Normal 6 6 5 4 3" xfId="22551"/>
    <cellStyle name="Normal 6 6 5 4 4" xfId="39005"/>
    <cellStyle name="Normal 6 6 5 5" xfId="7746"/>
    <cellStyle name="Normal 6 6 5 5 2" xfId="15971"/>
    <cellStyle name="Normal 6 6 5 5 2 2" xfId="32421"/>
    <cellStyle name="Normal 6 6 5 5 3" xfId="24196"/>
    <cellStyle name="Normal 6 6 5 5 4" xfId="40650"/>
    <cellStyle name="Normal 6 6 5 6" xfId="9391"/>
    <cellStyle name="Normal 6 6 5 6 2" xfId="25841"/>
    <cellStyle name="Normal 6 6 5 7" xfId="17615"/>
    <cellStyle name="Normal 6 6 5 8" xfId="34069"/>
    <cellStyle name="Normal 6 6 5 9" xfId="42296"/>
    <cellStyle name="Normal 6 6 6" xfId="1396"/>
    <cellStyle name="Normal 6 6 6 2" xfId="3046"/>
    <cellStyle name="Normal 6 6 6 2 2" xfId="11271"/>
    <cellStyle name="Normal 6 6 6 2 2 2" xfId="27721"/>
    <cellStyle name="Normal 6 6 6 2 3" xfId="19496"/>
    <cellStyle name="Normal 6 6 6 2 4" xfId="35950"/>
    <cellStyle name="Normal 6 6 6 3" xfId="4691"/>
    <cellStyle name="Normal 6 6 6 3 2" xfId="12916"/>
    <cellStyle name="Normal 6 6 6 3 2 2" xfId="29366"/>
    <cellStyle name="Normal 6 6 6 3 3" xfId="21141"/>
    <cellStyle name="Normal 6 6 6 3 4" xfId="37595"/>
    <cellStyle name="Normal 6 6 6 4" xfId="6336"/>
    <cellStyle name="Normal 6 6 6 4 2" xfId="14561"/>
    <cellStyle name="Normal 6 6 6 4 2 2" xfId="31011"/>
    <cellStyle name="Normal 6 6 6 4 3" xfId="22786"/>
    <cellStyle name="Normal 6 6 6 4 4" xfId="39240"/>
    <cellStyle name="Normal 6 6 6 5" xfId="7981"/>
    <cellStyle name="Normal 6 6 6 5 2" xfId="16206"/>
    <cellStyle name="Normal 6 6 6 5 2 2" xfId="32656"/>
    <cellStyle name="Normal 6 6 6 5 3" xfId="24431"/>
    <cellStyle name="Normal 6 6 6 5 4" xfId="40885"/>
    <cellStyle name="Normal 6 6 6 6" xfId="9626"/>
    <cellStyle name="Normal 6 6 6 6 2" xfId="26076"/>
    <cellStyle name="Normal 6 6 6 7" xfId="17850"/>
    <cellStyle name="Normal 6 6 6 8" xfId="34304"/>
    <cellStyle name="Normal 6 6 7" xfId="1631"/>
    <cellStyle name="Normal 6 6 7 2" xfId="3281"/>
    <cellStyle name="Normal 6 6 7 2 2" xfId="11506"/>
    <cellStyle name="Normal 6 6 7 2 2 2" xfId="27956"/>
    <cellStyle name="Normal 6 6 7 2 3" xfId="19731"/>
    <cellStyle name="Normal 6 6 7 2 4" xfId="36185"/>
    <cellStyle name="Normal 6 6 7 3" xfId="4926"/>
    <cellStyle name="Normal 6 6 7 3 2" xfId="13151"/>
    <cellStyle name="Normal 6 6 7 3 2 2" xfId="29601"/>
    <cellStyle name="Normal 6 6 7 3 3" xfId="21376"/>
    <cellStyle name="Normal 6 6 7 3 4" xfId="37830"/>
    <cellStyle name="Normal 6 6 7 4" xfId="6571"/>
    <cellStyle name="Normal 6 6 7 4 2" xfId="14796"/>
    <cellStyle name="Normal 6 6 7 4 2 2" xfId="31246"/>
    <cellStyle name="Normal 6 6 7 4 3" xfId="23021"/>
    <cellStyle name="Normal 6 6 7 4 4" xfId="39475"/>
    <cellStyle name="Normal 6 6 7 5" xfId="8216"/>
    <cellStyle name="Normal 6 6 7 5 2" xfId="16441"/>
    <cellStyle name="Normal 6 6 7 5 2 2" xfId="32891"/>
    <cellStyle name="Normal 6 6 7 5 3" xfId="24666"/>
    <cellStyle name="Normal 6 6 7 5 4" xfId="41120"/>
    <cellStyle name="Normal 6 6 7 6" xfId="9861"/>
    <cellStyle name="Normal 6 6 7 6 2" xfId="26311"/>
    <cellStyle name="Normal 6 6 7 7" xfId="18085"/>
    <cellStyle name="Normal 6 6 7 8" xfId="34539"/>
    <cellStyle name="Normal 6 6 8" xfId="1866"/>
    <cellStyle name="Normal 6 6 8 2" xfId="10096"/>
    <cellStyle name="Normal 6 6 8 2 2" xfId="26546"/>
    <cellStyle name="Normal 6 6 8 3" xfId="18320"/>
    <cellStyle name="Normal 6 6 8 4" xfId="34774"/>
    <cellStyle name="Normal 6 6 9" xfId="3516"/>
    <cellStyle name="Normal 6 6 9 2" xfId="11741"/>
    <cellStyle name="Normal 6 6 9 2 2" xfId="28191"/>
    <cellStyle name="Normal 6 6 9 3" xfId="19966"/>
    <cellStyle name="Normal 6 6 9 4" xfId="36420"/>
    <cellStyle name="Normal 6 7" xfId="191"/>
    <cellStyle name="Normal 6 7 10" xfId="5188"/>
    <cellStyle name="Normal 6 7 10 2" xfId="13413"/>
    <cellStyle name="Normal 6 7 10 2 2" xfId="29863"/>
    <cellStyle name="Normal 6 7 10 3" xfId="21638"/>
    <cellStyle name="Normal 6 7 10 4" xfId="38092"/>
    <cellStyle name="Normal 6 7 11" xfId="6833"/>
    <cellStyle name="Normal 6 7 11 2" xfId="15058"/>
    <cellStyle name="Normal 6 7 11 2 2" xfId="31508"/>
    <cellStyle name="Normal 6 7 11 3" xfId="23283"/>
    <cellStyle name="Normal 6 7 11 4" xfId="39737"/>
    <cellStyle name="Normal 6 7 12" xfId="8478"/>
    <cellStyle name="Normal 6 7 12 2" xfId="24928"/>
    <cellStyle name="Normal 6 7 13" xfId="16702"/>
    <cellStyle name="Normal 6 7 14" xfId="33155"/>
    <cellStyle name="Normal 6 7 15" xfId="41383"/>
    <cellStyle name="Normal 6 7 2" xfId="434"/>
    <cellStyle name="Normal 6 7 2 2" xfId="2131"/>
    <cellStyle name="Normal 6 7 2 2 2" xfId="10358"/>
    <cellStyle name="Normal 6 7 2 2 2 2" xfId="26808"/>
    <cellStyle name="Normal 6 7 2 2 3" xfId="18583"/>
    <cellStyle name="Normal 6 7 2 2 4" xfId="35037"/>
    <cellStyle name="Normal 6 7 2 3" xfId="3778"/>
    <cellStyle name="Normal 6 7 2 3 2" xfId="12003"/>
    <cellStyle name="Normal 6 7 2 3 2 2" xfId="28453"/>
    <cellStyle name="Normal 6 7 2 3 3" xfId="20228"/>
    <cellStyle name="Normal 6 7 2 3 4" xfId="36682"/>
    <cellStyle name="Normal 6 7 2 4" xfId="5423"/>
    <cellStyle name="Normal 6 7 2 4 2" xfId="13648"/>
    <cellStyle name="Normal 6 7 2 4 2 2" xfId="30098"/>
    <cellStyle name="Normal 6 7 2 4 3" xfId="21873"/>
    <cellStyle name="Normal 6 7 2 4 4" xfId="38327"/>
    <cellStyle name="Normal 6 7 2 5" xfId="7068"/>
    <cellStyle name="Normal 6 7 2 5 2" xfId="15293"/>
    <cellStyle name="Normal 6 7 2 5 2 2" xfId="31743"/>
    <cellStyle name="Normal 6 7 2 5 3" xfId="23518"/>
    <cellStyle name="Normal 6 7 2 5 4" xfId="39972"/>
    <cellStyle name="Normal 6 7 2 6" xfId="8713"/>
    <cellStyle name="Normal 6 7 2 6 2" xfId="25163"/>
    <cellStyle name="Normal 6 7 2 7" xfId="16937"/>
    <cellStyle name="Normal 6 7 2 8" xfId="33391"/>
    <cellStyle name="Normal 6 7 2 9" xfId="41618"/>
    <cellStyle name="Normal 6 7 3" xfId="673"/>
    <cellStyle name="Normal 6 7 3 2" xfId="2368"/>
    <cellStyle name="Normal 6 7 3 2 2" xfId="10593"/>
    <cellStyle name="Normal 6 7 3 2 2 2" xfId="27043"/>
    <cellStyle name="Normal 6 7 3 2 3" xfId="18818"/>
    <cellStyle name="Normal 6 7 3 2 4" xfId="35272"/>
    <cellStyle name="Normal 6 7 3 3" xfId="4013"/>
    <cellStyle name="Normal 6 7 3 3 2" xfId="12238"/>
    <cellStyle name="Normal 6 7 3 3 2 2" xfId="28688"/>
    <cellStyle name="Normal 6 7 3 3 3" xfId="20463"/>
    <cellStyle name="Normal 6 7 3 3 4" xfId="36917"/>
    <cellStyle name="Normal 6 7 3 4" xfId="5658"/>
    <cellStyle name="Normal 6 7 3 4 2" xfId="13883"/>
    <cellStyle name="Normal 6 7 3 4 2 2" xfId="30333"/>
    <cellStyle name="Normal 6 7 3 4 3" xfId="22108"/>
    <cellStyle name="Normal 6 7 3 4 4" xfId="38562"/>
    <cellStyle name="Normal 6 7 3 5" xfId="7303"/>
    <cellStyle name="Normal 6 7 3 5 2" xfId="15528"/>
    <cellStyle name="Normal 6 7 3 5 2 2" xfId="31978"/>
    <cellStyle name="Normal 6 7 3 5 3" xfId="23753"/>
    <cellStyle name="Normal 6 7 3 5 4" xfId="40207"/>
    <cellStyle name="Normal 6 7 3 6" xfId="8948"/>
    <cellStyle name="Normal 6 7 3 6 2" xfId="25398"/>
    <cellStyle name="Normal 6 7 3 7" xfId="17172"/>
    <cellStyle name="Normal 6 7 3 8" xfId="33626"/>
    <cellStyle name="Normal 6 7 3 9" xfId="41853"/>
    <cellStyle name="Normal 6 7 4" xfId="908"/>
    <cellStyle name="Normal 6 7 4 2" xfId="2603"/>
    <cellStyle name="Normal 6 7 4 2 2" xfId="10828"/>
    <cellStyle name="Normal 6 7 4 2 2 2" xfId="27278"/>
    <cellStyle name="Normal 6 7 4 2 3" xfId="19053"/>
    <cellStyle name="Normal 6 7 4 2 4" xfId="35507"/>
    <cellStyle name="Normal 6 7 4 3" xfId="4248"/>
    <cellStyle name="Normal 6 7 4 3 2" xfId="12473"/>
    <cellStyle name="Normal 6 7 4 3 2 2" xfId="28923"/>
    <cellStyle name="Normal 6 7 4 3 3" xfId="20698"/>
    <cellStyle name="Normal 6 7 4 3 4" xfId="37152"/>
    <cellStyle name="Normal 6 7 4 4" xfId="5893"/>
    <cellStyle name="Normal 6 7 4 4 2" xfId="14118"/>
    <cellStyle name="Normal 6 7 4 4 2 2" xfId="30568"/>
    <cellStyle name="Normal 6 7 4 4 3" xfId="22343"/>
    <cellStyle name="Normal 6 7 4 4 4" xfId="38797"/>
    <cellStyle name="Normal 6 7 4 5" xfId="7538"/>
    <cellStyle name="Normal 6 7 4 5 2" xfId="15763"/>
    <cellStyle name="Normal 6 7 4 5 2 2" xfId="32213"/>
    <cellStyle name="Normal 6 7 4 5 3" xfId="23988"/>
    <cellStyle name="Normal 6 7 4 5 4" xfId="40442"/>
    <cellStyle name="Normal 6 7 4 6" xfId="9183"/>
    <cellStyle name="Normal 6 7 4 6 2" xfId="25633"/>
    <cellStyle name="Normal 6 7 4 7" xfId="17407"/>
    <cellStyle name="Normal 6 7 4 8" xfId="33861"/>
    <cellStyle name="Normal 6 7 4 9" xfId="42088"/>
    <cellStyle name="Normal 6 7 5" xfId="1143"/>
    <cellStyle name="Normal 6 7 5 2" xfId="2838"/>
    <cellStyle name="Normal 6 7 5 2 2" xfId="11063"/>
    <cellStyle name="Normal 6 7 5 2 2 2" xfId="27513"/>
    <cellStyle name="Normal 6 7 5 2 3" xfId="19288"/>
    <cellStyle name="Normal 6 7 5 2 4" xfId="35742"/>
    <cellStyle name="Normal 6 7 5 3" xfId="4483"/>
    <cellStyle name="Normal 6 7 5 3 2" xfId="12708"/>
    <cellStyle name="Normal 6 7 5 3 2 2" xfId="29158"/>
    <cellStyle name="Normal 6 7 5 3 3" xfId="20933"/>
    <cellStyle name="Normal 6 7 5 3 4" xfId="37387"/>
    <cellStyle name="Normal 6 7 5 4" xfId="6128"/>
    <cellStyle name="Normal 6 7 5 4 2" xfId="14353"/>
    <cellStyle name="Normal 6 7 5 4 2 2" xfId="30803"/>
    <cellStyle name="Normal 6 7 5 4 3" xfId="22578"/>
    <cellStyle name="Normal 6 7 5 4 4" xfId="39032"/>
    <cellStyle name="Normal 6 7 5 5" xfId="7773"/>
    <cellStyle name="Normal 6 7 5 5 2" xfId="15998"/>
    <cellStyle name="Normal 6 7 5 5 2 2" xfId="32448"/>
    <cellStyle name="Normal 6 7 5 5 3" xfId="24223"/>
    <cellStyle name="Normal 6 7 5 5 4" xfId="40677"/>
    <cellStyle name="Normal 6 7 5 6" xfId="9418"/>
    <cellStyle name="Normal 6 7 5 6 2" xfId="25868"/>
    <cellStyle name="Normal 6 7 5 7" xfId="17642"/>
    <cellStyle name="Normal 6 7 5 8" xfId="34096"/>
    <cellStyle name="Normal 6 7 5 9" xfId="42323"/>
    <cellStyle name="Normal 6 7 6" xfId="1423"/>
    <cellStyle name="Normal 6 7 6 2" xfId="3073"/>
    <cellStyle name="Normal 6 7 6 2 2" xfId="11298"/>
    <cellStyle name="Normal 6 7 6 2 2 2" xfId="27748"/>
    <cellStyle name="Normal 6 7 6 2 3" xfId="19523"/>
    <cellStyle name="Normal 6 7 6 2 4" xfId="35977"/>
    <cellStyle name="Normal 6 7 6 3" xfId="4718"/>
    <cellStyle name="Normal 6 7 6 3 2" xfId="12943"/>
    <cellStyle name="Normal 6 7 6 3 2 2" xfId="29393"/>
    <cellStyle name="Normal 6 7 6 3 3" xfId="21168"/>
    <cellStyle name="Normal 6 7 6 3 4" xfId="37622"/>
    <cellStyle name="Normal 6 7 6 4" xfId="6363"/>
    <cellStyle name="Normal 6 7 6 4 2" xfId="14588"/>
    <cellStyle name="Normal 6 7 6 4 2 2" xfId="31038"/>
    <cellStyle name="Normal 6 7 6 4 3" xfId="22813"/>
    <cellStyle name="Normal 6 7 6 4 4" xfId="39267"/>
    <cellStyle name="Normal 6 7 6 5" xfId="8008"/>
    <cellStyle name="Normal 6 7 6 5 2" xfId="16233"/>
    <cellStyle name="Normal 6 7 6 5 2 2" xfId="32683"/>
    <cellStyle name="Normal 6 7 6 5 3" xfId="24458"/>
    <cellStyle name="Normal 6 7 6 5 4" xfId="40912"/>
    <cellStyle name="Normal 6 7 6 6" xfId="9653"/>
    <cellStyle name="Normal 6 7 6 6 2" xfId="26103"/>
    <cellStyle name="Normal 6 7 6 7" xfId="17877"/>
    <cellStyle name="Normal 6 7 6 8" xfId="34331"/>
    <cellStyle name="Normal 6 7 7" xfId="1658"/>
    <cellStyle name="Normal 6 7 7 2" xfId="3308"/>
    <cellStyle name="Normal 6 7 7 2 2" xfId="11533"/>
    <cellStyle name="Normal 6 7 7 2 2 2" xfId="27983"/>
    <cellStyle name="Normal 6 7 7 2 3" xfId="19758"/>
    <cellStyle name="Normal 6 7 7 2 4" xfId="36212"/>
    <cellStyle name="Normal 6 7 7 3" xfId="4953"/>
    <cellStyle name="Normal 6 7 7 3 2" xfId="13178"/>
    <cellStyle name="Normal 6 7 7 3 2 2" xfId="29628"/>
    <cellStyle name="Normal 6 7 7 3 3" xfId="21403"/>
    <cellStyle name="Normal 6 7 7 3 4" xfId="37857"/>
    <cellStyle name="Normal 6 7 7 4" xfId="6598"/>
    <cellStyle name="Normal 6 7 7 4 2" xfId="14823"/>
    <cellStyle name="Normal 6 7 7 4 2 2" xfId="31273"/>
    <cellStyle name="Normal 6 7 7 4 3" xfId="23048"/>
    <cellStyle name="Normal 6 7 7 4 4" xfId="39502"/>
    <cellStyle name="Normal 6 7 7 5" xfId="8243"/>
    <cellStyle name="Normal 6 7 7 5 2" xfId="16468"/>
    <cellStyle name="Normal 6 7 7 5 2 2" xfId="32918"/>
    <cellStyle name="Normal 6 7 7 5 3" xfId="24693"/>
    <cellStyle name="Normal 6 7 7 5 4" xfId="41147"/>
    <cellStyle name="Normal 6 7 7 6" xfId="9888"/>
    <cellStyle name="Normal 6 7 7 6 2" xfId="26338"/>
    <cellStyle name="Normal 6 7 7 7" xfId="18112"/>
    <cellStyle name="Normal 6 7 7 8" xfId="34566"/>
    <cellStyle name="Normal 6 7 8" xfId="1893"/>
    <cellStyle name="Normal 6 7 8 2" xfId="10123"/>
    <cellStyle name="Normal 6 7 8 2 2" xfId="26573"/>
    <cellStyle name="Normal 6 7 8 3" xfId="18347"/>
    <cellStyle name="Normal 6 7 8 4" xfId="34801"/>
    <cellStyle name="Normal 6 7 9" xfId="3543"/>
    <cellStyle name="Normal 6 7 9 2" xfId="11768"/>
    <cellStyle name="Normal 6 7 9 2 2" xfId="28218"/>
    <cellStyle name="Normal 6 7 9 3" xfId="19993"/>
    <cellStyle name="Normal 6 7 9 4" xfId="36447"/>
    <cellStyle name="Normal 6 8" xfId="218"/>
    <cellStyle name="Normal 6 8 10" xfId="5215"/>
    <cellStyle name="Normal 6 8 10 2" xfId="13440"/>
    <cellStyle name="Normal 6 8 10 2 2" xfId="29890"/>
    <cellStyle name="Normal 6 8 10 3" xfId="21665"/>
    <cellStyle name="Normal 6 8 10 4" xfId="38119"/>
    <cellStyle name="Normal 6 8 11" xfId="6860"/>
    <cellStyle name="Normal 6 8 11 2" xfId="15085"/>
    <cellStyle name="Normal 6 8 11 2 2" xfId="31535"/>
    <cellStyle name="Normal 6 8 11 3" xfId="23310"/>
    <cellStyle name="Normal 6 8 11 4" xfId="39764"/>
    <cellStyle name="Normal 6 8 12" xfId="8505"/>
    <cellStyle name="Normal 6 8 12 2" xfId="24955"/>
    <cellStyle name="Normal 6 8 13" xfId="16729"/>
    <cellStyle name="Normal 6 8 14" xfId="33182"/>
    <cellStyle name="Normal 6 8 15" xfId="41410"/>
    <cellStyle name="Normal 6 8 2" xfId="461"/>
    <cellStyle name="Normal 6 8 2 2" xfId="2158"/>
    <cellStyle name="Normal 6 8 2 2 2" xfId="10385"/>
    <cellStyle name="Normal 6 8 2 2 2 2" xfId="26835"/>
    <cellStyle name="Normal 6 8 2 2 3" xfId="18610"/>
    <cellStyle name="Normal 6 8 2 2 4" xfId="35064"/>
    <cellStyle name="Normal 6 8 2 3" xfId="3805"/>
    <cellStyle name="Normal 6 8 2 3 2" xfId="12030"/>
    <cellStyle name="Normal 6 8 2 3 2 2" xfId="28480"/>
    <cellStyle name="Normal 6 8 2 3 3" xfId="20255"/>
    <cellStyle name="Normal 6 8 2 3 4" xfId="36709"/>
    <cellStyle name="Normal 6 8 2 4" xfId="5450"/>
    <cellStyle name="Normal 6 8 2 4 2" xfId="13675"/>
    <cellStyle name="Normal 6 8 2 4 2 2" xfId="30125"/>
    <cellStyle name="Normal 6 8 2 4 3" xfId="21900"/>
    <cellStyle name="Normal 6 8 2 4 4" xfId="38354"/>
    <cellStyle name="Normal 6 8 2 5" xfId="7095"/>
    <cellStyle name="Normal 6 8 2 5 2" xfId="15320"/>
    <cellStyle name="Normal 6 8 2 5 2 2" xfId="31770"/>
    <cellStyle name="Normal 6 8 2 5 3" xfId="23545"/>
    <cellStyle name="Normal 6 8 2 5 4" xfId="39999"/>
    <cellStyle name="Normal 6 8 2 6" xfId="8740"/>
    <cellStyle name="Normal 6 8 2 6 2" xfId="25190"/>
    <cellStyle name="Normal 6 8 2 7" xfId="16964"/>
    <cellStyle name="Normal 6 8 2 8" xfId="33418"/>
    <cellStyle name="Normal 6 8 2 9" xfId="41645"/>
    <cellStyle name="Normal 6 8 3" xfId="700"/>
    <cellStyle name="Normal 6 8 3 2" xfId="2395"/>
    <cellStyle name="Normal 6 8 3 2 2" xfId="10620"/>
    <cellStyle name="Normal 6 8 3 2 2 2" xfId="27070"/>
    <cellStyle name="Normal 6 8 3 2 3" xfId="18845"/>
    <cellStyle name="Normal 6 8 3 2 4" xfId="35299"/>
    <cellStyle name="Normal 6 8 3 3" xfId="4040"/>
    <cellStyle name="Normal 6 8 3 3 2" xfId="12265"/>
    <cellStyle name="Normal 6 8 3 3 2 2" xfId="28715"/>
    <cellStyle name="Normal 6 8 3 3 3" xfId="20490"/>
    <cellStyle name="Normal 6 8 3 3 4" xfId="36944"/>
    <cellStyle name="Normal 6 8 3 4" xfId="5685"/>
    <cellStyle name="Normal 6 8 3 4 2" xfId="13910"/>
    <cellStyle name="Normal 6 8 3 4 2 2" xfId="30360"/>
    <cellStyle name="Normal 6 8 3 4 3" xfId="22135"/>
    <cellStyle name="Normal 6 8 3 4 4" xfId="38589"/>
    <cellStyle name="Normal 6 8 3 5" xfId="7330"/>
    <cellStyle name="Normal 6 8 3 5 2" xfId="15555"/>
    <cellStyle name="Normal 6 8 3 5 2 2" xfId="32005"/>
    <cellStyle name="Normal 6 8 3 5 3" xfId="23780"/>
    <cellStyle name="Normal 6 8 3 5 4" xfId="40234"/>
    <cellStyle name="Normal 6 8 3 6" xfId="8975"/>
    <cellStyle name="Normal 6 8 3 6 2" xfId="25425"/>
    <cellStyle name="Normal 6 8 3 7" xfId="17199"/>
    <cellStyle name="Normal 6 8 3 8" xfId="33653"/>
    <cellStyle name="Normal 6 8 3 9" xfId="41880"/>
    <cellStyle name="Normal 6 8 4" xfId="935"/>
    <cellStyle name="Normal 6 8 4 2" xfId="2630"/>
    <cellStyle name="Normal 6 8 4 2 2" xfId="10855"/>
    <cellStyle name="Normal 6 8 4 2 2 2" xfId="27305"/>
    <cellStyle name="Normal 6 8 4 2 3" xfId="19080"/>
    <cellStyle name="Normal 6 8 4 2 4" xfId="35534"/>
    <cellStyle name="Normal 6 8 4 3" xfId="4275"/>
    <cellStyle name="Normal 6 8 4 3 2" xfId="12500"/>
    <cellStyle name="Normal 6 8 4 3 2 2" xfId="28950"/>
    <cellStyle name="Normal 6 8 4 3 3" xfId="20725"/>
    <cellStyle name="Normal 6 8 4 3 4" xfId="37179"/>
    <cellStyle name="Normal 6 8 4 4" xfId="5920"/>
    <cellStyle name="Normal 6 8 4 4 2" xfId="14145"/>
    <cellStyle name="Normal 6 8 4 4 2 2" xfId="30595"/>
    <cellStyle name="Normal 6 8 4 4 3" xfId="22370"/>
    <cellStyle name="Normal 6 8 4 4 4" xfId="38824"/>
    <cellStyle name="Normal 6 8 4 5" xfId="7565"/>
    <cellStyle name="Normal 6 8 4 5 2" xfId="15790"/>
    <cellStyle name="Normal 6 8 4 5 2 2" xfId="32240"/>
    <cellStyle name="Normal 6 8 4 5 3" xfId="24015"/>
    <cellStyle name="Normal 6 8 4 5 4" xfId="40469"/>
    <cellStyle name="Normal 6 8 4 6" xfId="9210"/>
    <cellStyle name="Normal 6 8 4 6 2" xfId="25660"/>
    <cellStyle name="Normal 6 8 4 7" xfId="17434"/>
    <cellStyle name="Normal 6 8 4 8" xfId="33888"/>
    <cellStyle name="Normal 6 8 4 9" xfId="42115"/>
    <cellStyle name="Normal 6 8 5" xfId="1170"/>
    <cellStyle name="Normal 6 8 5 2" xfId="2865"/>
    <cellStyle name="Normal 6 8 5 2 2" xfId="11090"/>
    <cellStyle name="Normal 6 8 5 2 2 2" xfId="27540"/>
    <cellStyle name="Normal 6 8 5 2 3" xfId="19315"/>
    <cellStyle name="Normal 6 8 5 2 4" xfId="35769"/>
    <cellStyle name="Normal 6 8 5 3" xfId="4510"/>
    <cellStyle name="Normal 6 8 5 3 2" xfId="12735"/>
    <cellStyle name="Normal 6 8 5 3 2 2" xfId="29185"/>
    <cellStyle name="Normal 6 8 5 3 3" xfId="20960"/>
    <cellStyle name="Normal 6 8 5 3 4" xfId="37414"/>
    <cellStyle name="Normal 6 8 5 4" xfId="6155"/>
    <cellStyle name="Normal 6 8 5 4 2" xfId="14380"/>
    <cellStyle name="Normal 6 8 5 4 2 2" xfId="30830"/>
    <cellStyle name="Normal 6 8 5 4 3" xfId="22605"/>
    <cellStyle name="Normal 6 8 5 4 4" xfId="39059"/>
    <cellStyle name="Normal 6 8 5 5" xfId="7800"/>
    <cellStyle name="Normal 6 8 5 5 2" xfId="16025"/>
    <cellStyle name="Normal 6 8 5 5 2 2" xfId="32475"/>
    <cellStyle name="Normal 6 8 5 5 3" xfId="24250"/>
    <cellStyle name="Normal 6 8 5 5 4" xfId="40704"/>
    <cellStyle name="Normal 6 8 5 6" xfId="9445"/>
    <cellStyle name="Normal 6 8 5 6 2" xfId="25895"/>
    <cellStyle name="Normal 6 8 5 7" xfId="17669"/>
    <cellStyle name="Normal 6 8 5 8" xfId="34123"/>
    <cellStyle name="Normal 6 8 5 9" xfId="42350"/>
    <cellStyle name="Normal 6 8 6" xfId="1450"/>
    <cellStyle name="Normal 6 8 6 2" xfId="3100"/>
    <cellStyle name="Normal 6 8 6 2 2" xfId="11325"/>
    <cellStyle name="Normal 6 8 6 2 2 2" xfId="27775"/>
    <cellStyle name="Normal 6 8 6 2 3" xfId="19550"/>
    <cellStyle name="Normal 6 8 6 2 4" xfId="36004"/>
    <cellStyle name="Normal 6 8 6 3" xfId="4745"/>
    <cellStyle name="Normal 6 8 6 3 2" xfId="12970"/>
    <cellStyle name="Normal 6 8 6 3 2 2" xfId="29420"/>
    <cellStyle name="Normal 6 8 6 3 3" xfId="21195"/>
    <cellStyle name="Normal 6 8 6 3 4" xfId="37649"/>
    <cellStyle name="Normal 6 8 6 4" xfId="6390"/>
    <cellStyle name="Normal 6 8 6 4 2" xfId="14615"/>
    <cellStyle name="Normal 6 8 6 4 2 2" xfId="31065"/>
    <cellStyle name="Normal 6 8 6 4 3" xfId="22840"/>
    <cellStyle name="Normal 6 8 6 4 4" xfId="39294"/>
    <cellStyle name="Normal 6 8 6 5" xfId="8035"/>
    <cellStyle name="Normal 6 8 6 5 2" xfId="16260"/>
    <cellStyle name="Normal 6 8 6 5 2 2" xfId="32710"/>
    <cellStyle name="Normal 6 8 6 5 3" xfId="24485"/>
    <cellStyle name="Normal 6 8 6 5 4" xfId="40939"/>
    <cellStyle name="Normal 6 8 6 6" xfId="9680"/>
    <cellStyle name="Normal 6 8 6 6 2" xfId="26130"/>
    <cellStyle name="Normal 6 8 6 7" xfId="17904"/>
    <cellStyle name="Normal 6 8 6 8" xfId="34358"/>
    <cellStyle name="Normal 6 8 7" xfId="1685"/>
    <cellStyle name="Normal 6 8 7 2" xfId="3335"/>
    <cellStyle name="Normal 6 8 7 2 2" xfId="11560"/>
    <cellStyle name="Normal 6 8 7 2 2 2" xfId="28010"/>
    <cellStyle name="Normal 6 8 7 2 3" xfId="19785"/>
    <cellStyle name="Normal 6 8 7 2 4" xfId="36239"/>
    <cellStyle name="Normal 6 8 7 3" xfId="4980"/>
    <cellStyle name="Normal 6 8 7 3 2" xfId="13205"/>
    <cellStyle name="Normal 6 8 7 3 2 2" xfId="29655"/>
    <cellStyle name="Normal 6 8 7 3 3" xfId="21430"/>
    <cellStyle name="Normal 6 8 7 3 4" xfId="37884"/>
    <cellStyle name="Normal 6 8 7 4" xfId="6625"/>
    <cellStyle name="Normal 6 8 7 4 2" xfId="14850"/>
    <cellStyle name="Normal 6 8 7 4 2 2" xfId="31300"/>
    <cellStyle name="Normal 6 8 7 4 3" xfId="23075"/>
    <cellStyle name="Normal 6 8 7 4 4" xfId="39529"/>
    <cellStyle name="Normal 6 8 7 5" xfId="8270"/>
    <cellStyle name="Normal 6 8 7 5 2" xfId="16495"/>
    <cellStyle name="Normal 6 8 7 5 2 2" xfId="32945"/>
    <cellStyle name="Normal 6 8 7 5 3" xfId="24720"/>
    <cellStyle name="Normal 6 8 7 5 4" xfId="41174"/>
    <cellStyle name="Normal 6 8 7 6" xfId="9915"/>
    <cellStyle name="Normal 6 8 7 6 2" xfId="26365"/>
    <cellStyle name="Normal 6 8 7 7" xfId="18139"/>
    <cellStyle name="Normal 6 8 7 8" xfId="34593"/>
    <cellStyle name="Normal 6 8 8" xfId="1920"/>
    <cellStyle name="Normal 6 8 8 2" xfId="10150"/>
    <cellStyle name="Normal 6 8 8 2 2" xfId="26600"/>
    <cellStyle name="Normal 6 8 8 3" xfId="18374"/>
    <cellStyle name="Normal 6 8 8 4" xfId="34828"/>
    <cellStyle name="Normal 6 8 9" xfId="3570"/>
    <cellStyle name="Normal 6 8 9 2" xfId="11795"/>
    <cellStyle name="Normal 6 8 9 2 2" xfId="28245"/>
    <cellStyle name="Normal 6 8 9 3" xfId="20020"/>
    <cellStyle name="Normal 6 8 9 4" xfId="36474"/>
    <cellStyle name="Normal 6 9" xfId="247"/>
    <cellStyle name="Normal 6 9 10" xfId="5242"/>
    <cellStyle name="Normal 6 9 10 2" xfId="13467"/>
    <cellStyle name="Normal 6 9 10 2 2" xfId="29917"/>
    <cellStyle name="Normal 6 9 10 3" xfId="21692"/>
    <cellStyle name="Normal 6 9 10 4" xfId="38146"/>
    <cellStyle name="Normal 6 9 11" xfId="6887"/>
    <cellStyle name="Normal 6 9 11 2" xfId="15112"/>
    <cellStyle name="Normal 6 9 11 2 2" xfId="31562"/>
    <cellStyle name="Normal 6 9 11 3" xfId="23337"/>
    <cellStyle name="Normal 6 9 11 4" xfId="39791"/>
    <cellStyle name="Normal 6 9 12" xfId="8532"/>
    <cellStyle name="Normal 6 9 12 2" xfId="24982"/>
    <cellStyle name="Normal 6 9 13" xfId="16756"/>
    <cellStyle name="Normal 6 9 14" xfId="33209"/>
    <cellStyle name="Normal 6 9 15" xfId="41437"/>
    <cellStyle name="Normal 6 9 2" xfId="490"/>
    <cellStyle name="Normal 6 9 2 2" xfId="2185"/>
    <cellStyle name="Normal 6 9 2 2 2" xfId="10412"/>
    <cellStyle name="Normal 6 9 2 2 2 2" xfId="26862"/>
    <cellStyle name="Normal 6 9 2 2 3" xfId="18637"/>
    <cellStyle name="Normal 6 9 2 2 4" xfId="35091"/>
    <cellStyle name="Normal 6 9 2 3" xfId="3832"/>
    <cellStyle name="Normal 6 9 2 3 2" xfId="12057"/>
    <cellStyle name="Normal 6 9 2 3 2 2" xfId="28507"/>
    <cellStyle name="Normal 6 9 2 3 3" xfId="20282"/>
    <cellStyle name="Normal 6 9 2 3 4" xfId="36736"/>
    <cellStyle name="Normal 6 9 2 4" xfId="5477"/>
    <cellStyle name="Normal 6 9 2 4 2" xfId="13702"/>
    <cellStyle name="Normal 6 9 2 4 2 2" xfId="30152"/>
    <cellStyle name="Normal 6 9 2 4 3" xfId="21927"/>
    <cellStyle name="Normal 6 9 2 4 4" xfId="38381"/>
    <cellStyle name="Normal 6 9 2 5" xfId="7122"/>
    <cellStyle name="Normal 6 9 2 5 2" xfId="15347"/>
    <cellStyle name="Normal 6 9 2 5 2 2" xfId="31797"/>
    <cellStyle name="Normal 6 9 2 5 3" xfId="23572"/>
    <cellStyle name="Normal 6 9 2 5 4" xfId="40026"/>
    <cellStyle name="Normal 6 9 2 6" xfId="8767"/>
    <cellStyle name="Normal 6 9 2 6 2" xfId="25217"/>
    <cellStyle name="Normal 6 9 2 7" xfId="16991"/>
    <cellStyle name="Normal 6 9 2 8" xfId="33445"/>
    <cellStyle name="Normal 6 9 2 9" xfId="41672"/>
    <cellStyle name="Normal 6 9 3" xfId="727"/>
    <cellStyle name="Normal 6 9 3 2" xfId="2422"/>
    <cellStyle name="Normal 6 9 3 2 2" xfId="10647"/>
    <cellStyle name="Normal 6 9 3 2 2 2" xfId="27097"/>
    <cellStyle name="Normal 6 9 3 2 3" xfId="18872"/>
    <cellStyle name="Normal 6 9 3 2 4" xfId="35326"/>
    <cellStyle name="Normal 6 9 3 3" xfId="4067"/>
    <cellStyle name="Normal 6 9 3 3 2" xfId="12292"/>
    <cellStyle name="Normal 6 9 3 3 2 2" xfId="28742"/>
    <cellStyle name="Normal 6 9 3 3 3" xfId="20517"/>
    <cellStyle name="Normal 6 9 3 3 4" xfId="36971"/>
    <cellStyle name="Normal 6 9 3 4" xfId="5712"/>
    <cellStyle name="Normal 6 9 3 4 2" xfId="13937"/>
    <cellStyle name="Normal 6 9 3 4 2 2" xfId="30387"/>
    <cellStyle name="Normal 6 9 3 4 3" xfId="22162"/>
    <cellStyle name="Normal 6 9 3 4 4" xfId="38616"/>
    <cellStyle name="Normal 6 9 3 5" xfId="7357"/>
    <cellStyle name="Normal 6 9 3 5 2" xfId="15582"/>
    <cellStyle name="Normal 6 9 3 5 2 2" xfId="32032"/>
    <cellStyle name="Normal 6 9 3 5 3" xfId="23807"/>
    <cellStyle name="Normal 6 9 3 5 4" xfId="40261"/>
    <cellStyle name="Normal 6 9 3 6" xfId="9002"/>
    <cellStyle name="Normal 6 9 3 6 2" xfId="25452"/>
    <cellStyle name="Normal 6 9 3 7" xfId="17226"/>
    <cellStyle name="Normal 6 9 3 8" xfId="33680"/>
    <cellStyle name="Normal 6 9 3 9" xfId="41907"/>
    <cellStyle name="Normal 6 9 4" xfId="962"/>
    <cellStyle name="Normal 6 9 4 2" xfId="2657"/>
    <cellStyle name="Normal 6 9 4 2 2" xfId="10882"/>
    <cellStyle name="Normal 6 9 4 2 2 2" xfId="27332"/>
    <cellStyle name="Normal 6 9 4 2 3" xfId="19107"/>
    <cellStyle name="Normal 6 9 4 2 4" xfId="35561"/>
    <cellStyle name="Normal 6 9 4 3" xfId="4302"/>
    <cellStyle name="Normal 6 9 4 3 2" xfId="12527"/>
    <cellStyle name="Normal 6 9 4 3 2 2" xfId="28977"/>
    <cellStyle name="Normal 6 9 4 3 3" xfId="20752"/>
    <cellStyle name="Normal 6 9 4 3 4" xfId="37206"/>
    <cellStyle name="Normal 6 9 4 4" xfId="5947"/>
    <cellStyle name="Normal 6 9 4 4 2" xfId="14172"/>
    <cellStyle name="Normal 6 9 4 4 2 2" xfId="30622"/>
    <cellStyle name="Normal 6 9 4 4 3" xfId="22397"/>
    <cellStyle name="Normal 6 9 4 4 4" xfId="38851"/>
    <cellStyle name="Normal 6 9 4 5" xfId="7592"/>
    <cellStyle name="Normal 6 9 4 5 2" xfId="15817"/>
    <cellStyle name="Normal 6 9 4 5 2 2" xfId="32267"/>
    <cellStyle name="Normal 6 9 4 5 3" xfId="24042"/>
    <cellStyle name="Normal 6 9 4 5 4" xfId="40496"/>
    <cellStyle name="Normal 6 9 4 6" xfId="9237"/>
    <cellStyle name="Normal 6 9 4 6 2" xfId="25687"/>
    <cellStyle name="Normal 6 9 4 7" xfId="17461"/>
    <cellStyle name="Normal 6 9 4 8" xfId="33915"/>
    <cellStyle name="Normal 6 9 4 9" xfId="42142"/>
    <cellStyle name="Normal 6 9 5" xfId="1197"/>
    <cellStyle name="Normal 6 9 5 2" xfId="2892"/>
    <cellStyle name="Normal 6 9 5 2 2" xfId="11117"/>
    <cellStyle name="Normal 6 9 5 2 2 2" xfId="27567"/>
    <cellStyle name="Normal 6 9 5 2 3" xfId="19342"/>
    <cellStyle name="Normal 6 9 5 2 4" xfId="35796"/>
    <cellStyle name="Normal 6 9 5 3" xfId="4537"/>
    <cellStyle name="Normal 6 9 5 3 2" xfId="12762"/>
    <cellStyle name="Normal 6 9 5 3 2 2" xfId="29212"/>
    <cellStyle name="Normal 6 9 5 3 3" xfId="20987"/>
    <cellStyle name="Normal 6 9 5 3 4" xfId="37441"/>
    <cellStyle name="Normal 6 9 5 4" xfId="6182"/>
    <cellStyle name="Normal 6 9 5 4 2" xfId="14407"/>
    <cellStyle name="Normal 6 9 5 4 2 2" xfId="30857"/>
    <cellStyle name="Normal 6 9 5 4 3" xfId="22632"/>
    <cellStyle name="Normal 6 9 5 4 4" xfId="39086"/>
    <cellStyle name="Normal 6 9 5 5" xfId="7827"/>
    <cellStyle name="Normal 6 9 5 5 2" xfId="16052"/>
    <cellStyle name="Normal 6 9 5 5 2 2" xfId="32502"/>
    <cellStyle name="Normal 6 9 5 5 3" xfId="24277"/>
    <cellStyle name="Normal 6 9 5 5 4" xfId="40731"/>
    <cellStyle name="Normal 6 9 5 6" xfId="9472"/>
    <cellStyle name="Normal 6 9 5 6 2" xfId="25922"/>
    <cellStyle name="Normal 6 9 5 7" xfId="17696"/>
    <cellStyle name="Normal 6 9 5 8" xfId="34150"/>
    <cellStyle name="Normal 6 9 5 9" xfId="42377"/>
    <cellStyle name="Normal 6 9 6" xfId="1477"/>
    <cellStyle name="Normal 6 9 6 2" xfId="3127"/>
    <cellStyle name="Normal 6 9 6 2 2" xfId="11352"/>
    <cellStyle name="Normal 6 9 6 2 2 2" xfId="27802"/>
    <cellStyle name="Normal 6 9 6 2 3" xfId="19577"/>
    <cellStyle name="Normal 6 9 6 2 4" xfId="36031"/>
    <cellStyle name="Normal 6 9 6 3" xfId="4772"/>
    <cellStyle name="Normal 6 9 6 3 2" xfId="12997"/>
    <cellStyle name="Normal 6 9 6 3 2 2" xfId="29447"/>
    <cellStyle name="Normal 6 9 6 3 3" xfId="21222"/>
    <cellStyle name="Normal 6 9 6 3 4" xfId="37676"/>
    <cellStyle name="Normal 6 9 6 4" xfId="6417"/>
    <cellStyle name="Normal 6 9 6 4 2" xfId="14642"/>
    <cellStyle name="Normal 6 9 6 4 2 2" xfId="31092"/>
    <cellStyle name="Normal 6 9 6 4 3" xfId="22867"/>
    <cellStyle name="Normal 6 9 6 4 4" xfId="39321"/>
    <cellStyle name="Normal 6 9 6 5" xfId="8062"/>
    <cellStyle name="Normal 6 9 6 5 2" xfId="16287"/>
    <cellStyle name="Normal 6 9 6 5 2 2" xfId="32737"/>
    <cellStyle name="Normal 6 9 6 5 3" xfId="24512"/>
    <cellStyle name="Normal 6 9 6 5 4" xfId="40966"/>
    <cellStyle name="Normal 6 9 6 6" xfId="9707"/>
    <cellStyle name="Normal 6 9 6 6 2" xfId="26157"/>
    <cellStyle name="Normal 6 9 6 7" xfId="17931"/>
    <cellStyle name="Normal 6 9 6 8" xfId="34385"/>
    <cellStyle name="Normal 6 9 7" xfId="1712"/>
    <cellStyle name="Normal 6 9 7 2" xfId="3362"/>
    <cellStyle name="Normal 6 9 7 2 2" xfId="11587"/>
    <cellStyle name="Normal 6 9 7 2 2 2" xfId="28037"/>
    <cellStyle name="Normal 6 9 7 2 3" xfId="19812"/>
    <cellStyle name="Normal 6 9 7 2 4" xfId="36266"/>
    <cellStyle name="Normal 6 9 7 3" xfId="5007"/>
    <cellStyle name="Normal 6 9 7 3 2" xfId="13232"/>
    <cellStyle name="Normal 6 9 7 3 2 2" xfId="29682"/>
    <cellStyle name="Normal 6 9 7 3 3" xfId="21457"/>
    <cellStyle name="Normal 6 9 7 3 4" xfId="37911"/>
    <cellStyle name="Normal 6 9 7 4" xfId="6652"/>
    <cellStyle name="Normal 6 9 7 4 2" xfId="14877"/>
    <cellStyle name="Normal 6 9 7 4 2 2" xfId="31327"/>
    <cellStyle name="Normal 6 9 7 4 3" xfId="23102"/>
    <cellStyle name="Normal 6 9 7 4 4" xfId="39556"/>
    <cellStyle name="Normal 6 9 7 5" xfId="8297"/>
    <cellStyle name="Normal 6 9 7 5 2" xfId="16522"/>
    <cellStyle name="Normal 6 9 7 5 2 2" xfId="32972"/>
    <cellStyle name="Normal 6 9 7 5 3" xfId="24747"/>
    <cellStyle name="Normal 6 9 7 5 4" xfId="41201"/>
    <cellStyle name="Normal 6 9 7 6" xfId="9942"/>
    <cellStyle name="Normal 6 9 7 6 2" xfId="26392"/>
    <cellStyle name="Normal 6 9 7 7" xfId="18166"/>
    <cellStyle name="Normal 6 9 7 8" xfId="34620"/>
    <cellStyle name="Normal 6 9 8" xfId="1947"/>
    <cellStyle name="Normal 6 9 8 2" xfId="10177"/>
    <cellStyle name="Normal 6 9 8 2 2" xfId="26627"/>
    <cellStyle name="Normal 6 9 8 3" xfId="18401"/>
    <cellStyle name="Normal 6 9 8 4" xfId="34855"/>
    <cellStyle name="Normal 6 9 9" xfId="3597"/>
    <cellStyle name="Normal 6 9 9 2" xfId="11822"/>
    <cellStyle name="Normal 6 9 9 2 2" xfId="28272"/>
    <cellStyle name="Normal 6 9 9 3" xfId="20047"/>
    <cellStyle name="Normal 6 9 9 4" xfId="36501"/>
    <cellStyle name="Normal 7" xfId="35"/>
    <cellStyle name="Normal 7 10" xfId="278"/>
    <cellStyle name="Normal 7 10 2" xfId="1979"/>
    <cellStyle name="Normal 7 10 2 2" xfId="10206"/>
    <cellStyle name="Normal 7 10 2 2 2" xfId="26656"/>
    <cellStyle name="Normal 7 10 2 3" xfId="18431"/>
    <cellStyle name="Normal 7 10 2 4" xfId="34885"/>
    <cellStyle name="Normal 7 10 3" xfId="3626"/>
    <cellStyle name="Normal 7 10 3 2" xfId="11851"/>
    <cellStyle name="Normal 7 10 3 2 2" xfId="28301"/>
    <cellStyle name="Normal 7 10 3 3" xfId="20076"/>
    <cellStyle name="Normal 7 10 3 4" xfId="36530"/>
    <cellStyle name="Normal 7 10 4" xfId="5271"/>
    <cellStyle name="Normal 7 10 4 2" xfId="13496"/>
    <cellStyle name="Normal 7 10 4 2 2" xfId="29946"/>
    <cellStyle name="Normal 7 10 4 3" xfId="21721"/>
    <cellStyle name="Normal 7 10 4 4" xfId="38175"/>
    <cellStyle name="Normal 7 10 5" xfId="6916"/>
    <cellStyle name="Normal 7 10 5 2" xfId="15141"/>
    <cellStyle name="Normal 7 10 5 2 2" xfId="31591"/>
    <cellStyle name="Normal 7 10 5 3" xfId="23366"/>
    <cellStyle name="Normal 7 10 5 4" xfId="39820"/>
    <cellStyle name="Normal 7 10 6" xfId="8561"/>
    <cellStyle name="Normal 7 10 6 2" xfId="25011"/>
    <cellStyle name="Normal 7 10 7" xfId="16785"/>
    <cellStyle name="Normal 7 10 8" xfId="33239"/>
    <cellStyle name="Normal 7 10 9" xfId="41466"/>
    <cellStyle name="Normal 7 11" xfId="521"/>
    <cellStyle name="Normal 7 11 2" xfId="2216"/>
    <cellStyle name="Normal 7 11 2 2" xfId="10441"/>
    <cellStyle name="Normal 7 11 2 2 2" xfId="26891"/>
    <cellStyle name="Normal 7 11 2 3" xfId="18666"/>
    <cellStyle name="Normal 7 11 2 4" xfId="35120"/>
    <cellStyle name="Normal 7 11 3" xfId="3861"/>
    <cellStyle name="Normal 7 11 3 2" xfId="12086"/>
    <cellStyle name="Normal 7 11 3 2 2" xfId="28536"/>
    <cellStyle name="Normal 7 11 3 3" xfId="20311"/>
    <cellStyle name="Normal 7 11 3 4" xfId="36765"/>
    <cellStyle name="Normal 7 11 4" xfId="5506"/>
    <cellStyle name="Normal 7 11 4 2" xfId="13731"/>
    <cellStyle name="Normal 7 11 4 2 2" xfId="30181"/>
    <cellStyle name="Normal 7 11 4 3" xfId="21956"/>
    <cellStyle name="Normal 7 11 4 4" xfId="38410"/>
    <cellStyle name="Normal 7 11 5" xfId="7151"/>
    <cellStyle name="Normal 7 11 5 2" xfId="15376"/>
    <cellStyle name="Normal 7 11 5 2 2" xfId="31826"/>
    <cellStyle name="Normal 7 11 5 3" xfId="23601"/>
    <cellStyle name="Normal 7 11 5 4" xfId="40055"/>
    <cellStyle name="Normal 7 11 6" xfId="8796"/>
    <cellStyle name="Normal 7 11 6 2" xfId="25246"/>
    <cellStyle name="Normal 7 11 7" xfId="17020"/>
    <cellStyle name="Normal 7 11 8" xfId="33474"/>
    <cellStyle name="Normal 7 11 9" xfId="41701"/>
    <cellStyle name="Normal 7 12" xfId="756"/>
    <cellStyle name="Normal 7 12 2" xfId="2451"/>
    <cellStyle name="Normal 7 12 2 2" xfId="10676"/>
    <cellStyle name="Normal 7 12 2 2 2" xfId="27126"/>
    <cellStyle name="Normal 7 12 2 3" xfId="18901"/>
    <cellStyle name="Normal 7 12 2 4" xfId="35355"/>
    <cellStyle name="Normal 7 12 3" xfId="4096"/>
    <cellStyle name="Normal 7 12 3 2" xfId="12321"/>
    <cellStyle name="Normal 7 12 3 2 2" xfId="28771"/>
    <cellStyle name="Normal 7 12 3 3" xfId="20546"/>
    <cellStyle name="Normal 7 12 3 4" xfId="37000"/>
    <cellStyle name="Normal 7 12 4" xfId="5741"/>
    <cellStyle name="Normal 7 12 4 2" xfId="13966"/>
    <cellStyle name="Normal 7 12 4 2 2" xfId="30416"/>
    <cellStyle name="Normal 7 12 4 3" xfId="22191"/>
    <cellStyle name="Normal 7 12 4 4" xfId="38645"/>
    <cellStyle name="Normal 7 12 5" xfId="7386"/>
    <cellStyle name="Normal 7 12 5 2" xfId="15611"/>
    <cellStyle name="Normal 7 12 5 2 2" xfId="32061"/>
    <cellStyle name="Normal 7 12 5 3" xfId="23836"/>
    <cellStyle name="Normal 7 12 5 4" xfId="40290"/>
    <cellStyle name="Normal 7 12 6" xfId="9031"/>
    <cellStyle name="Normal 7 12 6 2" xfId="25481"/>
    <cellStyle name="Normal 7 12 7" xfId="17255"/>
    <cellStyle name="Normal 7 12 8" xfId="33709"/>
    <cellStyle name="Normal 7 12 9" xfId="41936"/>
    <cellStyle name="Normal 7 13" xfId="991"/>
    <cellStyle name="Normal 7 13 2" xfId="2686"/>
    <cellStyle name="Normal 7 13 2 2" xfId="10911"/>
    <cellStyle name="Normal 7 13 2 2 2" xfId="27361"/>
    <cellStyle name="Normal 7 13 2 3" xfId="19136"/>
    <cellStyle name="Normal 7 13 2 4" xfId="35590"/>
    <cellStyle name="Normal 7 13 3" xfId="4331"/>
    <cellStyle name="Normal 7 13 3 2" xfId="12556"/>
    <cellStyle name="Normal 7 13 3 2 2" xfId="29006"/>
    <cellStyle name="Normal 7 13 3 3" xfId="20781"/>
    <cellStyle name="Normal 7 13 3 4" xfId="37235"/>
    <cellStyle name="Normal 7 13 4" xfId="5976"/>
    <cellStyle name="Normal 7 13 4 2" xfId="14201"/>
    <cellStyle name="Normal 7 13 4 2 2" xfId="30651"/>
    <cellStyle name="Normal 7 13 4 3" xfId="22426"/>
    <cellStyle name="Normal 7 13 4 4" xfId="38880"/>
    <cellStyle name="Normal 7 13 5" xfId="7621"/>
    <cellStyle name="Normal 7 13 5 2" xfId="15846"/>
    <cellStyle name="Normal 7 13 5 2 2" xfId="32296"/>
    <cellStyle name="Normal 7 13 5 3" xfId="24071"/>
    <cellStyle name="Normal 7 13 5 4" xfId="40525"/>
    <cellStyle name="Normal 7 13 6" xfId="9266"/>
    <cellStyle name="Normal 7 13 6 2" xfId="25716"/>
    <cellStyle name="Normal 7 13 7" xfId="17490"/>
    <cellStyle name="Normal 7 13 8" xfId="33944"/>
    <cellStyle name="Normal 7 13 9" xfId="42171"/>
    <cellStyle name="Normal 7 14" xfId="1271"/>
    <cellStyle name="Normal 7 14 2" xfId="2921"/>
    <cellStyle name="Normal 7 14 2 2" xfId="11146"/>
    <cellStyle name="Normal 7 14 2 2 2" xfId="27596"/>
    <cellStyle name="Normal 7 14 2 3" xfId="19371"/>
    <cellStyle name="Normal 7 14 2 4" xfId="35825"/>
    <cellStyle name="Normal 7 14 3" xfId="4566"/>
    <cellStyle name="Normal 7 14 3 2" xfId="12791"/>
    <cellStyle name="Normal 7 14 3 2 2" xfId="29241"/>
    <cellStyle name="Normal 7 14 3 3" xfId="21016"/>
    <cellStyle name="Normal 7 14 3 4" xfId="37470"/>
    <cellStyle name="Normal 7 14 4" xfId="6211"/>
    <cellStyle name="Normal 7 14 4 2" xfId="14436"/>
    <cellStyle name="Normal 7 14 4 2 2" xfId="30886"/>
    <cellStyle name="Normal 7 14 4 3" xfId="22661"/>
    <cellStyle name="Normal 7 14 4 4" xfId="39115"/>
    <cellStyle name="Normal 7 14 5" xfId="7856"/>
    <cellStyle name="Normal 7 14 5 2" xfId="16081"/>
    <cellStyle name="Normal 7 14 5 2 2" xfId="32531"/>
    <cellStyle name="Normal 7 14 5 3" xfId="24306"/>
    <cellStyle name="Normal 7 14 5 4" xfId="40760"/>
    <cellStyle name="Normal 7 14 6" xfId="9501"/>
    <cellStyle name="Normal 7 14 6 2" xfId="25951"/>
    <cellStyle name="Normal 7 14 7" xfId="17725"/>
    <cellStyle name="Normal 7 14 8" xfId="34179"/>
    <cellStyle name="Normal 7 15" xfId="1506"/>
    <cellStyle name="Normal 7 15 2" xfId="3156"/>
    <cellStyle name="Normal 7 15 2 2" xfId="11381"/>
    <cellStyle name="Normal 7 15 2 2 2" xfId="27831"/>
    <cellStyle name="Normal 7 15 2 3" xfId="19606"/>
    <cellStyle name="Normal 7 15 2 4" xfId="36060"/>
    <cellStyle name="Normal 7 15 3" xfId="4801"/>
    <cellStyle name="Normal 7 15 3 2" xfId="13026"/>
    <cellStyle name="Normal 7 15 3 2 2" xfId="29476"/>
    <cellStyle name="Normal 7 15 3 3" xfId="21251"/>
    <cellStyle name="Normal 7 15 3 4" xfId="37705"/>
    <cellStyle name="Normal 7 15 4" xfId="6446"/>
    <cellStyle name="Normal 7 15 4 2" xfId="14671"/>
    <cellStyle name="Normal 7 15 4 2 2" xfId="31121"/>
    <cellStyle name="Normal 7 15 4 3" xfId="22896"/>
    <cellStyle name="Normal 7 15 4 4" xfId="39350"/>
    <cellStyle name="Normal 7 15 5" xfId="8091"/>
    <cellStyle name="Normal 7 15 5 2" xfId="16316"/>
    <cellStyle name="Normal 7 15 5 2 2" xfId="32766"/>
    <cellStyle name="Normal 7 15 5 3" xfId="24541"/>
    <cellStyle name="Normal 7 15 5 4" xfId="40995"/>
    <cellStyle name="Normal 7 15 6" xfId="9736"/>
    <cellStyle name="Normal 7 15 6 2" xfId="26186"/>
    <cellStyle name="Normal 7 15 7" xfId="17960"/>
    <cellStyle name="Normal 7 15 8" xfId="34414"/>
    <cellStyle name="Normal 7 16" xfId="1741"/>
    <cellStyle name="Normal 7 16 2" xfId="9971"/>
    <cellStyle name="Normal 7 16 2 2" xfId="26421"/>
    <cellStyle name="Normal 7 16 3" xfId="18195"/>
    <cellStyle name="Normal 7 16 4" xfId="34649"/>
    <cellStyle name="Normal 7 17" xfId="3391"/>
    <cellStyle name="Normal 7 17 2" xfId="11616"/>
    <cellStyle name="Normal 7 17 2 2" xfId="28066"/>
    <cellStyle name="Normal 7 17 3" xfId="19841"/>
    <cellStyle name="Normal 7 17 4" xfId="36295"/>
    <cellStyle name="Normal 7 18" xfId="5036"/>
    <cellStyle name="Normal 7 18 2" xfId="13261"/>
    <cellStyle name="Normal 7 18 2 2" xfId="29711"/>
    <cellStyle name="Normal 7 18 3" xfId="21486"/>
    <cellStyle name="Normal 7 18 4" xfId="37940"/>
    <cellStyle name="Normal 7 19" xfId="6681"/>
    <cellStyle name="Normal 7 19 2" xfId="14906"/>
    <cellStyle name="Normal 7 19 2 2" xfId="31356"/>
    <cellStyle name="Normal 7 19 3" xfId="23131"/>
    <cellStyle name="Normal 7 19 4" xfId="39585"/>
    <cellStyle name="Normal 7 2" xfId="42"/>
    <cellStyle name="Normal 7 2 10" xfId="528"/>
    <cellStyle name="Normal 7 2 10 2" xfId="2223"/>
    <cellStyle name="Normal 7 2 10 2 2" xfId="10448"/>
    <cellStyle name="Normal 7 2 10 2 2 2" xfId="26898"/>
    <cellStyle name="Normal 7 2 10 2 3" xfId="18673"/>
    <cellStyle name="Normal 7 2 10 2 4" xfId="35127"/>
    <cellStyle name="Normal 7 2 10 3" xfId="3868"/>
    <cellStyle name="Normal 7 2 10 3 2" xfId="12093"/>
    <cellStyle name="Normal 7 2 10 3 2 2" xfId="28543"/>
    <cellStyle name="Normal 7 2 10 3 3" xfId="20318"/>
    <cellStyle name="Normal 7 2 10 3 4" xfId="36772"/>
    <cellStyle name="Normal 7 2 10 4" xfId="5513"/>
    <cellStyle name="Normal 7 2 10 4 2" xfId="13738"/>
    <cellStyle name="Normal 7 2 10 4 2 2" xfId="30188"/>
    <cellStyle name="Normal 7 2 10 4 3" xfId="21963"/>
    <cellStyle name="Normal 7 2 10 4 4" xfId="38417"/>
    <cellStyle name="Normal 7 2 10 5" xfId="7158"/>
    <cellStyle name="Normal 7 2 10 5 2" xfId="15383"/>
    <cellStyle name="Normal 7 2 10 5 2 2" xfId="31833"/>
    <cellStyle name="Normal 7 2 10 5 3" xfId="23608"/>
    <cellStyle name="Normal 7 2 10 5 4" xfId="40062"/>
    <cellStyle name="Normal 7 2 10 6" xfId="8803"/>
    <cellStyle name="Normal 7 2 10 6 2" xfId="25253"/>
    <cellStyle name="Normal 7 2 10 7" xfId="17027"/>
    <cellStyle name="Normal 7 2 10 8" xfId="33481"/>
    <cellStyle name="Normal 7 2 10 9" xfId="41708"/>
    <cellStyle name="Normal 7 2 11" xfId="763"/>
    <cellStyle name="Normal 7 2 11 2" xfId="2458"/>
    <cellStyle name="Normal 7 2 11 2 2" xfId="10683"/>
    <cellStyle name="Normal 7 2 11 2 2 2" xfId="27133"/>
    <cellStyle name="Normal 7 2 11 2 3" xfId="18908"/>
    <cellStyle name="Normal 7 2 11 2 4" xfId="35362"/>
    <cellStyle name="Normal 7 2 11 3" xfId="4103"/>
    <cellStyle name="Normal 7 2 11 3 2" xfId="12328"/>
    <cellStyle name="Normal 7 2 11 3 2 2" xfId="28778"/>
    <cellStyle name="Normal 7 2 11 3 3" xfId="20553"/>
    <cellStyle name="Normal 7 2 11 3 4" xfId="37007"/>
    <cellStyle name="Normal 7 2 11 4" xfId="5748"/>
    <cellStyle name="Normal 7 2 11 4 2" xfId="13973"/>
    <cellStyle name="Normal 7 2 11 4 2 2" xfId="30423"/>
    <cellStyle name="Normal 7 2 11 4 3" xfId="22198"/>
    <cellStyle name="Normal 7 2 11 4 4" xfId="38652"/>
    <cellStyle name="Normal 7 2 11 5" xfId="7393"/>
    <cellStyle name="Normal 7 2 11 5 2" xfId="15618"/>
    <cellStyle name="Normal 7 2 11 5 2 2" xfId="32068"/>
    <cellStyle name="Normal 7 2 11 5 3" xfId="23843"/>
    <cellStyle name="Normal 7 2 11 5 4" xfId="40297"/>
    <cellStyle name="Normal 7 2 11 6" xfId="9038"/>
    <cellStyle name="Normal 7 2 11 6 2" xfId="25488"/>
    <cellStyle name="Normal 7 2 11 7" xfId="17262"/>
    <cellStyle name="Normal 7 2 11 8" xfId="33716"/>
    <cellStyle name="Normal 7 2 11 9" xfId="41943"/>
    <cellStyle name="Normal 7 2 12" xfId="998"/>
    <cellStyle name="Normal 7 2 12 2" xfId="2693"/>
    <cellStyle name="Normal 7 2 12 2 2" xfId="10918"/>
    <cellStyle name="Normal 7 2 12 2 2 2" xfId="27368"/>
    <cellStyle name="Normal 7 2 12 2 3" xfId="19143"/>
    <cellStyle name="Normal 7 2 12 2 4" xfId="35597"/>
    <cellStyle name="Normal 7 2 12 3" xfId="4338"/>
    <cellStyle name="Normal 7 2 12 3 2" xfId="12563"/>
    <cellStyle name="Normal 7 2 12 3 2 2" xfId="29013"/>
    <cellStyle name="Normal 7 2 12 3 3" xfId="20788"/>
    <cellStyle name="Normal 7 2 12 3 4" xfId="37242"/>
    <cellStyle name="Normal 7 2 12 4" xfId="5983"/>
    <cellStyle name="Normal 7 2 12 4 2" xfId="14208"/>
    <cellStyle name="Normal 7 2 12 4 2 2" xfId="30658"/>
    <cellStyle name="Normal 7 2 12 4 3" xfId="22433"/>
    <cellStyle name="Normal 7 2 12 4 4" xfId="38887"/>
    <cellStyle name="Normal 7 2 12 5" xfId="7628"/>
    <cellStyle name="Normal 7 2 12 5 2" xfId="15853"/>
    <cellStyle name="Normal 7 2 12 5 2 2" xfId="32303"/>
    <cellStyle name="Normal 7 2 12 5 3" xfId="24078"/>
    <cellStyle name="Normal 7 2 12 5 4" xfId="40532"/>
    <cellStyle name="Normal 7 2 12 6" xfId="9273"/>
    <cellStyle name="Normal 7 2 12 6 2" xfId="25723"/>
    <cellStyle name="Normal 7 2 12 7" xfId="17497"/>
    <cellStyle name="Normal 7 2 12 8" xfId="33951"/>
    <cellStyle name="Normal 7 2 12 9" xfId="42178"/>
    <cellStyle name="Normal 7 2 13" xfId="1278"/>
    <cellStyle name="Normal 7 2 13 2" xfId="2928"/>
    <cellStyle name="Normal 7 2 13 2 2" xfId="11153"/>
    <cellStyle name="Normal 7 2 13 2 2 2" xfId="27603"/>
    <cellStyle name="Normal 7 2 13 2 3" xfId="19378"/>
    <cellStyle name="Normal 7 2 13 2 4" xfId="35832"/>
    <cellStyle name="Normal 7 2 13 3" xfId="4573"/>
    <cellStyle name="Normal 7 2 13 3 2" xfId="12798"/>
    <cellStyle name="Normal 7 2 13 3 2 2" xfId="29248"/>
    <cellStyle name="Normal 7 2 13 3 3" xfId="21023"/>
    <cellStyle name="Normal 7 2 13 3 4" xfId="37477"/>
    <cellStyle name="Normal 7 2 13 4" xfId="6218"/>
    <cellStyle name="Normal 7 2 13 4 2" xfId="14443"/>
    <cellStyle name="Normal 7 2 13 4 2 2" xfId="30893"/>
    <cellStyle name="Normal 7 2 13 4 3" xfId="22668"/>
    <cellStyle name="Normal 7 2 13 4 4" xfId="39122"/>
    <cellStyle name="Normal 7 2 13 5" xfId="7863"/>
    <cellStyle name="Normal 7 2 13 5 2" xfId="16088"/>
    <cellStyle name="Normal 7 2 13 5 2 2" xfId="32538"/>
    <cellStyle name="Normal 7 2 13 5 3" xfId="24313"/>
    <cellStyle name="Normal 7 2 13 5 4" xfId="40767"/>
    <cellStyle name="Normal 7 2 13 6" xfId="9508"/>
    <cellStyle name="Normal 7 2 13 6 2" xfId="25958"/>
    <cellStyle name="Normal 7 2 13 7" xfId="17732"/>
    <cellStyle name="Normal 7 2 13 8" xfId="34186"/>
    <cellStyle name="Normal 7 2 14" xfId="1513"/>
    <cellStyle name="Normal 7 2 14 2" xfId="3163"/>
    <cellStyle name="Normal 7 2 14 2 2" xfId="11388"/>
    <cellStyle name="Normal 7 2 14 2 2 2" xfId="27838"/>
    <cellStyle name="Normal 7 2 14 2 3" xfId="19613"/>
    <cellStyle name="Normal 7 2 14 2 4" xfId="36067"/>
    <cellStyle name="Normal 7 2 14 3" xfId="4808"/>
    <cellStyle name="Normal 7 2 14 3 2" xfId="13033"/>
    <cellStyle name="Normal 7 2 14 3 2 2" xfId="29483"/>
    <cellStyle name="Normal 7 2 14 3 3" xfId="21258"/>
    <cellStyle name="Normal 7 2 14 3 4" xfId="37712"/>
    <cellStyle name="Normal 7 2 14 4" xfId="6453"/>
    <cellStyle name="Normal 7 2 14 4 2" xfId="14678"/>
    <cellStyle name="Normal 7 2 14 4 2 2" xfId="31128"/>
    <cellStyle name="Normal 7 2 14 4 3" xfId="22903"/>
    <cellStyle name="Normal 7 2 14 4 4" xfId="39357"/>
    <cellStyle name="Normal 7 2 14 5" xfId="8098"/>
    <cellStyle name="Normal 7 2 14 5 2" xfId="16323"/>
    <cellStyle name="Normal 7 2 14 5 2 2" xfId="32773"/>
    <cellStyle name="Normal 7 2 14 5 3" xfId="24548"/>
    <cellStyle name="Normal 7 2 14 5 4" xfId="41002"/>
    <cellStyle name="Normal 7 2 14 6" xfId="9743"/>
    <cellStyle name="Normal 7 2 14 6 2" xfId="26193"/>
    <cellStyle name="Normal 7 2 14 7" xfId="17967"/>
    <cellStyle name="Normal 7 2 14 8" xfId="34421"/>
    <cellStyle name="Normal 7 2 15" xfId="1748"/>
    <cellStyle name="Normal 7 2 15 2" xfId="9978"/>
    <cellStyle name="Normal 7 2 15 2 2" xfId="26428"/>
    <cellStyle name="Normal 7 2 15 3" xfId="18202"/>
    <cellStyle name="Normal 7 2 15 4" xfId="34656"/>
    <cellStyle name="Normal 7 2 16" xfId="3398"/>
    <cellStyle name="Normal 7 2 16 2" xfId="11623"/>
    <cellStyle name="Normal 7 2 16 2 2" xfId="28073"/>
    <cellStyle name="Normal 7 2 16 3" xfId="19848"/>
    <cellStyle name="Normal 7 2 16 4" xfId="36302"/>
    <cellStyle name="Normal 7 2 17" xfId="5043"/>
    <cellStyle name="Normal 7 2 17 2" xfId="13268"/>
    <cellStyle name="Normal 7 2 17 2 2" xfId="29718"/>
    <cellStyle name="Normal 7 2 17 3" xfId="21493"/>
    <cellStyle name="Normal 7 2 17 4" xfId="37947"/>
    <cellStyle name="Normal 7 2 18" xfId="6688"/>
    <cellStyle name="Normal 7 2 18 2" xfId="14913"/>
    <cellStyle name="Normal 7 2 18 2 2" xfId="31363"/>
    <cellStyle name="Normal 7 2 18 3" xfId="23138"/>
    <cellStyle name="Normal 7 2 18 4" xfId="39592"/>
    <cellStyle name="Normal 7 2 19" xfId="8333"/>
    <cellStyle name="Normal 7 2 19 2" xfId="24783"/>
    <cellStyle name="Normal 7 2 2" xfId="69"/>
    <cellStyle name="Normal 7 2 2 10" xfId="3423"/>
    <cellStyle name="Normal 7 2 2 10 2" xfId="11648"/>
    <cellStyle name="Normal 7 2 2 10 2 2" xfId="28098"/>
    <cellStyle name="Normal 7 2 2 10 3" xfId="19873"/>
    <cellStyle name="Normal 7 2 2 10 4" xfId="36327"/>
    <cellStyle name="Normal 7 2 2 11" xfId="5068"/>
    <cellStyle name="Normal 7 2 2 11 2" xfId="13293"/>
    <cellStyle name="Normal 7 2 2 11 2 2" xfId="29743"/>
    <cellStyle name="Normal 7 2 2 11 3" xfId="21518"/>
    <cellStyle name="Normal 7 2 2 11 4" xfId="37972"/>
    <cellStyle name="Normal 7 2 2 12" xfId="6713"/>
    <cellStyle name="Normal 7 2 2 12 2" xfId="14938"/>
    <cellStyle name="Normal 7 2 2 12 2 2" xfId="31388"/>
    <cellStyle name="Normal 7 2 2 12 3" xfId="23163"/>
    <cellStyle name="Normal 7 2 2 12 4" xfId="39617"/>
    <cellStyle name="Normal 7 2 2 13" xfId="8358"/>
    <cellStyle name="Normal 7 2 2 13 2" xfId="24808"/>
    <cellStyle name="Normal 7 2 2 14" xfId="16582"/>
    <cellStyle name="Normal 7 2 2 15" xfId="33035"/>
    <cellStyle name="Normal 7 2 2 16" xfId="41263"/>
    <cellStyle name="Normal 7 2 2 2" xfId="119"/>
    <cellStyle name="Normal 7 2 2 2 10" xfId="5118"/>
    <cellStyle name="Normal 7 2 2 2 10 2" xfId="13343"/>
    <cellStyle name="Normal 7 2 2 2 10 2 2" xfId="29793"/>
    <cellStyle name="Normal 7 2 2 2 10 3" xfId="21568"/>
    <cellStyle name="Normal 7 2 2 2 10 4" xfId="38022"/>
    <cellStyle name="Normal 7 2 2 2 11" xfId="6763"/>
    <cellStyle name="Normal 7 2 2 2 11 2" xfId="14988"/>
    <cellStyle name="Normal 7 2 2 2 11 2 2" xfId="31438"/>
    <cellStyle name="Normal 7 2 2 2 11 3" xfId="23213"/>
    <cellStyle name="Normal 7 2 2 2 11 4" xfId="39667"/>
    <cellStyle name="Normal 7 2 2 2 12" xfId="8408"/>
    <cellStyle name="Normal 7 2 2 2 12 2" xfId="24858"/>
    <cellStyle name="Normal 7 2 2 2 13" xfId="16632"/>
    <cellStyle name="Normal 7 2 2 2 14" xfId="33085"/>
    <cellStyle name="Normal 7 2 2 2 15" xfId="41313"/>
    <cellStyle name="Normal 7 2 2 2 2" xfId="362"/>
    <cellStyle name="Normal 7 2 2 2 2 2" xfId="2061"/>
    <cellStyle name="Normal 7 2 2 2 2 2 2" xfId="10288"/>
    <cellStyle name="Normal 7 2 2 2 2 2 2 2" xfId="26738"/>
    <cellStyle name="Normal 7 2 2 2 2 2 3" xfId="18513"/>
    <cellStyle name="Normal 7 2 2 2 2 2 4" xfId="34967"/>
    <cellStyle name="Normal 7 2 2 2 2 3" xfId="3708"/>
    <cellStyle name="Normal 7 2 2 2 2 3 2" xfId="11933"/>
    <cellStyle name="Normal 7 2 2 2 2 3 2 2" xfId="28383"/>
    <cellStyle name="Normal 7 2 2 2 2 3 3" xfId="20158"/>
    <cellStyle name="Normal 7 2 2 2 2 3 4" xfId="36612"/>
    <cellStyle name="Normal 7 2 2 2 2 4" xfId="5353"/>
    <cellStyle name="Normal 7 2 2 2 2 4 2" xfId="13578"/>
    <cellStyle name="Normal 7 2 2 2 2 4 2 2" xfId="30028"/>
    <cellStyle name="Normal 7 2 2 2 2 4 3" xfId="21803"/>
    <cellStyle name="Normal 7 2 2 2 2 4 4" xfId="38257"/>
    <cellStyle name="Normal 7 2 2 2 2 5" xfId="6998"/>
    <cellStyle name="Normal 7 2 2 2 2 5 2" xfId="15223"/>
    <cellStyle name="Normal 7 2 2 2 2 5 2 2" xfId="31673"/>
    <cellStyle name="Normal 7 2 2 2 2 5 3" xfId="23448"/>
    <cellStyle name="Normal 7 2 2 2 2 5 4" xfId="39902"/>
    <cellStyle name="Normal 7 2 2 2 2 6" xfId="8643"/>
    <cellStyle name="Normal 7 2 2 2 2 6 2" xfId="25093"/>
    <cellStyle name="Normal 7 2 2 2 2 7" xfId="16867"/>
    <cellStyle name="Normal 7 2 2 2 2 8" xfId="33321"/>
    <cellStyle name="Normal 7 2 2 2 2 9" xfId="41548"/>
    <cellStyle name="Normal 7 2 2 2 3" xfId="603"/>
    <cellStyle name="Normal 7 2 2 2 3 2" xfId="2298"/>
    <cellStyle name="Normal 7 2 2 2 3 2 2" xfId="10523"/>
    <cellStyle name="Normal 7 2 2 2 3 2 2 2" xfId="26973"/>
    <cellStyle name="Normal 7 2 2 2 3 2 3" xfId="18748"/>
    <cellStyle name="Normal 7 2 2 2 3 2 4" xfId="35202"/>
    <cellStyle name="Normal 7 2 2 2 3 3" xfId="3943"/>
    <cellStyle name="Normal 7 2 2 2 3 3 2" xfId="12168"/>
    <cellStyle name="Normal 7 2 2 2 3 3 2 2" xfId="28618"/>
    <cellStyle name="Normal 7 2 2 2 3 3 3" xfId="20393"/>
    <cellStyle name="Normal 7 2 2 2 3 3 4" xfId="36847"/>
    <cellStyle name="Normal 7 2 2 2 3 4" xfId="5588"/>
    <cellStyle name="Normal 7 2 2 2 3 4 2" xfId="13813"/>
    <cellStyle name="Normal 7 2 2 2 3 4 2 2" xfId="30263"/>
    <cellStyle name="Normal 7 2 2 2 3 4 3" xfId="22038"/>
    <cellStyle name="Normal 7 2 2 2 3 4 4" xfId="38492"/>
    <cellStyle name="Normal 7 2 2 2 3 5" xfId="7233"/>
    <cellStyle name="Normal 7 2 2 2 3 5 2" xfId="15458"/>
    <cellStyle name="Normal 7 2 2 2 3 5 2 2" xfId="31908"/>
    <cellStyle name="Normal 7 2 2 2 3 5 3" xfId="23683"/>
    <cellStyle name="Normal 7 2 2 2 3 5 4" xfId="40137"/>
    <cellStyle name="Normal 7 2 2 2 3 6" xfId="8878"/>
    <cellStyle name="Normal 7 2 2 2 3 6 2" xfId="25328"/>
    <cellStyle name="Normal 7 2 2 2 3 7" xfId="17102"/>
    <cellStyle name="Normal 7 2 2 2 3 8" xfId="33556"/>
    <cellStyle name="Normal 7 2 2 2 3 9" xfId="41783"/>
    <cellStyle name="Normal 7 2 2 2 4" xfId="838"/>
    <cellStyle name="Normal 7 2 2 2 4 2" xfId="2533"/>
    <cellStyle name="Normal 7 2 2 2 4 2 2" xfId="10758"/>
    <cellStyle name="Normal 7 2 2 2 4 2 2 2" xfId="27208"/>
    <cellStyle name="Normal 7 2 2 2 4 2 3" xfId="18983"/>
    <cellStyle name="Normal 7 2 2 2 4 2 4" xfId="35437"/>
    <cellStyle name="Normal 7 2 2 2 4 3" xfId="4178"/>
    <cellStyle name="Normal 7 2 2 2 4 3 2" xfId="12403"/>
    <cellStyle name="Normal 7 2 2 2 4 3 2 2" xfId="28853"/>
    <cellStyle name="Normal 7 2 2 2 4 3 3" xfId="20628"/>
    <cellStyle name="Normal 7 2 2 2 4 3 4" xfId="37082"/>
    <cellStyle name="Normal 7 2 2 2 4 4" xfId="5823"/>
    <cellStyle name="Normal 7 2 2 2 4 4 2" xfId="14048"/>
    <cellStyle name="Normal 7 2 2 2 4 4 2 2" xfId="30498"/>
    <cellStyle name="Normal 7 2 2 2 4 4 3" xfId="22273"/>
    <cellStyle name="Normal 7 2 2 2 4 4 4" xfId="38727"/>
    <cellStyle name="Normal 7 2 2 2 4 5" xfId="7468"/>
    <cellStyle name="Normal 7 2 2 2 4 5 2" xfId="15693"/>
    <cellStyle name="Normal 7 2 2 2 4 5 2 2" xfId="32143"/>
    <cellStyle name="Normal 7 2 2 2 4 5 3" xfId="23918"/>
    <cellStyle name="Normal 7 2 2 2 4 5 4" xfId="40372"/>
    <cellStyle name="Normal 7 2 2 2 4 6" xfId="9113"/>
    <cellStyle name="Normal 7 2 2 2 4 6 2" xfId="25563"/>
    <cellStyle name="Normal 7 2 2 2 4 7" xfId="17337"/>
    <cellStyle name="Normal 7 2 2 2 4 8" xfId="33791"/>
    <cellStyle name="Normal 7 2 2 2 4 9" xfId="42018"/>
    <cellStyle name="Normal 7 2 2 2 5" xfId="1073"/>
    <cellStyle name="Normal 7 2 2 2 5 2" xfId="2768"/>
    <cellStyle name="Normal 7 2 2 2 5 2 2" xfId="10993"/>
    <cellStyle name="Normal 7 2 2 2 5 2 2 2" xfId="27443"/>
    <cellStyle name="Normal 7 2 2 2 5 2 3" xfId="19218"/>
    <cellStyle name="Normal 7 2 2 2 5 2 4" xfId="35672"/>
    <cellStyle name="Normal 7 2 2 2 5 3" xfId="4413"/>
    <cellStyle name="Normal 7 2 2 2 5 3 2" xfId="12638"/>
    <cellStyle name="Normal 7 2 2 2 5 3 2 2" xfId="29088"/>
    <cellStyle name="Normal 7 2 2 2 5 3 3" xfId="20863"/>
    <cellStyle name="Normal 7 2 2 2 5 3 4" xfId="37317"/>
    <cellStyle name="Normal 7 2 2 2 5 4" xfId="6058"/>
    <cellStyle name="Normal 7 2 2 2 5 4 2" xfId="14283"/>
    <cellStyle name="Normal 7 2 2 2 5 4 2 2" xfId="30733"/>
    <cellStyle name="Normal 7 2 2 2 5 4 3" xfId="22508"/>
    <cellStyle name="Normal 7 2 2 2 5 4 4" xfId="38962"/>
    <cellStyle name="Normal 7 2 2 2 5 5" xfId="7703"/>
    <cellStyle name="Normal 7 2 2 2 5 5 2" xfId="15928"/>
    <cellStyle name="Normal 7 2 2 2 5 5 2 2" xfId="32378"/>
    <cellStyle name="Normal 7 2 2 2 5 5 3" xfId="24153"/>
    <cellStyle name="Normal 7 2 2 2 5 5 4" xfId="40607"/>
    <cellStyle name="Normal 7 2 2 2 5 6" xfId="9348"/>
    <cellStyle name="Normal 7 2 2 2 5 6 2" xfId="25798"/>
    <cellStyle name="Normal 7 2 2 2 5 7" xfId="17572"/>
    <cellStyle name="Normal 7 2 2 2 5 8" xfId="34026"/>
    <cellStyle name="Normal 7 2 2 2 5 9" xfId="42253"/>
    <cellStyle name="Normal 7 2 2 2 6" xfId="1353"/>
    <cellStyle name="Normal 7 2 2 2 6 2" xfId="3003"/>
    <cellStyle name="Normal 7 2 2 2 6 2 2" xfId="11228"/>
    <cellStyle name="Normal 7 2 2 2 6 2 2 2" xfId="27678"/>
    <cellStyle name="Normal 7 2 2 2 6 2 3" xfId="19453"/>
    <cellStyle name="Normal 7 2 2 2 6 2 4" xfId="35907"/>
    <cellStyle name="Normal 7 2 2 2 6 3" xfId="4648"/>
    <cellStyle name="Normal 7 2 2 2 6 3 2" xfId="12873"/>
    <cellStyle name="Normal 7 2 2 2 6 3 2 2" xfId="29323"/>
    <cellStyle name="Normal 7 2 2 2 6 3 3" xfId="21098"/>
    <cellStyle name="Normal 7 2 2 2 6 3 4" xfId="37552"/>
    <cellStyle name="Normal 7 2 2 2 6 4" xfId="6293"/>
    <cellStyle name="Normal 7 2 2 2 6 4 2" xfId="14518"/>
    <cellStyle name="Normal 7 2 2 2 6 4 2 2" xfId="30968"/>
    <cellStyle name="Normal 7 2 2 2 6 4 3" xfId="22743"/>
    <cellStyle name="Normal 7 2 2 2 6 4 4" xfId="39197"/>
    <cellStyle name="Normal 7 2 2 2 6 5" xfId="7938"/>
    <cellStyle name="Normal 7 2 2 2 6 5 2" xfId="16163"/>
    <cellStyle name="Normal 7 2 2 2 6 5 2 2" xfId="32613"/>
    <cellStyle name="Normal 7 2 2 2 6 5 3" xfId="24388"/>
    <cellStyle name="Normal 7 2 2 2 6 5 4" xfId="40842"/>
    <cellStyle name="Normal 7 2 2 2 6 6" xfId="9583"/>
    <cellStyle name="Normal 7 2 2 2 6 6 2" xfId="26033"/>
    <cellStyle name="Normal 7 2 2 2 6 7" xfId="17807"/>
    <cellStyle name="Normal 7 2 2 2 6 8" xfId="34261"/>
    <cellStyle name="Normal 7 2 2 2 7" xfId="1588"/>
    <cellStyle name="Normal 7 2 2 2 7 2" xfId="3238"/>
    <cellStyle name="Normal 7 2 2 2 7 2 2" xfId="11463"/>
    <cellStyle name="Normal 7 2 2 2 7 2 2 2" xfId="27913"/>
    <cellStyle name="Normal 7 2 2 2 7 2 3" xfId="19688"/>
    <cellStyle name="Normal 7 2 2 2 7 2 4" xfId="36142"/>
    <cellStyle name="Normal 7 2 2 2 7 3" xfId="4883"/>
    <cellStyle name="Normal 7 2 2 2 7 3 2" xfId="13108"/>
    <cellStyle name="Normal 7 2 2 2 7 3 2 2" xfId="29558"/>
    <cellStyle name="Normal 7 2 2 2 7 3 3" xfId="21333"/>
    <cellStyle name="Normal 7 2 2 2 7 3 4" xfId="37787"/>
    <cellStyle name="Normal 7 2 2 2 7 4" xfId="6528"/>
    <cellStyle name="Normal 7 2 2 2 7 4 2" xfId="14753"/>
    <cellStyle name="Normal 7 2 2 2 7 4 2 2" xfId="31203"/>
    <cellStyle name="Normal 7 2 2 2 7 4 3" xfId="22978"/>
    <cellStyle name="Normal 7 2 2 2 7 4 4" xfId="39432"/>
    <cellStyle name="Normal 7 2 2 2 7 5" xfId="8173"/>
    <cellStyle name="Normal 7 2 2 2 7 5 2" xfId="16398"/>
    <cellStyle name="Normal 7 2 2 2 7 5 2 2" xfId="32848"/>
    <cellStyle name="Normal 7 2 2 2 7 5 3" xfId="24623"/>
    <cellStyle name="Normal 7 2 2 2 7 5 4" xfId="41077"/>
    <cellStyle name="Normal 7 2 2 2 7 6" xfId="9818"/>
    <cellStyle name="Normal 7 2 2 2 7 6 2" xfId="26268"/>
    <cellStyle name="Normal 7 2 2 2 7 7" xfId="18042"/>
    <cellStyle name="Normal 7 2 2 2 7 8" xfId="34496"/>
    <cellStyle name="Normal 7 2 2 2 8" xfId="1823"/>
    <cellStyle name="Normal 7 2 2 2 8 2" xfId="10053"/>
    <cellStyle name="Normal 7 2 2 2 8 2 2" xfId="26503"/>
    <cellStyle name="Normal 7 2 2 2 8 3" xfId="18277"/>
    <cellStyle name="Normal 7 2 2 2 8 4" xfId="34731"/>
    <cellStyle name="Normal 7 2 2 2 9" xfId="3473"/>
    <cellStyle name="Normal 7 2 2 2 9 2" xfId="11698"/>
    <cellStyle name="Normal 7 2 2 2 9 2 2" xfId="28148"/>
    <cellStyle name="Normal 7 2 2 2 9 3" xfId="19923"/>
    <cellStyle name="Normal 7 2 2 2 9 4" xfId="36377"/>
    <cellStyle name="Normal 7 2 2 3" xfId="312"/>
    <cellStyle name="Normal 7 2 2 3 2" xfId="2011"/>
    <cellStyle name="Normal 7 2 2 3 2 2" xfId="10238"/>
    <cellStyle name="Normal 7 2 2 3 2 2 2" xfId="26688"/>
    <cellStyle name="Normal 7 2 2 3 2 3" xfId="18463"/>
    <cellStyle name="Normal 7 2 2 3 2 4" xfId="34917"/>
    <cellStyle name="Normal 7 2 2 3 3" xfId="3658"/>
    <cellStyle name="Normal 7 2 2 3 3 2" xfId="11883"/>
    <cellStyle name="Normal 7 2 2 3 3 2 2" xfId="28333"/>
    <cellStyle name="Normal 7 2 2 3 3 3" xfId="20108"/>
    <cellStyle name="Normal 7 2 2 3 3 4" xfId="36562"/>
    <cellStyle name="Normal 7 2 2 3 4" xfId="5303"/>
    <cellStyle name="Normal 7 2 2 3 4 2" xfId="13528"/>
    <cellStyle name="Normal 7 2 2 3 4 2 2" xfId="29978"/>
    <cellStyle name="Normal 7 2 2 3 4 3" xfId="21753"/>
    <cellStyle name="Normal 7 2 2 3 4 4" xfId="38207"/>
    <cellStyle name="Normal 7 2 2 3 5" xfId="6948"/>
    <cellStyle name="Normal 7 2 2 3 5 2" xfId="15173"/>
    <cellStyle name="Normal 7 2 2 3 5 2 2" xfId="31623"/>
    <cellStyle name="Normal 7 2 2 3 5 3" xfId="23398"/>
    <cellStyle name="Normal 7 2 2 3 5 4" xfId="39852"/>
    <cellStyle name="Normal 7 2 2 3 6" xfId="8593"/>
    <cellStyle name="Normal 7 2 2 3 6 2" xfId="25043"/>
    <cellStyle name="Normal 7 2 2 3 7" xfId="16817"/>
    <cellStyle name="Normal 7 2 2 3 8" xfId="33271"/>
    <cellStyle name="Normal 7 2 2 3 9" xfId="41498"/>
    <cellStyle name="Normal 7 2 2 4" xfId="553"/>
    <cellStyle name="Normal 7 2 2 4 2" xfId="2248"/>
    <cellStyle name="Normal 7 2 2 4 2 2" xfId="10473"/>
    <cellStyle name="Normal 7 2 2 4 2 2 2" xfId="26923"/>
    <cellStyle name="Normal 7 2 2 4 2 3" xfId="18698"/>
    <cellStyle name="Normal 7 2 2 4 2 4" xfId="35152"/>
    <cellStyle name="Normal 7 2 2 4 3" xfId="3893"/>
    <cellStyle name="Normal 7 2 2 4 3 2" xfId="12118"/>
    <cellStyle name="Normal 7 2 2 4 3 2 2" xfId="28568"/>
    <cellStyle name="Normal 7 2 2 4 3 3" xfId="20343"/>
    <cellStyle name="Normal 7 2 2 4 3 4" xfId="36797"/>
    <cellStyle name="Normal 7 2 2 4 4" xfId="5538"/>
    <cellStyle name="Normal 7 2 2 4 4 2" xfId="13763"/>
    <cellStyle name="Normal 7 2 2 4 4 2 2" xfId="30213"/>
    <cellStyle name="Normal 7 2 2 4 4 3" xfId="21988"/>
    <cellStyle name="Normal 7 2 2 4 4 4" xfId="38442"/>
    <cellStyle name="Normal 7 2 2 4 5" xfId="7183"/>
    <cellStyle name="Normal 7 2 2 4 5 2" xfId="15408"/>
    <cellStyle name="Normal 7 2 2 4 5 2 2" xfId="31858"/>
    <cellStyle name="Normal 7 2 2 4 5 3" xfId="23633"/>
    <cellStyle name="Normal 7 2 2 4 5 4" xfId="40087"/>
    <cellStyle name="Normal 7 2 2 4 6" xfId="8828"/>
    <cellStyle name="Normal 7 2 2 4 6 2" xfId="25278"/>
    <cellStyle name="Normal 7 2 2 4 7" xfId="17052"/>
    <cellStyle name="Normal 7 2 2 4 8" xfId="33506"/>
    <cellStyle name="Normal 7 2 2 4 9" xfId="41733"/>
    <cellStyle name="Normal 7 2 2 5" xfId="788"/>
    <cellStyle name="Normal 7 2 2 5 2" xfId="2483"/>
    <cellStyle name="Normal 7 2 2 5 2 2" xfId="10708"/>
    <cellStyle name="Normal 7 2 2 5 2 2 2" xfId="27158"/>
    <cellStyle name="Normal 7 2 2 5 2 3" xfId="18933"/>
    <cellStyle name="Normal 7 2 2 5 2 4" xfId="35387"/>
    <cellStyle name="Normal 7 2 2 5 3" xfId="4128"/>
    <cellStyle name="Normal 7 2 2 5 3 2" xfId="12353"/>
    <cellStyle name="Normal 7 2 2 5 3 2 2" xfId="28803"/>
    <cellStyle name="Normal 7 2 2 5 3 3" xfId="20578"/>
    <cellStyle name="Normal 7 2 2 5 3 4" xfId="37032"/>
    <cellStyle name="Normal 7 2 2 5 4" xfId="5773"/>
    <cellStyle name="Normal 7 2 2 5 4 2" xfId="13998"/>
    <cellStyle name="Normal 7 2 2 5 4 2 2" xfId="30448"/>
    <cellStyle name="Normal 7 2 2 5 4 3" xfId="22223"/>
    <cellStyle name="Normal 7 2 2 5 4 4" xfId="38677"/>
    <cellStyle name="Normal 7 2 2 5 5" xfId="7418"/>
    <cellStyle name="Normal 7 2 2 5 5 2" xfId="15643"/>
    <cellStyle name="Normal 7 2 2 5 5 2 2" xfId="32093"/>
    <cellStyle name="Normal 7 2 2 5 5 3" xfId="23868"/>
    <cellStyle name="Normal 7 2 2 5 5 4" xfId="40322"/>
    <cellStyle name="Normal 7 2 2 5 6" xfId="9063"/>
    <cellStyle name="Normal 7 2 2 5 6 2" xfId="25513"/>
    <cellStyle name="Normal 7 2 2 5 7" xfId="17287"/>
    <cellStyle name="Normal 7 2 2 5 8" xfId="33741"/>
    <cellStyle name="Normal 7 2 2 5 9" xfId="41968"/>
    <cellStyle name="Normal 7 2 2 6" xfId="1023"/>
    <cellStyle name="Normal 7 2 2 6 2" xfId="2718"/>
    <cellStyle name="Normal 7 2 2 6 2 2" xfId="10943"/>
    <cellStyle name="Normal 7 2 2 6 2 2 2" xfId="27393"/>
    <cellStyle name="Normal 7 2 2 6 2 3" xfId="19168"/>
    <cellStyle name="Normal 7 2 2 6 2 4" xfId="35622"/>
    <cellStyle name="Normal 7 2 2 6 3" xfId="4363"/>
    <cellStyle name="Normal 7 2 2 6 3 2" xfId="12588"/>
    <cellStyle name="Normal 7 2 2 6 3 2 2" xfId="29038"/>
    <cellStyle name="Normal 7 2 2 6 3 3" xfId="20813"/>
    <cellStyle name="Normal 7 2 2 6 3 4" xfId="37267"/>
    <cellStyle name="Normal 7 2 2 6 4" xfId="6008"/>
    <cellStyle name="Normal 7 2 2 6 4 2" xfId="14233"/>
    <cellStyle name="Normal 7 2 2 6 4 2 2" xfId="30683"/>
    <cellStyle name="Normal 7 2 2 6 4 3" xfId="22458"/>
    <cellStyle name="Normal 7 2 2 6 4 4" xfId="38912"/>
    <cellStyle name="Normal 7 2 2 6 5" xfId="7653"/>
    <cellStyle name="Normal 7 2 2 6 5 2" xfId="15878"/>
    <cellStyle name="Normal 7 2 2 6 5 2 2" xfId="32328"/>
    <cellStyle name="Normal 7 2 2 6 5 3" xfId="24103"/>
    <cellStyle name="Normal 7 2 2 6 5 4" xfId="40557"/>
    <cellStyle name="Normal 7 2 2 6 6" xfId="9298"/>
    <cellStyle name="Normal 7 2 2 6 6 2" xfId="25748"/>
    <cellStyle name="Normal 7 2 2 6 7" xfId="17522"/>
    <cellStyle name="Normal 7 2 2 6 8" xfId="33976"/>
    <cellStyle name="Normal 7 2 2 6 9" xfId="42203"/>
    <cellStyle name="Normal 7 2 2 7" xfId="1303"/>
    <cellStyle name="Normal 7 2 2 7 2" xfId="2953"/>
    <cellStyle name="Normal 7 2 2 7 2 2" xfId="11178"/>
    <cellStyle name="Normal 7 2 2 7 2 2 2" xfId="27628"/>
    <cellStyle name="Normal 7 2 2 7 2 3" xfId="19403"/>
    <cellStyle name="Normal 7 2 2 7 2 4" xfId="35857"/>
    <cellStyle name="Normal 7 2 2 7 3" xfId="4598"/>
    <cellStyle name="Normal 7 2 2 7 3 2" xfId="12823"/>
    <cellStyle name="Normal 7 2 2 7 3 2 2" xfId="29273"/>
    <cellStyle name="Normal 7 2 2 7 3 3" xfId="21048"/>
    <cellStyle name="Normal 7 2 2 7 3 4" xfId="37502"/>
    <cellStyle name="Normal 7 2 2 7 4" xfId="6243"/>
    <cellStyle name="Normal 7 2 2 7 4 2" xfId="14468"/>
    <cellStyle name="Normal 7 2 2 7 4 2 2" xfId="30918"/>
    <cellStyle name="Normal 7 2 2 7 4 3" xfId="22693"/>
    <cellStyle name="Normal 7 2 2 7 4 4" xfId="39147"/>
    <cellStyle name="Normal 7 2 2 7 5" xfId="7888"/>
    <cellStyle name="Normal 7 2 2 7 5 2" xfId="16113"/>
    <cellStyle name="Normal 7 2 2 7 5 2 2" xfId="32563"/>
    <cellStyle name="Normal 7 2 2 7 5 3" xfId="24338"/>
    <cellStyle name="Normal 7 2 2 7 5 4" xfId="40792"/>
    <cellStyle name="Normal 7 2 2 7 6" xfId="9533"/>
    <cellStyle name="Normal 7 2 2 7 6 2" xfId="25983"/>
    <cellStyle name="Normal 7 2 2 7 7" xfId="17757"/>
    <cellStyle name="Normal 7 2 2 7 8" xfId="34211"/>
    <cellStyle name="Normal 7 2 2 8" xfId="1538"/>
    <cellStyle name="Normal 7 2 2 8 2" xfId="3188"/>
    <cellStyle name="Normal 7 2 2 8 2 2" xfId="11413"/>
    <cellStyle name="Normal 7 2 2 8 2 2 2" xfId="27863"/>
    <cellStyle name="Normal 7 2 2 8 2 3" xfId="19638"/>
    <cellStyle name="Normal 7 2 2 8 2 4" xfId="36092"/>
    <cellStyle name="Normal 7 2 2 8 3" xfId="4833"/>
    <cellStyle name="Normal 7 2 2 8 3 2" xfId="13058"/>
    <cellStyle name="Normal 7 2 2 8 3 2 2" xfId="29508"/>
    <cellStyle name="Normal 7 2 2 8 3 3" xfId="21283"/>
    <cellStyle name="Normal 7 2 2 8 3 4" xfId="37737"/>
    <cellStyle name="Normal 7 2 2 8 4" xfId="6478"/>
    <cellStyle name="Normal 7 2 2 8 4 2" xfId="14703"/>
    <cellStyle name="Normal 7 2 2 8 4 2 2" xfId="31153"/>
    <cellStyle name="Normal 7 2 2 8 4 3" xfId="22928"/>
    <cellStyle name="Normal 7 2 2 8 4 4" xfId="39382"/>
    <cellStyle name="Normal 7 2 2 8 5" xfId="8123"/>
    <cellStyle name="Normal 7 2 2 8 5 2" xfId="16348"/>
    <cellStyle name="Normal 7 2 2 8 5 2 2" xfId="32798"/>
    <cellStyle name="Normal 7 2 2 8 5 3" xfId="24573"/>
    <cellStyle name="Normal 7 2 2 8 5 4" xfId="41027"/>
    <cellStyle name="Normal 7 2 2 8 6" xfId="9768"/>
    <cellStyle name="Normal 7 2 2 8 6 2" xfId="26218"/>
    <cellStyle name="Normal 7 2 2 8 7" xfId="17992"/>
    <cellStyle name="Normal 7 2 2 8 8" xfId="34446"/>
    <cellStyle name="Normal 7 2 2 9" xfId="1773"/>
    <cellStyle name="Normal 7 2 2 9 2" xfId="10003"/>
    <cellStyle name="Normal 7 2 2 9 2 2" xfId="26453"/>
    <cellStyle name="Normal 7 2 2 9 3" xfId="18227"/>
    <cellStyle name="Normal 7 2 2 9 4" xfId="34681"/>
    <cellStyle name="Normal 7 2 20" xfId="16557"/>
    <cellStyle name="Normal 7 2 21" xfId="33010"/>
    <cellStyle name="Normal 7 2 22" xfId="41238"/>
    <cellStyle name="Normal 7 2 3" xfId="94"/>
    <cellStyle name="Normal 7 2 3 10" xfId="5093"/>
    <cellStyle name="Normal 7 2 3 10 2" xfId="13318"/>
    <cellStyle name="Normal 7 2 3 10 2 2" xfId="29768"/>
    <cellStyle name="Normal 7 2 3 10 3" xfId="21543"/>
    <cellStyle name="Normal 7 2 3 10 4" xfId="37997"/>
    <cellStyle name="Normal 7 2 3 11" xfId="6738"/>
    <cellStyle name="Normal 7 2 3 11 2" xfId="14963"/>
    <cellStyle name="Normal 7 2 3 11 2 2" xfId="31413"/>
    <cellStyle name="Normal 7 2 3 11 3" xfId="23188"/>
    <cellStyle name="Normal 7 2 3 11 4" xfId="39642"/>
    <cellStyle name="Normal 7 2 3 12" xfId="8383"/>
    <cellStyle name="Normal 7 2 3 12 2" xfId="24833"/>
    <cellStyle name="Normal 7 2 3 13" xfId="16607"/>
    <cellStyle name="Normal 7 2 3 14" xfId="33060"/>
    <cellStyle name="Normal 7 2 3 15" xfId="41288"/>
    <cellStyle name="Normal 7 2 3 2" xfId="337"/>
    <cellStyle name="Normal 7 2 3 2 2" xfId="2036"/>
    <cellStyle name="Normal 7 2 3 2 2 2" xfId="10263"/>
    <cellStyle name="Normal 7 2 3 2 2 2 2" xfId="26713"/>
    <cellStyle name="Normal 7 2 3 2 2 3" xfId="18488"/>
    <cellStyle name="Normal 7 2 3 2 2 4" xfId="34942"/>
    <cellStyle name="Normal 7 2 3 2 3" xfId="3683"/>
    <cellStyle name="Normal 7 2 3 2 3 2" xfId="11908"/>
    <cellStyle name="Normal 7 2 3 2 3 2 2" xfId="28358"/>
    <cellStyle name="Normal 7 2 3 2 3 3" xfId="20133"/>
    <cellStyle name="Normal 7 2 3 2 3 4" xfId="36587"/>
    <cellStyle name="Normal 7 2 3 2 4" xfId="5328"/>
    <cellStyle name="Normal 7 2 3 2 4 2" xfId="13553"/>
    <cellStyle name="Normal 7 2 3 2 4 2 2" xfId="30003"/>
    <cellStyle name="Normal 7 2 3 2 4 3" xfId="21778"/>
    <cellStyle name="Normal 7 2 3 2 4 4" xfId="38232"/>
    <cellStyle name="Normal 7 2 3 2 5" xfId="6973"/>
    <cellStyle name="Normal 7 2 3 2 5 2" xfId="15198"/>
    <cellStyle name="Normal 7 2 3 2 5 2 2" xfId="31648"/>
    <cellStyle name="Normal 7 2 3 2 5 3" xfId="23423"/>
    <cellStyle name="Normal 7 2 3 2 5 4" xfId="39877"/>
    <cellStyle name="Normal 7 2 3 2 6" xfId="8618"/>
    <cellStyle name="Normal 7 2 3 2 6 2" xfId="25068"/>
    <cellStyle name="Normal 7 2 3 2 7" xfId="16842"/>
    <cellStyle name="Normal 7 2 3 2 8" xfId="33296"/>
    <cellStyle name="Normal 7 2 3 2 9" xfId="41523"/>
    <cellStyle name="Normal 7 2 3 3" xfId="578"/>
    <cellStyle name="Normal 7 2 3 3 2" xfId="2273"/>
    <cellStyle name="Normal 7 2 3 3 2 2" xfId="10498"/>
    <cellStyle name="Normal 7 2 3 3 2 2 2" xfId="26948"/>
    <cellStyle name="Normal 7 2 3 3 2 3" xfId="18723"/>
    <cellStyle name="Normal 7 2 3 3 2 4" xfId="35177"/>
    <cellStyle name="Normal 7 2 3 3 3" xfId="3918"/>
    <cellStyle name="Normal 7 2 3 3 3 2" xfId="12143"/>
    <cellStyle name="Normal 7 2 3 3 3 2 2" xfId="28593"/>
    <cellStyle name="Normal 7 2 3 3 3 3" xfId="20368"/>
    <cellStyle name="Normal 7 2 3 3 3 4" xfId="36822"/>
    <cellStyle name="Normal 7 2 3 3 4" xfId="5563"/>
    <cellStyle name="Normal 7 2 3 3 4 2" xfId="13788"/>
    <cellStyle name="Normal 7 2 3 3 4 2 2" xfId="30238"/>
    <cellStyle name="Normal 7 2 3 3 4 3" xfId="22013"/>
    <cellStyle name="Normal 7 2 3 3 4 4" xfId="38467"/>
    <cellStyle name="Normal 7 2 3 3 5" xfId="7208"/>
    <cellStyle name="Normal 7 2 3 3 5 2" xfId="15433"/>
    <cellStyle name="Normal 7 2 3 3 5 2 2" xfId="31883"/>
    <cellStyle name="Normal 7 2 3 3 5 3" xfId="23658"/>
    <cellStyle name="Normal 7 2 3 3 5 4" xfId="40112"/>
    <cellStyle name="Normal 7 2 3 3 6" xfId="8853"/>
    <cellStyle name="Normal 7 2 3 3 6 2" xfId="25303"/>
    <cellStyle name="Normal 7 2 3 3 7" xfId="17077"/>
    <cellStyle name="Normal 7 2 3 3 8" xfId="33531"/>
    <cellStyle name="Normal 7 2 3 3 9" xfId="41758"/>
    <cellStyle name="Normal 7 2 3 4" xfId="813"/>
    <cellStyle name="Normal 7 2 3 4 2" xfId="2508"/>
    <cellStyle name="Normal 7 2 3 4 2 2" xfId="10733"/>
    <cellStyle name="Normal 7 2 3 4 2 2 2" xfId="27183"/>
    <cellStyle name="Normal 7 2 3 4 2 3" xfId="18958"/>
    <cellStyle name="Normal 7 2 3 4 2 4" xfId="35412"/>
    <cellStyle name="Normal 7 2 3 4 3" xfId="4153"/>
    <cellStyle name="Normal 7 2 3 4 3 2" xfId="12378"/>
    <cellStyle name="Normal 7 2 3 4 3 2 2" xfId="28828"/>
    <cellStyle name="Normal 7 2 3 4 3 3" xfId="20603"/>
    <cellStyle name="Normal 7 2 3 4 3 4" xfId="37057"/>
    <cellStyle name="Normal 7 2 3 4 4" xfId="5798"/>
    <cellStyle name="Normal 7 2 3 4 4 2" xfId="14023"/>
    <cellStyle name="Normal 7 2 3 4 4 2 2" xfId="30473"/>
    <cellStyle name="Normal 7 2 3 4 4 3" xfId="22248"/>
    <cellStyle name="Normal 7 2 3 4 4 4" xfId="38702"/>
    <cellStyle name="Normal 7 2 3 4 5" xfId="7443"/>
    <cellStyle name="Normal 7 2 3 4 5 2" xfId="15668"/>
    <cellStyle name="Normal 7 2 3 4 5 2 2" xfId="32118"/>
    <cellStyle name="Normal 7 2 3 4 5 3" xfId="23893"/>
    <cellStyle name="Normal 7 2 3 4 5 4" xfId="40347"/>
    <cellStyle name="Normal 7 2 3 4 6" xfId="9088"/>
    <cellStyle name="Normal 7 2 3 4 6 2" xfId="25538"/>
    <cellStyle name="Normal 7 2 3 4 7" xfId="17312"/>
    <cellStyle name="Normal 7 2 3 4 8" xfId="33766"/>
    <cellStyle name="Normal 7 2 3 4 9" xfId="41993"/>
    <cellStyle name="Normal 7 2 3 5" xfId="1048"/>
    <cellStyle name="Normal 7 2 3 5 2" xfId="2743"/>
    <cellStyle name="Normal 7 2 3 5 2 2" xfId="10968"/>
    <cellStyle name="Normal 7 2 3 5 2 2 2" xfId="27418"/>
    <cellStyle name="Normal 7 2 3 5 2 3" xfId="19193"/>
    <cellStyle name="Normal 7 2 3 5 2 4" xfId="35647"/>
    <cellStyle name="Normal 7 2 3 5 3" xfId="4388"/>
    <cellStyle name="Normal 7 2 3 5 3 2" xfId="12613"/>
    <cellStyle name="Normal 7 2 3 5 3 2 2" xfId="29063"/>
    <cellStyle name="Normal 7 2 3 5 3 3" xfId="20838"/>
    <cellStyle name="Normal 7 2 3 5 3 4" xfId="37292"/>
    <cellStyle name="Normal 7 2 3 5 4" xfId="6033"/>
    <cellStyle name="Normal 7 2 3 5 4 2" xfId="14258"/>
    <cellStyle name="Normal 7 2 3 5 4 2 2" xfId="30708"/>
    <cellStyle name="Normal 7 2 3 5 4 3" xfId="22483"/>
    <cellStyle name="Normal 7 2 3 5 4 4" xfId="38937"/>
    <cellStyle name="Normal 7 2 3 5 5" xfId="7678"/>
    <cellStyle name="Normal 7 2 3 5 5 2" xfId="15903"/>
    <cellStyle name="Normal 7 2 3 5 5 2 2" xfId="32353"/>
    <cellStyle name="Normal 7 2 3 5 5 3" xfId="24128"/>
    <cellStyle name="Normal 7 2 3 5 5 4" xfId="40582"/>
    <cellStyle name="Normal 7 2 3 5 6" xfId="9323"/>
    <cellStyle name="Normal 7 2 3 5 6 2" xfId="25773"/>
    <cellStyle name="Normal 7 2 3 5 7" xfId="17547"/>
    <cellStyle name="Normal 7 2 3 5 8" xfId="34001"/>
    <cellStyle name="Normal 7 2 3 5 9" xfId="42228"/>
    <cellStyle name="Normal 7 2 3 6" xfId="1328"/>
    <cellStyle name="Normal 7 2 3 6 2" xfId="2978"/>
    <cellStyle name="Normal 7 2 3 6 2 2" xfId="11203"/>
    <cellStyle name="Normal 7 2 3 6 2 2 2" xfId="27653"/>
    <cellStyle name="Normal 7 2 3 6 2 3" xfId="19428"/>
    <cellStyle name="Normal 7 2 3 6 2 4" xfId="35882"/>
    <cellStyle name="Normal 7 2 3 6 3" xfId="4623"/>
    <cellStyle name="Normal 7 2 3 6 3 2" xfId="12848"/>
    <cellStyle name="Normal 7 2 3 6 3 2 2" xfId="29298"/>
    <cellStyle name="Normal 7 2 3 6 3 3" xfId="21073"/>
    <cellStyle name="Normal 7 2 3 6 3 4" xfId="37527"/>
    <cellStyle name="Normal 7 2 3 6 4" xfId="6268"/>
    <cellStyle name="Normal 7 2 3 6 4 2" xfId="14493"/>
    <cellStyle name="Normal 7 2 3 6 4 2 2" xfId="30943"/>
    <cellStyle name="Normal 7 2 3 6 4 3" xfId="22718"/>
    <cellStyle name="Normal 7 2 3 6 4 4" xfId="39172"/>
    <cellStyle name="Normal 7 2 3 6 5" xfId="7913"/>
    <cellStyle name="Normal 7 2 3 6 5 2" xfId="16138"/>
    <cellStyle name="Normal 7 2 3 6 5 2 2" xfId="32588"/>
    <cellStyle name="Normal 7 2 3 6 5 3" xfId="24363"/>
    <cellStyle name="Normal 7 2 3 6 5 4" xfId="40817"/>
    <cellStyle name="Normal 7 2 3 6 6" xfId="9558"/>
    <cellStyle name="Normal 7 2 3 6 6 2" xfId="26008"/>
    <cellStyle name="Normal 7 2 3 6 7" xfId="17782"/>
    <cellStyle name="Normal 7 2 3 6 8" xfId="34236"/>
    <cellStyle name="Normal 7 2 3 7" xfId="1563"/>
    <cellStyle name="Normal 7 2 3 7 2" xfId="3213"/>
    <cellStyle name="Normal 7 2 3 7 2 2" xfId="11438"/>
    <cellStyle name="Normal 7 2 3 7 2 2 2" xfId="27888"/>
    <cellStyle name="Normal 7 2 3 7 2 3" xfId="19663"/>
    <cellStyle name="Normal 7 2 3 7 2 4" xfId="36117"/>
    <cellStyle name="Normal 7 2 3 7 3" xfId="4858"/>
    <cellStyle name="Normal 7 2 3 7 3 2" xfId="13083"/>
    <cellStyle name="Normal 7 2 3 7 3 2 2" xfId="29533"/>
    <cellStyle name="Normal 7 2 3 7 3 3" xfId="21308"/>
    <cellStyle name="Normal 7 2 3 7 3 4" xfId="37762"/>
    <cellStyle name="Normal 7 2 3 7 4" xfId="6503"/>
    <cellStyle name="Normal 7 2 3 7 4 2" xfId="14728"/>
    <cellStyle name="Normal 7 2 3 7 4 2 2" xfId="31178"/>
    <cellStyle name="Normal 7 2 3 7 4 3" xfId="22953"/>
    <cellStyle name="Normal 7 2 3 7 4 4" xfId="39407"/>
    <cellStyle name="Normal 7 2 3 7 5" xfId="8148"/>
    <cellStyle name="Normal 7 2 3 7 5 2" xfId="16373"/>
    <cellStyle name="Normal 7 2 3 7 5 2 2" xfId="32823"/>
    <cellStyle name="Normal 7 2 3 7 5 3" xfId="24598"/>
    <cellStyle name="Normal 7 2 3 7 5 4" xfId="41052"/>
    <cellStyle name="Normal 7 2 3 7 6" xfId="9793"/>
    <cellStyle name="Normal 7 2 3 7 6 2" xfId="26243"/>
    <cellStyle name="Normal 7 2 3 7 7" xfId="18017"/>
    <cellStyle name="Normal 7 2 3 7 8" xfId="34471"/>
    <cellStyle name="Normal 7 2 3 8" xfId="1798"/>
    <cellStyle name="Normal 7 2 3 8 2" xfId="10028"/>
    <cellStyle name="Normal 7 2 3 8 2 2" xfId="26478"/>
    <cellStyle name="Normal 7 2 3 8 3" xfId="18252"/>
    <cellStyle name="Normal 7 2 3 8 4" xfId="34706"/>
    <cellStyle name="Normal 7 2 3 9" xfId="3448"/>
    <cellStyle name="Normal 7 2 3 9 2" xfId="11673"/>
    <cellStyle name="Normal 7 2 3 9 2 2" xfId="28123"/>
    <cellStyle name="Normal 7 2 3 9 3" xfId="19898"/>
    <cellStyle name="Normal 7 2 3 9 4" xfId="36352"/>
    <cellStyle name="Normal 7 2 4" xfId="144"/>
    <cellStyle name="Normal 7 2 4 10" xfId="5143"/>
    <cellStyle name="Normal 7 2 4 10 2" xfId="13368"/>
    <cellStyle name="Normal 7 2 4 10 2 2" xfId="29818"/>
    <cellStyle name="Normal 7 2 4 10 3" xfId="21593"/>
    <cellStyle name="Normal 7 2 4 10 4" xfId="38047"/>
    <cellStyle name="Normal 7 2 4 11" xfId="6788"/>
    <cellStyle name="Normal 7 2 4 11 2" xfId="15013"/>
    <cellStyle name="Normal 7 2 4 11 2 2" xfId="31463"/>
    <cellStyle name="Normal 7 2 4 11 3" xfId="23238"/>
    <cellStyle name="Normal 7 2 4 11 4" xfId="39692"/>
    <cellStyle name="Normal 7 2 4 12" xfId="8433"/>
    <cellStyle name="Normal 7 2 4 12 2" xfId="24883"/>
    <cellStyle name="Normal 7 2 4 13" xfId="16657"/>
    <cellStyle name="Normal 7 2 4 14" xfId="33110"/>
    <cellStyle name="Normal 7 2 4 15" xfId="41338"/>
    <cellStyle name="Normal 7 2 4 2" xfId="387"/>
    <cellStyle name="Normal 7 2 4 2 2" xfId="2086"/>
    <cellStyle name="Normal 7 2 4 2 2 2" xfId="10313"/>
    <cellStyle name="Normal 7 2 4 2 2 2 2" xfId="26763"/>
    <cellStyle name="Normal 7 2 4 2 2 3" xfId="18538"/>
    <cellStyle name="Normal 7 2 4 2 2 4" xfId="34992"/>
    <cellStyle name="Normal 7 2 4 2 3" xfId="3733"/>
    <cellStyle name="Normal 7 2 4 2 3 2" xfId="11958"/>
    <cellStyle name="Normal 7 2 4 2 3 2 2" xfId="28408"/>
    <cellStyle name="Normal 7 2 4 2 3 3" xfId="20183"/>
    <cellStyle name="Normal 7 2 4 2 3 4" xfId="36637"/>
    <cellStyle name="Normal 7 2 4 2 4" xfId="5378"/>
    <cellStyle name="Normal 7 2 4 2 4 2" xfId="13603"/>
    <cellStyle name="Normal 7 2 4 2 4 2 2" xfId="30053"/>
    <cellStyle name="Normal 7 2 4 2 4 3" xfId="21828"/>
    <cellStyle name="Normal 7 2 4 2 4 4" xfId="38282"/>
    <cellStyle name="Normal 7 2 4 2 5" xfId="7023"/>
    <cellStyle name="Normal 7 2 4 2 5 2" xfId="15248"/>
    <cellStyle name="Normal 7 2 4 2 5 2 2" xfId="31698"/>
    <cellStyle name="Normal 7 2 4 2 5 3" xfId="23473"/>
    <cellStyle name="Normal 7 2 4 2 5 4" xfId="39927"/>
    <cellStyle name="Normal 7 2 4 2 6" xfId="8668"/>
    <cellStyle name="Normal 7 2 4 2 6 2" xfId="25118"/>
    <cellStyle name="Normal 7 2 4 2 7" xfId="16892"/>
    <cellStyle name="Normal 7 2 4 2 8" xfId="33346"/>
    <cellStyle name="Normal 7 2 4 2 9" xfId="41573"/>
    <cellStyle name="Normal 7 2 4 3" xfId="628"/>
    <cellStyle name="Normal 7 2 4 3 2" xfId="2323"/>
    <cellStyle name="Normal 7 2 4 3 2 2" xfId="10548"/>
    <cellStyle name="Normal 7 2 4 3 2 2 2" xfId="26998"/>
    <cellStyle name="Normal 7 2 4 3 2 3" xfId="18773"/>
    <cellStyle name="Normal 7 2 4 3 2 4" xfId="35227"/>
    <cellStyle name="Normal 7 2 4 3 3" xfId="3968"/>
    <cellStyle name="Normal 7 2 4 3 3 2" xfId="12193"/>
    <cellStyle name="Normal 7 2 4 3 3 2 2" xfId="28643"/>
    <cellStyle name="Normal 7 2 4 3 3 3" xfId="20418"/>
    <cellStyle name="Normal 7 2 4 3 3 4" xfId="36872"/>
    <cellStyle name="Normal 7 2 4 3 4" xfId="5613"/>
    <cellStyle name="Normal 7 2 4 3 4 2" xfId="13838"/>
    <cellStyle name="Normal 7 2 4 3 4 2 2" xfId="30288"/>
    <cellStyle name="Normal 7 2 4 3 4 3" xfId="22063"/>
    <cellStyle name="Normal 7 2 4 3 4 4" xfId="38517"/>
    <cellStyle name="Normal 7 2 4 3 5" xfId="7258"/>
    <cellStyle name="Normal 7 2 4 3 5 2" xfId="15483"/>
    <cellStyle name="Normal 7 2 4 3 5 2 2" xfId="31933"/>
    <cellStyle name="Normal 7 2 4 3 5 3" xfId="23708"/>
    <cellStyle name="Normal 7 2 4 3 5 4" xfId="40162"/>
    <cellStyle name="Normal 7 2 4 3 6" xfId="8903"/>
    <cellStyle name="Normal 7 2 4 3 6 2" xfId="25353"/>
    <cellStyle name="Normal 7 2 4 3 7" xfId="17127"/>
    <cellStyle name="Normal 7 2 4 3 8" xfId="33581"/>
    <cellStyle name="Normal 7 2 4 3 9" xfId="41808"/>
    <cellStyle name="Normal 7 2 4 4" xfId="863"/>
    <cellStyle name="Normal 7 2 4 4 2" xfId="2558"/>
    <cellStyle name="Normal 7 2 4 4 2 2" xfId="10783"/>
    <cellStyle name="Normal 7 2 4 4 2 2 2" xfId="27233"/>
    <cellStyle name="Normal 7 2 4 4 2 3" xfId="19008"/>
    <cellStyle name="Normal 7 2 4 4 2 4" xfId="35462"/>
    <cellStyle name="Normal 7 2 4 4 3" xfId="4203"/>
    <cellStyle name="Normal 7 2 4 4 3 2" xfId="12428"/>
    <cellStyle name="Normal 7 2 4 4 3 2 2" xfId="28878"/>
    <cellStyle name="Normal 7 2 4 4 3 3" xfId="20653"/>
    <cellStyle name="Normal 7 2 4 4 3 4" xfId="37107"/>
    <cellStyle name="Normal 7 2 4 4 4" xfId="5848"/>
    <cellStyle name="Normal 7 2 4 4 4 2" xfId="14073"/>
    <cellStyle name="Normal 7 2 4 4 4 2 2" xfId="30523"/>
    <cellStyle name="Normal 7 2 4 4 4 3" xfId="22298"/>
    <cellStyle name="Normal 7 2 4 4 4 4" xfId="38752"/>
    <cellStyle name="Normal 7 2 4 4 5" xfId="7493"/>
    <cellStyle name="Normal 7 2 4 4 5 2" xfId="15718"/>
    <cellStyle name="Normal 7 2 4 4 5 2 2" xfId="32168"/>
    <cellStyle name="Normal 7 2 4 4 5 3" xfId="23943"/>
    <cellStyle name="Normal 7 2 4 4 5 4" xfId="40397"/>
    <cellStyle name="Normal 7 2 4 4 6" xfId="9138"/>
    <cellStyle name="Normal 7 2 4 4 6 2" xfId="25588"/>
    <cellStyle name="Normal 7 2 4 4 7" xfId="17362"/>
    <cellStyle name="Normal 7 2 4 4 8" xfId="33816"/>
    <cellStyle name="Normal 7 2 4 4 9" xfId="42043"/>
    <cellStyle name="Normal 7 2 4 5" xfId="1098"/>
    <cellStyle name="Normal 7 2 4 5 2" xfId="2793"/>
    <cellStyle name="Normal 7 2 4 5 2 2" xfId="11018"/>
    <cellStyle name="Normal 7 2 4 5 2 2 2" xfId="27468"/>
    <cellStyle name="Normal 7 2 4 5 2 3" xfId="19243"/>
    <cellStyle name="Normal 7 2 4 5 2 4" xfId="35697"/>
    <cellStyle name="Normal 7 2 4 5 3" xfId="4438"/>
    <cellStyle name="Normal 7 2 4 5 3 2" xfId="12663"/>
    <cellStyle name="Normal 7 2 4 5 3 2 2" xfId="29113"/>
    <cellStyle name="Normal 7 2 4 5 3 3" xfId="20888"/>
    <cellStyle name="Normal 7 2 4 5 3 4" xfId="37342"/>
    <cellStyle name="Normal 7 2 4 5 4" xfId="6083"/>
    <cellStyle name="Normal 7 2 4 5 4 2" xfId="14308"/>
    <cellStyle name="Normal 7 2 4 5 4 2 2" xfId="30758"/>
    <cellStyle name="Normal 7 2 4 5 4 3" xfId="22533"/>
    <cellStyle name="Normal 7 2 4 5 4 4" xfId="38987"/>
    <cellStyle name="Normal 7 2 4 5 5" xfId="7728"/>
    <cellStyle name="Normal 7 2 4 5 5 2" xfId="15953"/>
    <cellStyle name="Normal 7 2 4 5 5 2 2" xfId="32403"/>
    <cellStyle name="Normal 7 2 4 5 5 3" xfId="24178"/>
    <cellStyle name="Normal 7 2 4 5 5 4" xfId="40632"/>
    <cellStyle name="Normal 7 2 4 5 6" xfId="9373"/>
    <cellStyle name="Normal 7 2 4 5 6 2" xfId="25823"/>
    <cellStyle name="Normal 7 2 4 5 7" xfId="17597"/>
    <cellStyle name="Normal 7 2 4 5 8" xfId="34051"/>
    <cellStyle name="Normal 7 2 4 5 9" xfId="42278"/>
    <cellStyle name="Normal 7 2 4 6" xfId="1378"/>
    <cellStyle name="Normal 7 2 4 6 2" xfId="3028"/>
    <cellStyle name="Normal 7 2 4 6 2 2" xfId="11253"/>
    <cellStyle name="Normal 7 2 4 6 2 2 2" xfId="27703"/>
    <cellStyle name="Normal 7 2 4 6 2 3" xfId="19478"/>
    <cellStyle name="Normal 7 2 4 6 2 4" xfId="35932"/>
    <cellStyle name="Normal 7 2 4 6 3" xfId="4673"/>
    <cellStyle name="Normal 7 2 4 6 3 2" xfId="12898"/>
    <cellStyle name="Normal 7 2 4 6 3 2 2" xfId="29348"/>
    <cellStyle name="Normal 7 2 4 6 3 3" xfId="21123"/>
    <cellStyle name="Normal 7 2 4 6 3 4" xfId="37577"/>
    <cellStyle name="Normal 7 2 4 6 4" xfId="6318"/>
    <cellStyle name="Normal 7 2 4 6 4 2" xfId="14543"/>
    <cellStyle name="Normal 7 2 4 6 4 2 2" xfId="30993"/>
    <cellStyle name="Normal 7 2 4 6 4 3" xfId="22768"/>
    <cellStyle name="Normal 7 2 4 6 4 4" xfId="39222"/>
    <cellStyle name="Normal 7 2 4 6 5" xfId="7963"/>
    <cellStyle name="Normal 7 2 4 6 5 2" xfId="16188"/>
    <cellStyle name="Normal 7 2 4 6 5 2 2" xfId="32638"/>
    <cellStyle name="Normal 7 2 4 6 5 3" xfId="24413"/>
    <cellStyle name="Normal 7 2 4 6 5 4" xfId="40867"/>
    <cellStyle name="Normal 7 2 4 6 6" xfId="9608"/>
    <cellStyle name="Normal 7 2 4 6 6 2" xfId="26058"/>
    <cellStyle name="Normal 7 2 4 6 7" xfId="17832"/>
    <cellStyle name="Normal 7 2 4 6 8" xfId="34286"/>
    <cellStyle name="Normal 7 2 4 7" xfId="1613"/>
    <cellStyle name="Normal 7 2 4 7 2" xfId="3263"/>
    <cellStyle name="Normal 7 2 4 7 2 2" xfId="11488"/>
    <cellStyle name="Normal 7 2 4 7 2 2 2" xfId="27938"/>
    <cellStyle name="Normal 7 2 4 7 2 3" xfId="19713"/>
    <cellStyle name="Normal 7 2 4 7 2 4" xfId="36167"/>
    <cellStyle name="Normal 7 2 4 7 3" xfId="4908"/>
    <cellStyle name="Normal 7 2 4 7 3 2" xfId="13133"/>
    <cellStyle name="Normal 7 2 4 7 3 2 2" xfId="29583"/>
    <cellStyle name="Normal 7 2 4 7 3 3" xfId="21358"/>
    <cellStyle name="Normal 7 2 4 7 3 4" xfId="37812"/>
    <cellStyle name="Normal 7 2 4 7 4" xfId="6553"/>
    <cellStyle name="Normal 7 2 4 7 4 2" xfId="14778"/>
    <cellStyle name="Normal 7 2 4 7 4 2 2" xfId="31228"/>
    <cellStyle name="Normal 7 2 4 7 4 3" xfId="23003"/>
    <cellStyle name="Normal 7 2 4 7 4 4" xfId="39457"/>
    <cellStyle name="Normal 7 2 4 7 5" xfId="8198"/>
    <cellStyle name="Normal 7 2 4 7 5 2" xfId="16423"/>
    <cellStyle name="Normal 7 2 4 7 5 2 2" xfId="32873"/>
    <cellStyle name="Normal 7 2 4 7 5 3" xfId="24648"/>
    <cellStyle name="Normal 7 2 4 7 5 4" xfId="41102"/>
    <cellStyle name="Normal 7 2 4 7 6" xfId="9843"/>
    <cellStyle name="Normal 7 2 4 7 6 2" xfId="26293"/>
    <cellStyle name="Normal 7 2 4 7 7" xfId="18067"/>
    <cellStyle name="Normal 7 2 4 7 8" xfId="34521"/>
    <cellStyle name="Normal 7 2 4 8" xfId="1848"/>
    <cellStyle name="Normal 7 2 4 8 2" xfId="10078"/>
    <cellStyle name="Normal 7 2 4 8 2 2" xfId="26528"/>
    <cellStyle name="Normal 7 2 4 8 3" xfId="18302"/>
    <cellStyle name="Normal 7 2 4 8 4" xfId="34756"/>
    <cellStyle name="Normal 7 2 4 9" xfId="3498"/>
    <cellStyle name="Normal 7 2 4 9 2" xfId="11723"/>
    <cellStyle name="Normal 7 2 4 9 2 2" xfId="28173"/>
    <cellStyle name="Normal 7 2 4 9 3" xfId="19948"/>
    <cellStyle name="Normal 7 2 4 9 4" xfId="36402"/>
    <cellStyle name="Normal 7 2 5" xfId="171"/>
    <cellStyle name="Normal 7 2 5 10" xfId="5170"/>
    <cellStyle name="Normal 7 2 5 10 2" xfId="13395"/>
    <cellStyle name="Normal 7 2 5 10 2 2" xfId="29845"/>
    <cellStyle name="Normal 7 2 5 10 3" xfId="21620"/>
    <cellStyle name="Normal 7 2 5 10 4" xfId="38074"/>
    <cellStyle name="Normal 7 2 5 11" xfId="6815"/>
    <cellStyle name="Normal 7 2 5 11 2" xfId="15040"/>
    <cellStyle name="Normal 7 2 5 11 2 2" xfId="31490"/>
    <cellStyle name="Normal 7 2 5 11 3" xfId="23265"/>
    <cellStyle name="Normal 7 2 5 11 4" xfId="39719"/>
    <cellStyle name="Normal 7 2 5 12" xfId="8460"/>
    <cellStyle name="Normal 7 2 5 12 2" xfId="24910"/>
    <cellStyle name="Normal 7 2 5 13" xfId="16684"/>
    <cellStyle name="Normal 7 2 5 14" xfId="33137"/>
    <cellStyle name="Normal 7 2 5 15" xfId="41365"/>
    <cellStyle name="Normal 7 2 5 2" xfId="414"/>
    <cellStyle name="Normal 7 2 5 2 2" xfId="2113"/>
    <cellStyle name="Normal 7 2 5 2 2 2" xfId="10340"/>
    <cellStyle name="Normal 7 2 5 2 2 2 2" xfId="26790"/>
    <cellStyle name="Normal 7 2 5 2 2 3" xfId="18565"/>
    <cellStyle name="Normal 7 2 5 2 2 4" xfId="35019"/>
    <cellStyle name="Normal 7 2 5 2 3" xfId="3760"/>
    <cellStyle name="Normal 7 2 5 2 3 2" xfId="11985"/>
    <cellStyle name="Normal 7 2 5 2 3 2 2" xfId="28435"/>
    <cellStyle name="Normal 7 2 5 2 3 3" xfId="20210"/>
    <cellStyle name="Normal 7 2 5 2 3 4" xfId="36664"/>
    <cellStyle name="Normal 7 2 5 2 4" xfId="5405"/>
    <cellStyle name="Normal 7 2 5 2 4 2" xfId="13630"/>
    <cellStyle name="Normal 7 2 5 2 4 2 2" xfId="30080"/>
    <cellStyle name="Normal 7 2 5 2 4 3" xfId="21855"/>
    <cellStyle name="Normal 7 2 5 2 4 4" xfId="38309"/>
    <cellStyle name="Normal 7 2 5 2 5" xfId="7050"/>
    <cellStyle name="Normal 7 2 5 2 5 2" xfId="15275"/>
    <cellStyle name="Normal 7 2 5 2 5 2 2" xfId="31725"/>
    <cellStyle name="Normal 7 2 5 2 5 3" xfId="23500"/>
    <cellStyle name="Normal 7 2 5 2 5 4" xfId="39954"/>
    <cellStyle name="Normal 7 2 5 2 6" xfId="8695"/>
    <cellStyle name="Normal 7 2 5 2 6 2" xfId="25145"/>
    <cellStyle name="Normal 7 2 5 2 7" xfId="16919"/>
    <cellStyle name="Normal 7 2 5 2 8" xfId="33373"/>
    <cellStyle name="Normal 7 2 5 2 9" xfId="41600"/>
    <cellStyle name="Normal 7 2 5 3" xfId="655"/>
    <cellStyle name="Normal 7 2 5 3 2" xfId="2350"/>
    <cellStyle name="Normal 7 2 5 3 2 2" xfId="10575"/>
    <cellStyle name="Normal 7 2 5 3 2 2 2" xfId="27025"/>
    <cellStyle name="Normal 7 2 5 3 2 3" xfId="18800"/>
    <cellStyle name="Normal 7 2 5 3 2 4" xfId="35254"/>
    <cellStyle name="Normal 7 2 5 3 3" xfId="3995"/>
    <cellStyle name="Normal 7 2 5 3 3 2" xfId="12220"/>
    <cellStyle name="Normal 7 2 5 3 3 2 2" xfId="28670"/>
    <cellStyle name="Normal 7 2 5 3 3 3" xfId="20445"/>
    <cellStyle name="Normal 7 2 5 3 3 4" xfId="36899"/>
    <cellStyle name="Normal 7 2 5 3 4" xfId="5640"/>
    <cellStyle name="Normal 7 2 5 3 4 2" xfId="13865"/>
    <cellStyle name="Normal 7 2 5 3 4 2 2" xfId="30315"/>
    <cellStyle name="Normal 7 2 5 3 4 3" xfId="22090"/>
    <cellStyle name="Normal 7 2 5 3 4 4" xfId="38544"/>
    <cellStyle name="Normal 7 2 5 3 5" xfId="7285"/>
    <cellStyle name="Normal 7 2 5 3 5 2" xfId="15510"/>
    <cellStyle name="Normal 7 2 5 3 5 2 2" xfId="31960"/>
    <cellStyle name="Normal 7 2 5 3 5 3" xfId="23735"/>
    <cellStyle name="Normal 7 2 5 3 5 4" xfId="40189"/>
    <cellStyle name="Normal 7 2 5 3 6" xfId="8930"/>
    <cellStyle name="Normal 7 2 5 3 6 2" xfId="25380"/>
    <cellStyle name="Normal 7 2 5 3 7" xfId="17154"/>
    <cellStyle name="Normal 7 2 5 3 8" xfId="33608"/>
    <cellStyle name="Normal 7 2 5 3 9" xfId="41835"/>
    <cellStyle name="Normal 7 2 5 4" xfId="890"/>
    <cellStyle name="Normal 7 2 5 4 2" xfId="2585"/>
    <cellStyle name="Normal 7 2 5 4 2 2" xfId="10810"/>
    <cellStyle name="Normal 7 2 5 4 2 2 2" xfId="27260"/>
    <cellStyle name="Normal 7 2 5 4 2 3" xfId="19035"/>
    <cellStyle name="Normal 7 2 5 4 2 4" xfId="35489"/>
    <cellStyle name="Normal 7 2 5 4 3" xfId="4230"/>
    <cellStyle name="Normal 7 2 5 4 3 2" xfId="12455"/>
    <cellStyle name="Normal 7 2 5 4 3 2 2" xfId="28905"/>
    <cellStyle name="Normal 7 2 5 4 3 3" xfId="20680"/>
    <cellStyle name="Normal 7 2 5 4 3 4" xfId="37134"/>
    <cellStyle name="Normal 7 2 5 4 4" xfId="5875"/>
    <cellStyle name="Normal 7 2 5 4 4 2" xfId="14100"/>
    <cellStyle name="Normal 7 2 5 4 4 2 2" xfId="30550"/>
    <cellStyle name="Normal 7 2 5 4 4 3" xfId="22325"/>
    <cellStyle name="Normal 7 2 5 4 4 4" xfId="38779"/>
    <cellStyle name="Normal 7 2 5 4 5" xfId="7520"/>
    <cellStyle name="Normal 7 2 5 4 5 2" xfId="15745"/>
    <cellStyle name="Normal 7 2 5 4 5 2 2" xfId="32195"/>
    <cellStyle name="Normal 7 2 5 4 5 3" xfId="23970"/>
    <cellStyle name="Normal 7 2 5 4 5 4" xfId="40424"/>
    <cellStyle name="Normal 7 2 5 4 6" xfId="9165"/>
    <cellStyle name="Normal 7 2 5 4 6 2" xfId="25615"/>
    <cellStyle name="Normal 7 2 5 4 7" xfId="17389"/>
    <cellStyle name="Normal 7 2 5 4 8" xfId="33843"/>
    <cellStyle name="Normal 7 2 5 4 9" xfId="42070"/>
    <cellStyle name="Normal 7 2 5 5" xfId="1125"/>
    <cellStyle name="Normal 7 2 5 5 2" xfId="2820"/>
    <cellStyle name="Normal 7 2 5 5 2 2" xfId="11045"/>
    <cellStyle name="Normal 7 2 5 5 2 2 2" xfId="27495"/>
    <cellStyle name="Normal 7 2 5 5 2 3" xfId="19270"/>
    <cellStyle name="Normal 7 2 5 5 2 4" xfId="35724"/>
    <cellStyle name="Normal 7 2 5 5 3" xfId="4465"/>
    <cellStyle name="Normal 7 2 5 5 3 2" xfId="12690"/>
    <cellStyle name="Normal 7 2 5 5 3 2 2" xfId="29140"/>
    <cellStyle name="Normal 7 2 5 5 3 3" xfId="20915"/>
    <cellStyle name="Normal 7 2 5 5 3 4" xfId="37369"/>
    <cellStyle name="Normal 7 2 5 5 4" xfId="6110"/>
    <cellStyle name="Normal 7 2 5 5 4 2" xfId="14335"/>
    <cellStyle name="Normal 7 2 5 5 4 2 2" xfId="30785"/>
    <cellStyle name="Normal 7 2 5 5 4 3" xfId="22560"/>
    <cellStyle name="Normal 7 2 5 5 4 4" xfId="39014"/>
    <cellStyle name="Normal 7 2 5 5 5" xfId="7755"/>
    <cellStyle name="Normal 7 2 5 5 5 2" xfId="15980"/>
    <cellStyle name="Normal 7 2 5 5 5 2 2" xfId="32430"/>
    <cellStyle name="Normal 7 2 5 5 5 3" xfId="24205"/>
    <cellStyle name="Normal 7 2 5 5 5 4" xfId="40659"/>
    <cellStyle name="Normal 7 2 5 5 6" xfId="9400"/>
    <cellStyle name="Normal 7 2 5 5 6 2" xfId="25850"/>
    <cellStyle name="Normal 7 2 5 5 7" xfId="17624"/>
    <cellStyle name="Normal 7 2 5 5 8" xfId="34078"/>
    <cellStyle name="Normal 7 2 5 5 9" xfId="42305"/>
    <cellStyle name="Normal 7 2 5 6" xfId="1405"/>
    <cellStyle name="Normal 7 2 5 6 2" xfId="3055"/>
    <cellStyle name="Normal 7 2 5 6 2 2" xfId="11280"/>
    <cellStyle name="Normal 7 2 5 6 2 2 2" xfId="27730"/>
    <cellStyle name="Normal 7 2 5 6 2 3" xfId="19505"/>
    <cellStyle name="Normal 7 2 5 6 2 4" xfId="35959"/>
    <cellStyle name="Normal 7 2 5 6 3" xfId="4700"/>
    <cellStyle name="Normal 7 2 5 6 3 2" xfId="12925"/>
    <cellStyle name="Normal 7 2 5 6 3 2 2" xfId="29375"/>
    <cellStyle name="Normal 7 2 5 6 3 3" xfId="21150"/>
    <cellStyle name="Normal 7 2 5 6 3 4" xfId="37604"/>
    <cellStyle name="Normal 7 2 5 6 4" xfId="6345"/>
    <cellStyle name="Normal 7 2 5 6 4 2" xfId="14570"/>
    <cellStyle name="Normal 7 2 5 6 4 2 2" xfId="31020"/>
    <cellStyle name="Normal 7 2 5 6 4 3" xfId="22795"/>
    <cellStyle name="Normal 7 2 5 6 4 4" xfId="39249"/>
    <cellStyle name="Normal 7 2 5 6 5" xfId="7990"/>
    <cellStyle name="Normal 7 2 5 6 5 2" xfId="16215"/>
    <cellStyle name="Normal 7 2 5 6 5 2 2" xfId="32665"/>
    <cellStyle name="Normal 7 2 5 6 5 3" xfId="24440"/>
    <cellStyle name="Normal 7 2 5 6 5 4" xfId="40894"/>
    <cellStyle name="Normal 7 2 5 6 6" xfId="9635"/>
    <cellStyle name="Normal 7 2 5 6 6 2" xfId="26085"/>
    <cellStyle name="Normal 7 2 5 6 7" xfId="17859"/>
    <cellStyle name="Normal 7 2 5 6 8" xfId="34313"/>
    <cellStyle name="Normal 7 2 5 7" xfId="1640"/>
    <cellStyle name="Normal 7 2 5 7 2" xfId="3290"/>
    <cellStyle name="Normal 7 2 5 7 2 2" xfId="11515"/>
    <cellStyle name="Normal 7 2 5 7 2 2 2" xfId="27965"/>
    <cellStyle name="Normal 7 2 5 7 2 3" xfId="19740"/>
    <cellStyle name="Normal 7 2 5 7 2 4" xfId="36194"/>
    <cellStyle name="Normal 7 2 5 7 3" xfId="4935"/>
    <cellStyle name="Normal 7 2 5 7 3 2" xfId="13160"/>
    <cellStyle name="Normal 7 2 5 7 3 2 2" xfId="29610"/>
    <cellStyle name="Normal 7 2 5 7 3 3" xfId="21385"/>
    <cellStyle name="Normal 7 2 5 7 3 4" xfId="37839"/>
    <cellStyle name="Normal 7 2 5 7 4" xfId="6580"/>
    <cellStyle name="Normal 7 2 5 7 4 2" xfId="14805"/>
    <cellStyle name="Normal 7 2 5 7 4 2 2" xfId="31255"/>
    <cellStyle name="Normal 7 2 5 7 4 3" xfId="23030"/>
    <cellStyle name="Normal 7 2 5 7 4 4" xfId="39484"/>
    <cellStyle name="Normal 7 2 5 7 5" xfId="8225"/>
    <cellStyle name="Normal 7 2 5 7 5 2" xfId="16450"/>
    <cellStyle name="Normal 7 2 5 7 5 2 2" xfId="32900"/>
    <cellStyle name="Normal 7 2 5 7 5 3" xfId="24675"/>
    <cellStyle name="Normal 7 2 5 7 5 4" xfId="41129"/>
    <cellStyle name="Normal 7 2 5 7 6" xfId="9870"/>
    <cellStyle name="Normal 7 2 5 7 6 2" xfId="26320"/>
    <cellStyle name="Normal 7 2 5 7 7" xfId="18094"/>
    <cellStyle name="Normal 7 2 5 7 8" xfId="34548"/>
    <cellStyle name="Normal 7 2 5 8" xfId="1875"/>
    <cellStyle name="Normal 7 2 5 8 2" xfId="10105"/>
    <cellStyle name="Normal 7 2 5 8 2 2" xfId="26555"/>
    <cellStyle name="Normal 7 2 5 8 3" xfId="18329"/>
    <cellStyle name="Normal 7 2 5 8 4" xfId="34783"/>
    <cellStyle name="Normal 7 2 5 9" xfId="3525"/>
    <cellStyle name="Normal 7 2 5 9 2" xfId="11750"/>
    <cellStyle name="Normal 7 2 5 9 2 2" xfId="28200"/>
    <cellStyle name="Normal 7 2 5 9 3" xfId="19975"/>
    <cellStyle name="Normal 7 2 5 9 4" xfId="36429"/>
    <cellStyle name="Normal 7 2 6" xfId="200"/>
    <cellStyle name="Normal 7 2 6 10" xfId="5197"/>
    <cellStyle name="Normal 7 2 6 10 2" xfId="13422"/>
    <cellStyle name="Normal 7 2 6 10 2 2" xfId="29872"/>
    <cellStyle name="Normal 7 2 6 10 3" xfId="21647"/>
    <cellStyle name="Normal 7 2 6 10 4" xfId="38101"/>
    <cellStyle name="Normal 7 2 6 11" xfId="6842"/>
    <cellStyle name="Normal 7 2 6 11 2" xfId="15067"/>
    <cellStyle name="Normal 7 2 6 11 2 2" xfId="31517"/>
    <cellStyle name="Normal 7 2 6 11 3" xfId="23292"/>
    <cellStyle name="Normal 7 2 6 11 4" xfId="39746"/>
    <cellStyle name="Normal 7 2 6 12" xfId="8487"/>
    <cellStyle name="Normal 7 2 6 12 2" xfId="24937"/>
    <cellStyle name="Normal 7 2 6 13" xfId="16711"/>
    <cellStyle name="Normal 7 2 6 14" xfId="33164"/>
    <cellStyle name="Normal 7 2 6 15" xfId="41392"/>
    <cellStyle name="Normal 7 2 6 2" xfId="443"/>
    <cellStyle name="Normal 7 2 6 2 2" xfId="2140"/>
    <cellStyle name="Normal 7 2 6 2 2 2" xfId="10367"/>
    <cellStyle name="Normal 7 2 6 2 2 2 2" xfId="26817"/>
    <cellStyle name="Normal 7 2 6 2 2 3" xfId="18592"/>
    <cellStyle name="Normal 7 2 6 2 2 4" xfId="35046"/>
    <cellStyle name="Normal 7 2 6 2 3" xfId="3787"/>
    <cellStyle name="Normal 7 2 6 2 3 2" xfId="12012"/>
    <cellStyle name="Normal 7 2 6 2 3 2 2" xfId="28462"/>
    <cellStyle name="Normal 7 2 6 2 3 3" xfId="20237"/>
    <cellStyle name="Normal 7 2 6 2 3 4" xfId="36691"/>
    <cellStyle name="Normal 7 2 6 2 4" xfId="5432"/>
    <cellStyle name="Normal 7 2 6 2 4 2" xfId="13657"/>
    <cellStyle name="Normal 7 2 6 2 4 2 2" xfId="30107"/>
    <cellStyle name="Normal 7 2 6 2 4 3" xfId="21882"/>
    <cellStyle name="Normal 7 2 6 2 4 4" xfId="38336"/>
    <cellStyle name="Normal 7 2 6 2 5" xfId="7077"/>
    <cellStyle name="Normal 7 2 6 2 5 2" xfId="15302"/>
    <cellStyle name="Normal 7 2 6 2 5 2 2" xfId="31752"/>
    <cellStyle name="Normal 7 2 6 2 5 3" xfId="23527"/>
    <cellStyle name="Normal 7 2 6 2 5 4" xfId="39981"/>
    <cellStyle name="Normal 7 2 6 2 6" xfId="8722"/>
    <cellStyle name="Normal 7 2 6 2 6 2" xfId="25172"/>
    <cellStyle name="Normal 7 2 6 2 7" xfId="16946"/>
    <cellStyle name="Normal 7 2 6 2 8" xfId="33400"/>
    <cellStyle name="Normal 7 2 6 2 9" xfId="41627"/>
    <cellStyle name="Normal 7 2 6 3" xfId="682"/>
    <cellStyle name="Normal 7 2 6 3 2" xfId="2377"/>
    <cellStyle name="Normal 7 2 6 3 2 2" xfId="10602"/>
    <cellStyle name="Normal 7 2 6 3 2 2 2" xfId="27052"/>
    <cellStyle name="Normal 7 2 6 3 2 3" xfId="18827"/>
    <cellStyle name="Normal 7 2 6 3 2 4" xfId="35281"/>
    <cellStyle name="Normal 7 2 6 3 3" xfId="4022"/>
    <cellStyle name="Normal 7 2 6 3 3 2" xfId="12247"/>
    <cellStyle name="Normal 7 2 6 3 3 2 2" xfId="28697"/>
    <cellStyle name="Normal 7 2 6 3 3 3" xfId="20472"/>
    <cellStyle name="Normal 7 2 6 3 3 4" xfId="36926"/>
    <cellStyle name="Normal 7 2 6 3 4" xfId="5667"/>
    <cellStyle name="Normal 7 2 6 3 4 2" xfId="13892"/>
    <cellStyle name="Normal 7 2 6 3 4 2 2" xfId="30342"/>
    <cellStyle name="Normal 7 2 6 3 4 3" xfId="22117"/>
    <cellStyle name="Normal 7 2 6 3 4 4" xfId="38571"/>
    <cellStyle name="Normal 7 2 6 3 5" xfId="7312"/>
    <cellStyle name="Normal 7 2 6 3 5 2" xfId="15537"/>
    <cellStyle name="Normal 7 2 6 3 5 2 2" xfId="31987"/>
    <cellStyle name="Normal 7 2 6 3 5 3" xfId="23762"/>
    <cellStyle name="Normal 7 2 6 3 5 4" xfId="40216"/>
    <cellStyle name="Normal 7 2 6 3 6" xfId="8957"/>
    <cellStyle name="Normal 7 2 6 3 6 2" xfId="25407"/>
    <cellStyle name="Normal 7 2 6 3 7" xfId="17181"/>
    <cellStyle name="Normal 7 2 6 3 8" xfId="33635"/>
    <cellStyle name="Normal 7 2 6 3 9" xfId="41862"/>
    <cellStyle name="Normal 7 2 6 4" xfId="917"/>
    <cellStyle name="Normal 7 2 6 4 2" xfId="2612"/>
    <cellStyle name="Normal 7 2 6 4 2 2" xfId="10837"/>
    <cellStyle name="Normal 7 2 6 4 2 2 2" xfId="27287"/>
    <cellStyle name="Normal 7 2 6 4 2 3" xfId="19062"/>
    <cellStyle name="Normal 7 2 6 4 2 4" xfId="35516"/>
    <cellStyle name="Normal 7 2 6 4 3" xfId="4257"/>
    <cellStyle name="Normal 7 2 6 4 3 2" xfId="12482"/>
    <cellStyle name="Normal 7 2 6 4 3 2 2" xfId="28932"/>
    <cellStyle name="Normal 7 2 6 4 3 3" xfId="20707"/>
    <cellStyle name="Normal 7 2 6 4 3 4" xfId="37161"/>
    <cellStyle name="Normal 7 2 6 4 4" xfId="5902"/>
    <cellStyle name="Normal 7 2 6 4 4 2" xfId="14127"/>
    <cellStyle name="Normal 7 2 6 4 4 2 2" xfId="30577"/>
    <cellStyle name="Normal 7 2 6 4 4 3" xfId="22352"/>
    <cellStyle name="Normal 7 2 6 4 4 4" xfId="38806"/>
    <cellStyle name="Normal 7 2 6 4 5" xfId="7547"/>
    <cellStyle name="Normal 7 2 6 4 5 2" xfId="15772"/>
    <cellStyle name="Normal 7 2 6 4 5 2 2" xfId="32222"/>
    <cellStyle name="Normal 7 2 6 4 5 3" xfId="23997"/>
    <cellStyle name="Normal 7 2 6 4 5 4" xfId="40451"/>
    <cellStyle name="Normal 7 2 6 4 6" xfId="9192"/>
    <cellStyle name="Normal 7 2 6 4 6 2" xfId="25642"/>
    <cellStyle name="Normal 7 2 6 4 7" xfId="17416"/>
    <cellStyle name="Normal 7 2 6 4 8" xfId="33870"/>
    <cellStyle name="Normal 7 2 6 4 9" xfId="42097"/>
    <cellStyle name="Normal 7 2 6 5" xfId="1152"/>
    <cellStyle name="Normal 7 2 6 5 2" xfId="2847"/>
    <cellStyle name="Normal 7 2 6 5 2 2" xfId="11072"/>
    <cellStyle name="Normal 7 2 6 5 2 2 2" xfId="27522"/>
    <cellStyle name="Normal 7 2 6 5 2 3" xfId="19297"/>
    <cellStyle name="Normal 7 2 6 5 2 4" xfId="35751"/>
    <cellStyle name="Normal 7 2 6 5 3" xfId="4492"/>
    <cellStyle name="Normal 7 2 6 5 3 2" xfId="12717"/>
    <cellStyle name="Normal 7 2 6 5 3 2 2" xfId="29167"/>
    <cellStyle name="Normal 7 2 6 5 3 3" xfId="20942"/>
    <cellStyle name="Normal 7 2 6 5 3 4" xfId="37396"/>
    <cellStyle name="Normal 7 2 6 5 4" xfId="6137"/>
    <cellStyle name="Normal 7 2 6 5 4 2" xfId="14362"/>
    <cellStyle name="Normal 7 2 6 5 4 2 2" xfId="30812"/>
    <cellStyle name="Normal 7 2 6 5 4 3" xfId="22587"/>
    <cellStyle name="Normal 7 2 6 5 4 4" xfId="39041"/>
    <cellStyle name="Normal 7 2 6 5 5" xfId="7782"/>
    <cellStyle name="Normal 7 2 6 5 5 2" xfId="16007"/>
    <cellStyle name="Normal 7 2 6 5 5 2 2" xfId="32457"/>
    <cellStyle name="Normal 7 2 6 5 5 3" xfId="24232"/>
    <cellStyle name="Normal 7 2 6 5 5 4" xfId="40686"/>
    <cellStyle name="Normal 7 2 6 5 6" xfId="9427"/>
    <cellStyle name="Normal 7 2 6 5 6 2" xfId="25877"/>
    <cellStyle name="Normal 7 2 6 5 7" xfId="17651"/>
    <cellStyle name="Normal 7 2 6 5 8" xfId="34105"/>
    <cellStyle name="Normal 7 2 6 5 9" xfId="42332"/>
    <cellStyle name="Normal 7 2 6 6" xfId="1432"/>
    <cellStyle name="Normal 7 2 6 6 2" xfId="3082"/>
    <cellStyle name="Normal 7 2 6 6 2 2" xfId="11307"/>
    <cellStyle name="Normal 7 2 6 6 2 2 2" xfId="27757"/>
    <cellStyle name="Normal 7 2 6 6 2 3" xfId="19532"/>
    <cellStyle name="Normal 7 2 6 6 2 4" xfId="35986"/>
    <cellStyle name="Normal 7 2 6 6 3" xfId="4727"/>
    <cellStyle name="Normal 7 2 6 6 3 2" xfId="12952"/>
    <cellStyle name="Normal 7 2 6 6 3 2 2" xfId="29402"/>
    <cellStyle name="Normal 7 2 6 6 3 3" xfId="21177"/>
    <cellStyle name="Normal 7 2 6 6 3 4" xfId="37631"/>
    <cellStyle name="Normal 7 2 6 6 4" xfId="6372"/>
    <cellStyle name="Normal 7 2 6 6 4 2" xfId="14597"/>
    <cellStyle name="Normal 7 2 6 6 4 2 2" xfId="31047"/>
    <cellStyle name="Normal 7 2 6 6 4 3" xfId="22822"/>
    <cellStyle name="Normal 7 2 6 6 4 4" xfId="39276"/>
    <cellStyle name="Normal 7 2 6 6 5" xfId="8017"/>
    <cellStyle name="Normal 7 2 6 6 5 2" xfId="16242"/>
    <cellStyle name="Normal 7 2 6 6 5 2 2" xfId="32692"/>
    <cellStyle name="Normal 7 2 6 6 5 3" xfId="24467"/>
    <cellStyle name="Normal 7 2 6 6 5 4" xfId="40921"/>
    <cellStyle name="Normal 7 2 6 6 6" xfId="9662"/>
    <cellStyle name="Normal 7 2 6 6 6 2" xfId="26112"/>
    <cellStyle name="Normal 7 2 6 6 7" xfId="17886"/>
    <cellStyle name="Normal 7 2 6 6 8" xfId="34340"/>
    <cellStyle name="Normal 7 2 6 7" xfId="1667"/>
    <cellStyle name="Normal 7 2 6 7 2" xfId="3317"/>
    <cellStyle name="Normal 7 2 6 7 2 2" xfId="11542"/>
    <cellStyle name="Normal 7 2 6 7 2 2 2" xfId="27992"/>
    <cellStyle name="Normal 7 2 6 7 2 3" xfId="19767"/>
    <cellStyle name="Normal 7 2 6 7 2 4" xfId="36221"/>
    <cellStyle name="Normal 7 2 6 7 3" xfId="4962"/>
    <cellStyle name="Normal 7 2 6 7 3 2" xfId="13187"/>
    <cellStyle name="Normal 7 2 6 7 3 2 2" xfId="29637"/>
    <cellStyle name="Normal 7 2 6 7 3 3" xfId="21412"/>
    <cellStyle name="Normal 7 2 6 7 3 4" xfId="37866"/>
    <cellStyle name="Normal 7 2 6 7 4" xfId="6607"/>
    <cellStyle name="Normal 7 2 6 7 4 2" xfId="14832"/>
    <cellStyle name="Normal 7 2 6 7 4 2 2" xfId="31282"/>
    <cellStyle name="Normal 7 2 6 7 4 3" xfId="23057"/>
    <cellStyle name="Normal 7 2 6 7 4 4" xfId="39511"/>
    <cellStyle name="Normal 7 2 6 7 5" xfId="8252"/>
    <cellStyle name="Normal 7 2 6 7 5 2" xfId="16477"/>
    <cellStyle name="Normal 7 2 6 7 5 2 2" xfId="32927"/>
    <cellStyle name="Normal 7 2 6 7 5 3" xfId="24702"/>
    <cellStyle name="Normal 7 2 6 7 5 4" xfId="41156"/>
    <cellStyle name="Normal 7 2 6 7 6" xfId="9897"/>
    <cellStyle name="Normal 7 2 6 7 6 2" xfId="26347"/>
    <cellStyle name="Normal 7 2 6 7 7" xfId="18121"/>
    <cellStyle name="Normal 7 2 6 7 8" xfId="34575"/>
    <cellStyle name="Normal 7 2 6 8" xfId="1902"/>
    <cellStyle name="Normal 7 2 6 8 2" xfId="10132"/>
    <cellStyle name="Normal 7 2 6 8 2 2" xfId="26582"/>
    <cellStyle name="Normal 7 2 6 8 3" xfId="18356"/>
    <cellStyle name="Normal 7 2 6 8 4" xfId="34810"/>
    <cellStyle name="Normal 7 2 6 9" xfId="3552"/>
    <cellStyle name="Normal 7 2 6 9 2" xfId="11777"/>
    <cellStyle name="Normal 7 2 6 9 2 2" xfId="28227"/>
    <cellStyle name="Normal 7 2 6 9 3" xfId="20002"/>
    <cellStyle name="Normal 7 2 6 9 4" xfId="36456"/>
    <cellStyle name="Normal 7 2 7" xfId="227"/>
    <cellStyle name="Normal 7 2 7 10" xfId="5224"/>
    <cellStyle name="Normal 7 2 7 10 2" xfId="13449"/>
    <cellStyle name="Normal 7 2 7 10 2 2" xfId="29899"/>
    <cellStyle name="Normal 7 2 7 10 3" xfId="21674"/>
    <cellStyle name="Normal 7 2 7 10 4" xfId="38128"/>
    <cellStyle name="Normal 7 2 7 11" xfId="6869"/>
    <cellStyle name="Normal 7 2 7 11 2" xfId="15094"/>
    <cellStyle name="Normal 7 2 7 11 2 2" xfId="31544"/>
    <cellStyle name="Normal 7 2 7 11 3" xfId="23319"/>
    <cellStyle name="Normal 7 2 7 11 4" xfId="39773"/>
    <cellStyle name="Normal 7 2 7 12" xfId="8514"/>
    <cellStyle name="Normal 7 2 7 12 2" xfId="24964"/>
    <cellStyle name="Normal 7 2 7 13" xfId="16738"/>
    <cellStyle name="Normal 7 2 7 14" xfId="33191"/>
    <cellStyle name="Normal 7 2 7 15" xfId="41419"/>
    <cellStyle name="Normal 7 2 7 2" xfId="470"/>
    <cellStyle name="Normal 7 2 7 2 2" xfId="2167"/>
    <cellStyle name="Normal 7 2 7 2 2 2" xfId="10394"/>
    <cellStyle name="Normal 7 2 7 2 2 2 2" xfId="26844"/>
    <cellStyle name="Normal 7 2 7 2 2 3" xfId="18619"/>
    <cellStyle name="Normal 7 2 7 2 2 4" xfId="35073"/>
    <cellStyle name="Normal 7 2 7 2 3" xfId="3814"/>
    <cellStyle name="Normal 7 2 7 2 3 2" xfId="12039"/>
    <cellStyle name="Normal 7 2 7 2 3 2 2" xfId="28489"/>
    <cellStyle name="Normal 7 2 7 2 3 3" xfId="20264"/>
    <cellStyle name="Normal 7 2 7 2 3 4" xfId="36718"/>
    <cellStyle name="Normal 7 2 7 2 4" xfId="5459"/>
    <cellStyle name="Normal 7 2 7 2 4 2" xfId="13684"/>
    <cellStyle name="Normal 7 2 7 2 4 2 2" xfId="30134"/>
    <cellStyle name="Normal 7 2 7 2 4 3" xfId="21909"/>
    <cellStyle name="Normal 7 2 7 2 4 4" xfId="38363"/>
    <cellStyle name="Normal 7 2 7 2 5" xfId="7104"/>
    <cellStyle name="Normal 7 2 7 2 5 2" xfId="15329"/>
    <cellStyle name="Normal 7 2 7 2 5 2 2" xfId="31779"/>
    <cellStyle name="Normal 7 2 7 2 5 3" xfId="23554"/>
    <cellStyle name="Normal 7 2 7 2 5 4" xfId="40008"/>
    <cellStyle name="Normal 7 2 7 2 6" xfId="8749"/>
    <cellStyle name="Normal 7 2 7 2 6 2" xfId="25199"/>
    <cellStyle name="Normal 7 2 7 2 7" xfId="16973"/>
    <cellStyle name="Normal 7 2 7 2 8" xfId="33427"/>
    <cellStyle name="Normal 7 2 7 2 9" xfId="41654"/>
    <cellStyle name="Normal 7 2 7 3" xfId="709"/>
    <cellStyle name="Normal 7 2 7 3 2" xfId="2404"/>
    <cellStyle name="Normal 7 2 7 3 2 2" xfId="10629"/>
    <cellStyle name="Normal 7 2 7 3 2 2 2" xfId="27079"/>
    <cellStyle name="Normal 7 2 7 3 2 3" xfId="18854"/>
    <cellStyle name="Normal 7 2 7 3 2 4" xfId="35308"/>
    <cellStyle name="Normal 7 2 7 3 3" xfId="4049"/>
    <cellStyle name="Normal 7 2 7 3 3 2" xfId="12274"/>
    <cellStyle name="Normal 7 2 7 3 3 2 2" xfId="28724"/>
    <cellStyle name="Normal 7 2 7 3 3 3" xfId="20499"/>
    <cellStyle name="Normal 7 2 7 3 3 4" xfId="36953"/>
    <cellStyle name="Normal 7 2 7 3 4" xfId="5694"/>
    <cellStyle name="Normal 7 2 7 3 4 2" xfId="13919"/>
    <cellStyle name="Normal 7 2 7 3 4 2 2" xfId="30369"/>
    <cellStyle name="Normal 7 2 7 3 4 3" xfId="22144"/>
    <cellStyle name="Normal 7 2 7 3 4 4" xfId="38598"/>
    <cellStyle name="Normal 7 2 7 3 5" xfId="7339"/>
    <cellStyle name="Normal 7 2 7 3 5 2" xfId="15564"/>
    <cellStyle name="Normal 7 2 7 3 5 2 2" xfId="32014"/>
    <cellStyle name="Normal 7 2 7 3 5 3" xfId="23789"/>
    <cellStyle name="Normal 7 2 7 3 5 4" xfId="40243"/>
    <cellStyle name="Normal 7 2 7 3 6" xfId="8984"/>
    <cellStyle name="Normal 7 2 7 3 6 2" xfId="25434"/>
    <cellStyle name="Normal 7 2 7 3 7" xfId="17208"/>
    <cellStyle name="Normal 7 2 7 3 8" xfId="33662"/>
    <cellStyle name="Normal 7 2 7 3 9" xfId="41889"/>
    <cellStyle name="Normal 7 2 7 4" xfId="944"/>
    <cellStyle name="Normal 7 2 7 4 2" xfId="2639"/>
    <cellStyle name="Normal 7 2 7 4 2 2" xfId="10864"/>
    <cellStyle name="Normal 7 2 7 4 2 2 2" xfId="27314"/>
    <cellStyle name="Normal 7 2 7 4 2 3" xfId="19089"/>
    <cellStyle name="Normal 7 2 7 4 2 4" xfId="35543"/>
    <cellStyle name="Normal 7 2 7 4 3" xfId="4284"/>
    <cellStyle name="Normal 7 2 7 4 3 2" xfId="12509"/>
    <cellStyle name="Normal 7 2 7 4 3 2 2" xfId="28959"/>
    <cellStyle name="Normal 7 2 7 4 3 3" xfId="20734"/>
    <cellStyle name="Normal 7 2 7 4 3 4" xfId="37188"/>
    <cellStyle name="Normal 7 2 7 4 4" xfId="5929"/>
    <cellStyle name="Normal 7 2 7 4 4 2" xfId="14154"/>
    <cellStyle name="Normal 7 2 7 4 4 2 2" xfId="30604"/>
    <cellStyle name="Normal 7 2 7 4 4 3" xfId="22379"/>
    <cellStyle name="Normal 7 2 7 4 4 4" xfId="38833"/>
    <cellStyle name="Normal 7 2 7 4 5" xfId="7574"/>
    <cellStyle name="Normal 7 2 7 4 5 2" xfId="15799"/>
    <cellStyle name="Normal 7 2 7 4 5 2 2" xfId="32249"/>
    <cellStyle name="Normal 7 2 7 4 5 3" xfId="24024"/>
    <cellStyle name="Normal 7 2 7 4 5 4" xfId="40478"/>
    <cellStyle name="Normal 7 2 7 4 6" xfId="9219"/>
    <cellStyle name="Normal 7 2 7 4 6 2" xfId="25669"/>
    <cellStyle name="Normal 7 2 7 4 7" xfId="17443"/>
    <cellStyle name="Normal 7 2 7 4 8" xfId="33897"/>
    <cellStyle name="Normal 7 2 7 4 9" xfId="42124"/>
    <cellStyle name="Normal 7 2 7 5" xfId="1179"/>
    <cellStyle name="Normal 7 2 7 5 2" xfId="2874"/>
    <cellStyle name="Normal 7 2 7 5 2 2" xfId="11099"/>
    <cellStyle name="Normal 7 2 7 5 2 2 2" xfId="27549"/>
    <cellStyle name="Normal 7 2 7 5 2 3" xfId="19324"/>
    <cellStyle name="Normal 7 2 7 5 2 4" xfId="35778"/>
    <cellStyle name="Normal 7 2 7 5 3" xfId="4519"/>
    <cellStyle name="Normal 7 2 7 5 3 2" xfId="12744"/>
    <cellStyle name="Normal 7 2 7 5 3 2 2" xfId="29194"/>
    <cellStyle name="Normal 7 2 7 5 3 3" xfId="20969"/>
    <cellStyle name="Normal 7 2 7 5 3 4" xfId="37423"/>
    <cellStyle name="Normal 7 2 7 5 4" xfId="6164"/>
    <cellStyle name="Normal 7 2 7 5 4 2" xfId="14389"/>
    <cellStyle name="Normal 7 2 7 5 4 2 2" xfId="30839"/>
    <cellStyle name="Normal 7 2 7 5 4 3" xfId="22614"/>
    <cellStyle name="Normal 7 2 7 5 4 4" xfId="39068"/>
    <cellStyle name="Normal 7 2 7 5 5" xfId="7809"/>
    <cellStyle name="Normal 7 2 7 5 5 2" xfId="16034"/>
    <cellStyle name="Normal 7 2 7 5 5 2 2" xfId="32484"/>
    <cellStyle name="Normal 7 2 7 5 5 3" xfId="24259"/>
    <cellStyle name="Normal 7 2 7 5 5 4" xfId="40713"/>
    <cellStyle name="Normal 7 2 7 5 6" xfId="9454"/>
    <cellStyle name="Normal 7 2 7 5 6 2" xfId="25904"/>
    <cellStyle name="Normal 7 2 7 5 7" xfId="17678"/>
    <cellStyle name="Normal 7 2 7 5 8" xfId="34132"/>
    <cellStyle name="Normal 7 2 7 5 9" xfId="42359"/>
    <cellStyle name="Normal 7 2 7 6" xfId="1459"/>
    <cellStyle name="Normal 7 2 7 6 2" xfId="3109"/>
    <cellStyle name="Normal 7 2 7 6 2 2" xfId="11334"/>
    <cellStyle name="Normal 7 2 7 6 2 2 2" xfId="27784"/>
    <cellStyle name="Normal 7 2 7 6 2 3" xfId="19559"/>
    <cellStyle name="Normal 7 2 7 6 2 4" xfId="36013"/>
    <cellStyle name="Normal 7 2 7 6 3" xfId="4754"/>
    <cellStyle name="Normal 7 2 7 6 3 2" xfId="12979"/>
    <cellStyle name="Normal 7 2 7 6 3 2 2" xfId="29429"/>
    <cellStyle name="Normal 7 2 7 6 3 3" xfId="21204"/>
    <cellStyle name="Normal 7 2 7 6 3 4" xfId="37658"/>
    <cellStyle name="Normal 7 2 7 6 4" xfId="6399"/>
    <cellStyle name="Normal 7 2 7 6 4 2" xfId="14624"/>
    <cellStyle name="Normal 7 2 7 6 4 2 2" xfId="31074"/>
    <cellStyle name="Normal 7 2 7 6 4 3" xfId="22849"/>
    <cellStyle name="Normal 7 2 7 6 4 4" xfId="39303"/>
    <cellStyle name="Normal 7 2 7 6 5" xfId="8044"/>
    <cellStyle name="Normal 7 2 7 6 5 2" xfId="16269"/>
    <cellStyle name="Normal 7 2 7 6 5 2 2" xfId="32719"/>
    <cellStyle name="Normal 7 2 7 6 5 3" xfId="24494"/>
    <cellStyle name="Normal 7 2 7 6 5 4" xfId="40948"/>
    <cellStyle name="Normal 7 2 7 6 6" xfId="9689"/>
    <cellStyle name="Normal 7 2 7 6 6 2" xfId="26139"/>
    <cellStyle name="Normal 7 2 7 6 7" xfId="17913"/>
    <cellStyle name="Normal 7 2 7 6 8" xfId="34367"/>
    <cellStyle name="Normal 7 2 7 7" xfId="1694"/>
    <cellStyle name="Normal 7 2 7 7 2" xfId="3344"/>
    <cellStyle name="Normal 7 2 7 7 2 2" xfId="11569"/>
    <cellStyle name="Normal 7 2 7 7 2 2 2" xfId="28019"/>
    <cellStyle name="Normal 7 2 7 7 2 3" xfId="19794"/>
    <cellStyle name="Normal 7 2 7 7 2 4" xfId="36248"/>
    <cellStyle name="Normal 7 2 7 7 3" xfId="4989"/>
    <cellStyle name="Normal 7 2 7 7 3 2" xfId="13214"/>
    <cellStyle name="Normal 7 2 7 7 3 2 2" xfId="29664"/>
    <cellStyle name="Normal 7 2 7 7 3 3" xfId="21439"/>
    <cellStyle name="Normal 7 2 7 7 3 4" xfId="37893"/>
    <cellStyle name="Normal 7 2 7 7 4" xfId="6634"/>
    <cellStyle name="Normal 7 2 7 7 4 2" xfId="14859"/>
    <cellStyle name="Normal 7 2 7 7 4 2 2" xfId="31309"/>
    <cellStyle name="Normal 7 2 7 7 4 3" xfId="23084"/>
    <cellStyle name="Normal 7 2 7 7 4 4" xfId="39538"/>
    <cellStyle name="Normal 7 2 7 7 5" xfId="8279"/>
    <cellStyle name="Normal 7 2 7 7 5 2" xfId="16504"/>
    <cellStyle name="Normal 7 2 7 7 5 2 2" xfId="32954"/>
    <cellStyle name="Normal 7 2 7 7 5 3" xfId="24729"/>
    <cellStyle name="Normal 7 2 7 7 5 4" xfId="41183"/>
    <cellStyle name="Normal 7 2 7 7 6" xfId="9924"/>
    <cellStyle name="Normal 7 2 7 7 6 2" xfId="26374"/>
    <cellStyle name="Normal 7 2 7 7 7" xfId="18148"/>
    <cellStyle name="Normal 7 2 7 7 8" xfId="34602"/>
    <cellStyle name="Normal 7 2 7 8" xfId="1929"/>
    <cellStyle name="Normal 7 2 7 8 2" xfId="10159"/>
    <cellStyle name="Normal 7 2 7 8 2 2" xfId="26609"/>
    <cellStyle name="Normal 7 2 7 8 3" xfId="18383"/>
    <cellStyle name="Normal 7 2 7 8 4" xfId="34837"/>
    <cellStyle name="Normal 7 2 7 9" xfId="3579"/>
    <cellStyle name="Normal 7 2 7 9 2" xfId="11804"/>
    <cellStyle name="Normal 7 2 7 9 2 2" xfId="28254"/>
    <cellStyle name="Normal 7 2 7 9 3" xfId="20029"/>
    <cellStyle name="Normal 7 2 7 9 4" xfId="36483"/>
    <cellStyle name="Normal 7 2 8" xfId="256"/>
    <cellStyle name="Normal 7 2 8 10" xfId="5251"/>
    <cellStyle name="Normal 7 2 8 10 2" xfId="13476"/>
    <cellStyle name="Normal 7 2 8 10 2 2" xfId="29926"/>
    <cellStyle name="Normal 7 2 8 10 3" xfId="21701"/>
    <cellStyle name="Normal 7 2 8 10 4" xfId="38155"/>
    <cellStyle name="Normal 7 2 8 11" xfId="6896"/>
    <cellStyle name="Normal 7 2 8 11 2" xfId="15121"/>
    <cellStyle name="Normal 7 2 8 11 2 2" xfId="31571"/>
    <cellStyle name="Normal 7 2 8 11 3" xfId="23346"/>
    <cellStyle name="Normal 7 2 8 11 4" xfId="39800"/>
    <cellStyle name="Normal 7 2 8 12" xfId="8541"/>
    <cellStyle name="Normal 7 2 8 12 2" xfId="24991"/>
    <cellStyle name="Normal 7 2 8 13" xfId="16765"/>
    <cellStyle name="Normal 7 2 8 14" xfId="33218"/>
    <cellStyle name="Normal 7 2 8 15" xfId="41446"/>
    <cellStyle name="Normal 7 2 8 2" xfId="499"/>
    <cellStyle name="Normal 7 2 8 2 2" xfId="2194"/>
    <cellStyle name="Normal 7 2 8 2 2 2" xfId="10421"/>
    <cellStyle name="Normal 7 2 8 2 2 2 2" xfId="26871"/>
    <cellStyle name="Normal 7 2 8 2 2 3" xfId="18646"/>
    <cellStyle name="Normal 7 2 8 2 2 4" xfId="35100"/>
    <cellStyle name="Normal 7 2 8 2 3" xfId="3841"/>
    <cellStyle name="Normal 7 2 8 2 3 2" xfId="12066"/>
    <cellStyle name="Normal 7 2 8 2 3 2 2" xfId="28516"/>
    <cellStyle name="Normal 7 2 8 2 3 3" xfId="20291"/>
    <cellStyle name="Normal 7 2 8 2 3 4" xfId="36745"/>
    <cellStyle name="Normal 7 2 8 2 4" xfId="5486"/>
    <cellStyle name="Normal 7 2 8 2 4 2" xfId="13711"/>
    <cellStyle name="Normal 7 2 8 2 4 2 2" xfId="30161"/>
    <cellStyle name="Normal 7 2 8 2 4 3" xfId="21936"/>
    <cellStyle name="Normal 7 2 8 2 4 4" xfId="38390"/>
    <cellStyle name="Normal 7 2 8 2 5" xfId="7131"/>
    <cellStyle name="Normal 7 2 8 2 5 2" xfId="15356"/>
    <cellStyle name="Normal 7 2 8 2 5 2 2" xfId="31806"/>
    <cellStyle name="Normal 7 2 8 2 5 3" xfId="23581"/>
    <cellStyle name="Normal 7 2 8 2 5 4" xfId="40035"/>
    <cellStyle name="Normal 7 2 8 2 6" xfId="8776"/>
    <cellStyle name="Normal 7 2 8 2 6 2" xfId="25226"/>
    <cellStyle name="Normal 7 2 8 2 7" xfId="17000"/>
    <cellStyle name="Normal 7 2 8 2 8" xfId="33454"/>
    <cellStyle name="Normal 7 2 8 2 9" xfId="41681"/>
    <cellStyle name="Normal 7 2 8 3" xfId="736"/>
    <cellStyle name="Normal 7 2 8 3 2" xfId="2431"/>
    <cellStyle name="Normal 7 2 8 3 2 2" xfId="10656"/>
    <cellStyle name="Normal 7 2 8 3 2 2 2" xfId="27106"/>
    <cellStyle name="Normal 7 2 8 3 2 3" xfId="18881"/>
    <cellStyle name="Normal 7 2 8 3 2 4" xfId="35335"/>
    <cellStyle name="Normal 7 2 8 3 3" xfId="4076"/>
    <cellStyle name="Normal 7 2 8 3 3 2" xfId="12301"/>
    <cellStyle name="Normal 7 2 8 3 3 2 2" xfId="28751"/>
    <cellStyle name="Normal 7 2 8 3 3 3" xfId="20526"/>
    <cellStyle name="Normal 7 2 8 3 3 4" xfId="36980"/>
    <cellStyle name="Normal 7 2 8 3 4" xfId="5721"/>
    <cellStyle name="Normal 7 2 8 3 4 2" xfId="13946"/>
    <cellStyle name="Normal 7 2 8 3 4 2 2" xfId="30396"/>
    <cellStyle name="Normal 7 2 8 3 4 3" xfId="22171"/>
    <cellStyle name="Normal 7 2 8 3 4 4" xfId="38625"/>
    <cellStyle name="Normal 7 2 8 3 5" xfId="7366"/>
    <cellStyle name="Normal 7 2 8 3 5 2" xfId="15591"/>
    <cellStyle name="Normal 7 2 8 3 5 2 2" xfId="32041"/>
    <cellStyle name="Normal 7 2 8 3 5 3" xfId="23816"/>
    <cellStyle name="Normal 7 2 8 3 5 4" xfId="40270"/>
    <cellStyle name="Normal 7 2 8 3 6" xfId="9011"/>
    <cellStyle name="Normal 7 2 8 3 6 2" xfId="25461"/>
    <cellStyle name="Normal 7 2 8 3 7" xfId="17235"/>
    <cellStyle name="Normal 7 2 8 3 8" xfId="33689"/>
    <cellStyle name="Normal 7 2 8 3 9" xfId="41916"/>
    <cellStyle name="Normal 7 2 8 4" xfId="971"/>
    <cellStyle name="Normal 7 2 8 4 2" xfId="2666"/>
    <cellStyle name="Normal 7 2 8 4 2 2" xfId="10891"/>
    <cellStyle name="Normal 7 2 8 4 2 2 2" xfId="27341"/>
    <cellStyle name="Normal 7 2 8 4 2 3" xfId="19116"/>
    <cellStyle name="Normal 7 2 8 4 2 4" xfId="35570"/>
    <cellStyle name="Normal 7 2 8 4 3" xfId="4311"/>
    <cellStyle name="Normal 7 2 8 4 3 2" xfId="12536"/>
    <cellStyle name="Normal 7 2 8 4 3 2 2" xfId="28986"/>
    <cellStyle name="Normal 7 2 8 4 3 3" xfId="20761"/>
    <cellStyle name="Normal 7 2 8 4 3 4" xfId="37215"/>
    <cellStyle name="Normal 7 2 8 4 4" xfId="5956"/>
    <cellStyle name="Normal 7 2 8 4 4 2" xfId="14181"/>
    <cellStyle name="Normal 7 2 8 4 4 2 2" xfId="30631"/>
    <cellStyle name="Normal 7 2 8 4 4 3" xfId="22406"/>
    <cellStyle name="Normal 7 2 8 4 4 4" xfId="38860"/>
    <cellStyle name="Normal 7 2 8 4 5" xfId="7601"/>
    <cellStyle name="Normal 7 2 8 4 5 2" xfId="15826"/>
    <cellStyle name="Normal 7 2 8 4 5 2 2" xfId="32276"/>
    <cellStyle name="Normal 7 2 8 4 5 3" xfId="24051"/>
    <cellStyle name="Normal 7 2 8 4 5 4" xfId="40505"/>
    <cellStyle name="Normal 7 2 8 4 6" xfId="9246"/>
    <cellStyle name="Normal 7 2 8 4 6 2" xfId="25696"/>
    <cellStyle name="Normal 7 2 8 4 7" xfId="17470"/>
    <cellStyle name="Normal 7 2 8 4 8" xfId="33924"/>
    <cellStyle name="Normal 7 2 8 4 9" xfId="42151"/>
    <cellStyle name="Normal 7 2 8 5" xfId="1206"/>
    <cellStyle name="Normal 7 2 8 5 2" xfId="2901"/>
    <cellStyle name="Normal 7 2 8 5 2 2" xfId="11126"/>
    <cellStyle name="Normal 7 2 8 5 2 2 2" xfId="27576"/>
    <cellStyle name="Normal 7 2 8 5 2 3" xfId="19351"/>
    <cellStyle name="Normal 7 2 8 5 2 4" xfId="35805"/>
    <cellStyle name="Normal 7 2 8 5 3" xfId="4546"/>
    <cellStyle name="Normal 7 2 8 5 3 2" xfId="12771"/>
    <cellStyle name="Normal 7 2 8 5 3 2 2" xfId="29221"/>
    <cellStyle name="Normal 7 2 8 5 3 3" xfId="20996"/>
    <cellStyle name="Normal 7 2 8 5 3 4" xfId="37450"/>
    <cellStyle name="Normal 7 2 8 5 4" xfId="6191"/>
    <cellStyle name="Normal 7 2 8 5 4 2" xfId="14416"/>
    <cellStyle name="Normal 7 2 8 5 4 2 2" xfId="30866"/>
    <cellStyle name="Normal 7 2 8 5 4 3" xfId="22641"/>
    <cellStyle name="Normal 7 2 8 5 4 4" xfId="39095"/>
    <cellStyle name="Normal 7 2 8 5 5" xfId="7836"/>
    <cellStyle name="Normal 7 2 8 5 5 2" xfId="16061"/>
    <cellStyle name="Normal 7 2 8 5 5 2 2" xfId="32511"/>
    <cellStyle name="Normal 7 2 8 5 5 3" xfId="24286"/>
    <cellStyle name="Normal 7 2 8 5 5 4" xfId="40740"/>
    <cellStyle name="Normal 7 2 8 5 6" xfId="9481"/>
    <cellStyle name="Normal 7 2 8 5 6 2" xfId="25931"/>
    <cellStyle name="Normal 7 2 8 5 7" xfId="17705"/>
    <cellStyle name="Normal 7 2 8 5 8" xfId="34159"/>
    <cellStyle name="Normal 7 2 8 5 9" xfId="42386"/>
    <cellStyle name="Normal 7 2 8 6" xfId="1486"/>
    <cellStyle name="Normal 7 2 8 6 2" xfId="3136"/>
    <cellStyle name="Normal 7 2 8 6 2 2" xfId="11361"/>
    <cellStyle name="Normal 7 2 8 6 2 2 2" xfId="27811"/>
    <cellStyle name="Normal 7 2 8 6 2 3" xfId="19586"/>
    <cellStyle name="Normal 7 2 8 6 2 4" xfId="36040"/>
    <cellStyle name="Normal 7 2 8 6 3" xfId="4781"/>
    <cellStyle name="Normal 7 2 8 6 3 2" xfId="13006"/>
    <cellStyle name="Normal 7 2 8 6 3 2 2" xfId="29456"/>
    <cellStyle name="Normal 7 2 8 6 3 3" xfId="21231"/>
    <cellStyle name="Normal 7 2 8 6 3 4" xfId="37685"/>
    <cellStyle name="Normal 7 2 8 6 4" xfId="6426"/>
    <cellStyle name="Normal 7 2 8 6 4 2" xfId="14651"/>
    <cellStyle name="Normal 7 2 8 6 4 2 2" xfId="31101"/>
    <cellStyle name="Normal 7 2 8 6 4 3" xfId="22876"/>
    <cellStyle name="Normal 7 2 8 6 4 4" xfId="39330"/>
    <cellStyle name="Normal 7 2 8 6 5" xfId="8071"/>
    <cellStyle name="Normal 7 2 8 6 5 2" xfId="16296"/>
    <cellStyle name="Normal 7 2 8 6 5 2 2" xfId="32746"/>
    <cellStyle name="Normal 7 2 8 6 5 3" xfId="24521"/>
    <cellStyle name="Normal 7 2 8 6 5 4" xfId="40975"/>
    <cellStyle name="Normal 7 2 8 6 6" xfId="9716"/>
    <cellStyle name="Normal 7 2 8 6 6 2" xfId="26166"/>
    <cellStyle name="Normal 7 2 8 6 7" xfId="17940"/>
    <cellStyle name="Normal 7 2 8 6 8" xfId="34394"/>
    <cellStyle name="Normal 7 2 8 7" xfId="1721"/>
    <cellStyle name="Normal 7 2 8 7 2" xfId="3371"/>
    <cellStyle name="Normal 7 2 8 7 2 2" xfId="11596"/>
    <cellStyle name="Normal 7 2 8 7 2 2 2" xfId="28046"/>
    <cellStyle name="Normal 7 2 8 7 2 3" xfId="19821"/>
    <cellStyle name="Normal 7 2 8 7 2 4" xfId="36275"/>
    <cellStyle name="Normal 7 2 8 7 3" xfId="5016"/>
    <cellStyle name="Normal 7 2 8 7 3 2" xfId="13241"/>
    <cellStyle name="Normal 7 2 8 7 3 2 2" xfId="29691"/>
    <cellStyle name="Normal 7 2 8 7 3 3" xfId="21466"/>
    <cellStyle name="Normal 7 2 8 7 3 4" xfId="37920"/>
    <cellStyle name="Normal 7 2 8 7 4" xfId="6661"/>
    <cellStyle name="Normal 7 2 8 7 4 2" xfId="14886"/>
    <cellStyle name="Normal 7 2 8 7 4 2 2" xfId="31336"/>
    <cellStyle name="Normal 7 2 8 7 4 3" xfId="23111"/>
    <cellStyle name="Normal 7 2 8 7 4 4" xfId="39565"/>
    <cellStyle name="Normal 7 2 8 7 5" xfId="8306"/>
    <cellStyle name="Normal 7 2 8 7 5 2" xfId="16531"/>
    <cellStyle name="Normal 7 2 8 7 5 2 2" xfId="32981"/>
    <cellStyle name="Normal 7 2 8 7 5 3" xfId="24756"/>
    <cellStyle name="Normal 7 2 8 7 5 4" xfId="41210"/>
    <cellStyle name="Normal 7 2 8 7 6" xfId="9951"/>
    <cellStyle name="Normal 7 2 8 7 6 2" xfId="26401"/>
    <cellStyle name="Normal 7 2 8 7 7" xfId="18175"/>
    <cellStyle name="Normal 7 2 8 7 8" xfId="34629"/>
    <cellStyle name="Normal 7 2 8 8" xfId="1956"/>
    <cellStyle name="Normal 7 2 8 8 2" xfId="10186"/>
    <cellStyle name="Normal 7 2 8 8 2 2" xfId="26636"/>
    <cellStyle name="Normal 7 2 8 8 3" xfId="18410"/>
    <cellStyle name="Normal 7 2 8 8 4" xfId="34864"/>
    <cellStyle name="Normal 7 2 8 9" xfId="3606"/>
    <cellStyle name="Normal 7 2 8 9 2" xfId="11831"/>
    <cellStyle name="Normal 7 2 8 9 2 2" xfId="28281"/>
    <cellStyle name="Normal 7 2 8 9 3" xfId="20056"/>
    <cellStyle name="Normal 7 2 8 9 4" xfId="36510"/>
    <cellStyle name="Normal 7 2 9" xfId="285"/>
    <cellStyle name="Normal 7 2 9 2" xfId="1986"/>
    <cellStyle name="Normal 7 2 9 2 2" xfId="10213"/>
    <cellStyle name="Normal 7 2 9 2 2 2" xfId="26663"/>
    <cellStyle name="Normal 7 2 9 2 3" xfId="18438"/>
    <cellStyle name="Normal 7 2 9 2 4" xfId="34892"/>
    <cellStyle name="Normal 7 2 9 3" xfId="3633"/>
    <cellStyle name="Normal 7 2 9 3 2" xfId="11858"/>
    <cellStyle name="Normal 7 2 9 3 2 2" xfId="28308"/>
    <cellStyle name="Normal 7 2 9 3 3" xfId="20083"/>
    <cellStyle name="Normal 7 2 9 3 4" xfId="36537"/>
    <cellStyle name="Normal 7 2 9 4" xfId="5278"/>
    <cellStyle name="Normal 7 2 9 4 2" xfId="13503"/>
    <cellStyle name="Normal 7 2 9 4 2 2" xfId="29953"/>
    <cellStyle name="Normal 7 2 9 4 3" xfId="21728"/>
    <cellStyle name="Normal 7 2 9 4 4" xfId="38182"/>
    <cellStyle name="Normal 7 2 9 5" xfId="6923"/>
    <cellStyle name="Normal 7 2 9 5 2" xfId="15148"/>
    <cellStyle name="Normal 7 2 9 5 2 2" xfId="31598"/>
    <cellStyle name="Normal 7 2 9 5 3" xfId="23373"/>
    <cellStyle name="Normal 7 2 9 5 4" xfId="39827"/>
    <cellStyle name="Normal 7 2 9 6" xfId="8568"/>
    <cellStyle name="Normal 7 2 9 6 2" xfId="25018"/>
    <cellStyle name="Normal 7 2 9 7" xfId="16792"/>
    <cellStyle name="Normal 7 2 9 8" xfId="33246"/>
    <cellStyle name="Normal 7 2 9 9" xfId="41473"/>
    <cellStyle name="Normal 7 20" xfId="8326"/>
    <cellStyle name="Normal 7 20 2" xfId="24776"/>
    <cellStyle name="Normal 7 21" xfId="16550"/>
    <cellStyle name="Normal 7 22" xfId="33003"/>
    <cellStyle name="Normal 7 23" xfId="41231"/>
    <cellStyle name="Normal 7 3" xfId="62"/>
    <cellStyle name="Normal 7 3 10" xfId="3416"/>
    <cellStyle name="Normal 7 3 10 2" xfId="11641"/>
    <cellStyle name="Normal 7 3 10 2 2" xfId="28091"/>
    <cellStyle name="Normal 7 3 10 3" xfId="19866"/>
    <cellStyle name="Normal 7 3 10 4" xfId="36320"/>
    <cellStyle name="Normal 7 3 11" xfId="5061"/>
    <cellStyle name="Normal 7 3 11 2" xfId="13286"/>
    <cellStyle name="Normal 7 3 11 2 2" xfId="29736"/>
    <cellStyle name="Normal 7 3 11 3" xfId="21511"/>
    <cellStyle name="Normal 7 3 11 4" xfId="37965"/>
    <cellStyle name="Normal 7 3 12" xfId="6706"/>
    <cellStyle name="Normal 7 3 12 2" xfId="14931"/>
    <cellStyle name="Normal 7 3 12 2 2" xfId="31381"/>
    <cellStyle name="Normal 7 3 12 3" xfId="23156"/>
    <cellStyle name="Normal 7 3 12 4" xfId="39610"/>
    <cellStyle name="Normal 7 3 13" xfId="8351"/>
    <cellStyle name="Normal 7 3 13 2" xfId="24801"/>
    <cellStyle name="Normal 7 3 14" xfId="16575"/>
    <cellStyle name="Normal 7 3 15" xfId="33028"/>
    <cellStyle name="Normal 7 3 16" xfId="41256"/>
    <cellStyle name="Normal 7 3 2" xfId="112"/>
    <cellStyle name="Normal 7 3 2 10" xfId="5111"/>
    <cellStyle name="Normal 7 3 2 10 2" xfId="13336"/>
    <cellStyle name="Normal 7 3 2 10 2 2" xfId="29786"/>
    <cellStyle name="Normal 7 3 2 10 3" xfId="21561"/>
    <cellStyle name="Normal 7 3 2 10 4" xfId="38015"/>
    <cellStyle name="Normal 7 3 2 11" xfId="6756"/>
    <cellStyle name="Normal 7 3 2 11 2" xfId="14981"/>
    <cellStyle name="Normal 7 3 2 11 2 2" xfId="31431"/>
    <cellStyle name="Normal 7 3 2 11 3" xfId="23206"/>
    <cellStyle name="Normal 7 3 2 11 4" xfId="39660"/>
    <cellStyle name="Normal 7 3 2 12" xfId="8401"/>
    <cellStyle name="Normal 7 3 2 12 2" xfId="24851"/>
    <cellStyle name="Normal 7 3 2 13" xfId="16625"/>
    <cellStyle name="Normal 7 3 2 14" xfId="33078"/>
    <cellStyle name="Normal 7 3 2 15" xfId="41306"/>
    <cellStyle name="Normal 7 3 2 2" xfId="355"/>
    <cellStyle name="Normal 7 3 2 2 2" xfId="2054"/>
    <cellStyle name="Normal 7 3 2 2 2 2" xfId="10281"/>
    <cellStyle name="Normal 7 3 2 2 2 2 2" xfId="26731"/>
    <cellStyle name="Normal 7 3 2 2 2 3" xfId="18506"/>
    <cellStyle name="Normal 7 3 2 2 2 4" xfId="34960"/>
    <cellStyle name="Normal 7 3 2 2 3" xfId="3701"/>
    <cellStyle name="Normal 7 3 2 2 3 2" xfId="11926"/>
    <cellStyle name="Normal 7 3 2 2 3 2 2" xfId="28376"/>
    <cellStyle name="Normal 7 3 2 2 3 3" xfId="20151"/>
    <cellStyle name="Normal 7 3 2 2 3 4" xfId="36605"/>
    <cellStyle name="Normal 7 3 2 2 4" xfId="5346"/>
    <cellStyle name="Normal 7 3 2 2 4 2" xfId="13571"/>
    <cellStyle name="Normal 7 3 2 2 4 2 2" xfId="30021"/>
    <cellStyle name="Normal 7 3 2 2 4 3" xfId="21796"/>
    <cellStyle name="Normal 7 3 2 2 4 4" xfId="38250"/>
    <cellStyle name="Normal 7 3 2 2 5" xfId="6991"/>
    <cellStyle name="Normal 7 3 2 2 5 2" xfId="15216"/>
    <cellStyle name="Normal 7 3 2 2 5 2 2" xfId="31666"/>
    <cellStyle name="Normal 7 3 2 2 5 3" xfId="23441"/>
    <cellStyle name="Normal 7 3 2 2 5 4" xfId="39895"/>
    <cellStyle name="Normal 7 3 2 2 6" xfId="8636"/>
    <cellStyle name="Normal 7 3 2 2 6 2" xfId="25086"/>
    <cellStyle name="Normal 7 3 2 2 7" xfId="16860"/>
    <cellStyle name="Normal 7 3 2 2 8" xfId="33314"/>
    <cellStyle name="Normal 7 3 2 2 9" xfId="41541"/>
    <cellStyle name="Normal 7 3 2 3" xfId="596"/>
    <cellStyle name="Normal 7 3 2 3 2" xfId="2291"/>
    <cellStyle name="Normal 7 3 2 3 2 2" xfId="10516"/>
    <cellStyle name="Normal 7 3 2 3 2 2 2" xfId="26966"/>
    <cellStyle name="Normal 7 3 2 3 2 3" xfId="18741"/>
    <cellStyle name="Normal 7 3 2 3 2 4" xfId="35195"/>
    <cellStyle name="Normal 7 3 2 3 3" xfId="3936"/>
    <cellStyle name="Normal 7 3 2 3 3 2" xfId="12161"/>
    <cellStyle name="Normal 7 3 2 3 3 2 2" xfId="28611"/>
    <cellStyle name="Normal 7 3 2 3 3 3" xfId="20386"/>
    <cellStyle name="Normal 7 3 2 3 3 4" xfId="36840"/>
    <cellStyle name="Normal 7 3 2 3 4" xfId="5581"/>
    <cellStyle name="Normal 7 3 2 3 4 2" xfId="13806"/>
    <cellStyle name="Normal 7 3 2 3 4 2 2" xfId="30256"/>
    <cellStyle name="Normal 7 3 2 3 4 3" xfId="22031"/>
    <cellStyle name="Normal 7 3 2 3 4 4" xfId="38485"/>
    <cellStyle name="Normal 7 3 2 3 5" xfId="7226"/>
    <cellStyle name="Normal 7 3 2 3 5 2" xfId="15451"/>
    <cellStyle name="Normal 7 3 2 3 5 2 2" xfId="31901"/>
    <cellStyle name="Normal 7 3 2 3 5 3" xfId="23676"/>
    <cellStyle name="Normal 7 3 2 3 5 4" xfId="40130"/>
    <cellStyle name="Normal 7 3 2 3 6" xfId="8871"/>
    <cellStyle name="Normal 7 3 2 3 6 2" xfId="25321"/>
    <cellStyle name="Normal 7 3 2 3 7" xfId="17095"/>
    <cellStyle name="Normal 7 3 2 3 8" xfId="33549"/>
    <cellStyle name="Normal 7 3 2 3 9" xfId="41776"/>
    <cellStyle name="Normal 7 3 2 4" xfId="831"/>
    <cellStyle name="Normal 7 3 2 4 2" xfId="2526"/>
    <cellStyle name="Normal 7 3 2 4 2 2" xfId="10751"/>
    <cellStyle name="Normal 7 3 2 4 2 2 2" xfId="27201"/>
    <cellStyle name="Normal 7 3 2 4 2 3" xfId="18976"/>
    <cellStyle name="Normal 7 3 2 4 2 4" xfId="35430"/>
    <cellStyle name="Normal 7 3 2 4 3" xfId="4171"/>
    <cellStyle name="Normal 7 3 2 4 3 2" xfId="12396"/>
    <cellStyle name="Normal 7 3 2 4 3 2 2" xfId="28846"/>
    <cellStyle name="Normal 7 3 2 4 3 3" xfId="20621"/>
    <cellStyle name="Normal 7 3 2 4 3 4" xfId="37075"/>
    <cellStyle name="Normal 7 3 2 4 4" xfId="5816"/>
    <cellStyle name="Normal 7 3 2 4 4 2" xfId="14041"/>
    <cellStyle name="Normal 7 3 2 4 4 2 2" xfId="30491"/>
    <cellStyle name="Normal 7 3 2 4 4 3" xfId="22266"/>
    <cellStyle name="Normal 7 3 2 4 4 4" xfId="38720"/>
    <cellStyle name="Normal 7 3 2 4 5" xfId="7461"/>
    <cellStyle name="Normal 7 3 2 4 5 2" xfId="15686"/>
    <cellStyle name="Normal 7 3 2 4 5 2 2" xfId="32136"/>
    <cellStyle name="Normal 7 3 2 4 5 3" xfId="23911"/>
    <cellStyle name="Normal 7 3 2 4 5 4" xfId="40365"/>
    <cellStyle name="Normal 7 3 2 4 6" xfId="9106"/>
    <cellStyle name="Normal 7 3 2 4 6 2" xfId="25556"/>
    <cellStyle name="Normal 7 3 2 4 7" xfId="17330"/>
    <cellStyle name="Normal 7 3 2 4 8" xfId="33784"/>
    <cellStyle name="Normal 7 3 2 4 9" xfId="42011"/>
    <cellStyle name="Normal 7 3 2 5" xfId="1066"/>
    <cellStyle name="Normal 7 3 2 5 2" xfId="2761"/>
    <cellStyle name="Normal 7 3 2 5 2 2" xfId="10986"/>
    <cellStyle name="Normal 7 3 2 5 2 2 2" xfId="27436"/>
    <cellStyle name="Normal 7 3 2 5 2 3" xfId="19211"/>
    <cellStyle name="Normal 7 3 2 5 2 4" xfId="35665"/>
    <cellStyle name="Normal 7 3 2 5 3" xfId="4406"/>
    <cellStyle name="Normal 7 3 2 5 3 2" xfId="12631"/>
    <cellStyle name="Normal 7 3 2 5 3 2 2" xfId="29081"/>
    <cellStyle name="Normal 7 3 2 5 3 3" xfId="20856"/>
    <cellStyle name="Normal 7 3 2 5 3 4" xfId="37310"/>
    <cellStyle name="Normal 7 3 2 5 4" xfId="6051"/>
    <cellStyle name="Normal 7 3 2 5 4 2" xfId="14276"/>
    <cellStyle name="Normal 7 3 2 5 4 2 2" xfId="30726"/>
    <cellStyle name="Normal 7 3 2 5 4 3" xfId="22501"/>
    <cellStyle name="Normal 7 3 2 5 4 4" xfId="38955"/>
    <cellStyle name="Normal 7 3 2 5 5" xfId="7696"/>
    <cellStyle name="Normal 7 3 2 5 5 2" xfId="15921"/>
    <cellStyle name="Normal 7 3 2 5 5 2 2" xfId="32371"/>
    <cellStyle name="Normal 7 3 2 5 5 3" xfId="24146"/>
    <cellStyle name="Normal 7 3 2 5 5 4" xfId="40600"/>
    <cellStyle name="Normal 7 3 2 5 6" xfId="9341"/>
    <cellStyle name="Normal 7 3 2 5 6 2" xfId="25791"/>
    <cellStyle name="Normal 7 3 2 5 7" xfId="17565"/>
    <cellStyle name="Normal 7 3 2 5 8" xfId="34019"/>
    <cellStyle name="Normal 7 3 2 5 9" xfId="42246"/>
    <cellStyle name="Normal 7 3 2 6" xfId="1346"/>
    <cellStyle name="Normal 7 3 2 6 2" xfId="2996"/>
    <cellStyle name="Normal 7 3 2 6 2 2" xfId="11221"/>
    <cellStyle name="Normal 7 3 2 6 2 2 2" xfId="27671"/>
    <cellStyle name="Normal 7 3 2 6 2 3" xfId="19446"/>
    <cellStyle name="Normal 7 3 2 6 2 4" xfId="35900"/>
    <cellStyle name="Normal 7 3 2 6 3" xfId="4641"/>
    <cellStyle name="Normal 7 3 2 6 3 2" xfId="12866"/>
    <cellStyle name="Normal 7 3 2 6 3 2 2" xfId="29316"/>
    <cellStyle name="Normal 7 3 2 6 3 3" xfId="21091"/>
    <cellStyle name="Normal 7 3 2 6 3 4" xfId="37545"/>
    <cellStyle name="Normal 7 3 2 6 4" xfId="6286"/>
    <cellStyle name="Normal 7 3 2 6 4 2" xfId="14511"/>
    <cellStyle name="Normal 7 3 2 6 4 2 2" xfId="30961"/>
    <cellStyle name="Normal 7 3 2 6 4 3" xfId="22736"/>
    <cellStyle name="Normal 7 3 2 6 4 4" xfId="39190"/>
    <cellStyle name="Normal 7 3 2 6 5" xfId="7931"/>
    <cellStyle name="Normal 7 3 2 6 5 2" xfId="16156"/>
    <cellStyle name="Normal 7 3 2 6 5 2 2" xfId="32606"/>
    <cellStyle name="Normal 7 3 2 6 5 3" xfId="24381"/>
    <cellStyle name="Normal 7 3 2 6 5 4" xfId="40835"/>
    <cellStyle name="Normal 7 3 2 6 6" xfId="9576"/>
    <cellStyle name="Normal 7 3 2 6 6 2" xfId="26026"/>
    <cellStyle name="Normal 7 3 2 6 7" xfId="17800"/>
    <cellStyle name="Normal 7 3 2 6 8" xfId="34254"/>
    <cellStyle name="Normal 7 3 2 7" xfId="1581"/>
    <cellStyle name="Normal 7 3 2 7 2" xfId="3231"/>
    <cellStyle name="Normal 7 3 2 7 2 2" xfId="11456"/>
    <cellStyle name="Normal 7 3 2 7 2 2 2" xfId="27906"/>
    <cellStyle name="Normal 7 3 2 7 2 3" xfId="19681"/>
    <cellStyle name="Normal 7 3 2 7 2 4" xfId="36135"/>
    <cellStyle name="Normal 7 3 2 7 3" xfId="4876"/>
    <cellStyle name="Normal 7 3 2 7 3 2" xfId="13101"/>
    <cellStyle name="Normal 7 3 2 7 3 2 2" xfId="29551"/>
    <cellStyle name="Normal 7 3 2 7 3 3" xfId="21326"/>
    <cellStyle name="Normal 7 3 2 7 3 4" xfId="37780"/>
    <cellStyle name="Normal 7 3 2 7 4" xfId="6521"/>
    <cellStyle name="Normal 7 3 2 7 4 2" xfId="14746"/>
    <cellStyle name="Normal 7 3 2 7 4 2 2" xfId="31196"/>
    <cellStyle name="Normal 7 3 2 7 4 3" xfId="22971"/>
    <cellStyle name="Normal 7 3 2 7 4 4" xfId="39425"/>
    <cellStyle name="Normal 7 3 2 7 5" xfId="8166"/>
    <cellStyle name="Normal 7 3 2 7 5 2" xfId="16391"/>
    <cellStyle name="Normal 7 3 2 7 5 2 2" xfId="32841"/>
    <cellStyle name="Normal 7 3 2 7 5 3" xfId="24616"/>
    <cellStyle name="Normal 7 3 2 7 5 4" xfId="41070"/>
    <cellStyle name="Normal 7 3 2 7 6" xfId="9811"/>
    <cellStyle name="Normal 7 3 2 7 6 2" xfId="26261"/>
    <cellStyle name="Normal 7 3 2 7 7" xfId="18035"/>
    <cellStyle name="Normal 7 3 2 7 8" xfId="34489"/>
    <cellStyle name="Normal 7 3 2 8" xfId="1816"/>
    <cellStyle name="Normal 7 3 2 8 2" xfId="10046"/>
    <cellStyle name="Normal 7 3 2 8 2 2" xfId="26496"/>
    <cellStyle name="Normal 7 3 2 8 3" xfId="18270"/>
    <cellStyle name="Normal 7 3 2 8 4" xfId="34724"/>
    <cellStyle name="Normal 7 3 2 9" xfId="3466"/>
    <cellStyle name="Normal 7 3 2 9 2" xfId="11691"/>
    <cellStyle name="Normal 7 3 2 9 2 2" xfId="28141"/>
    <cellStyle name="Normal 7 3 2 9 3" xfId="19916"/>
    <cellStyle name="Normal 7 3 2 9 4" xfId="36370"/>
    <cellStyle name="Normal 7 3 3" xfId="305"/>
    <cellStyle name="Normal 7 3 3 2" xfId="2004"/>
    <cellStyle name="Normal 7 3 3 2 2" xfId="10231"/>
    <cellStyle name="Normal 7 3 3 2 2 2" xfId="26681"/>
    <cellStyle name="Normal 7 3 3 2 3" xfId="18456"/>
    <cellStyle name="Normal 7 3 3 2 4" xfId="34910"/>
    <cellStyle name="Normal 7 3 3 3" xfId="3651"/>
    <cellStyle name="Normal 7 3 3 3 2" xfId="11876"/>
    <cellStyle name="Normal 7 3 3 3 2 2" xfId="28326"/>
    <cellStyle name="Normal 7 3 3 3 3" xfId="20101"/>
    <cellStyle name="Normal 7 3 3 3 4" xfId="36555"/>
    <cellStyle name="Normal 7 3 3 4" xfId="5296"/>
    <cellStyle name="Normal 7 3 3 4 2" xfId="13521"/>
    <cellStyle name="Normal 7 3 3 4 2 2" xfId="29971"/>
    <cellStyle name="Normal 7 3 3 4 3" xfId="21746"/>
    <cellStyle name="Normal 7 3 3 4 4" xfId="38200"/>
    <cellStyle name="Normal 7 3 3 5" xfId="6941"/>
    <cellStyle name="Normal 7 3 3 5 2" xfId="15166"/>
    <cellStyle name="Normal 7 3 3 5 2 2" xfId="31616"/>
    <cellStyle name="Normal 7 3 3 5 3" xfId="23391"/>
    <cellStyle name="Normal 7 3 3 5 4" xfId="39845"/>
    <cellStyle name="Normal 7 3 3 6" xfId="8586"/>
    <cellStyle name="Normal 7 3 3 6 2" xfId="25036"/>
    <cellStyle name="Normal 7 3 3 7" xfId="16810"/>
    <cellStyle name="Normal 7 3 3 8" xfId="33264"/>
    <cellStyle name="Normal 7 3 3 9" xfId="41491"/>
    <cellStyle name="Normal 7 3 4" xfId="546"/>
    <cellStyle name="Normal 7 3 4 2" xfId="2241"/>
    <cellStyle name="Normal 7 3 4 2 2" xfId="10466"/>
    <cellStyle name="Normal 7 3 4 2 2 2" xfId="26916"/>
    <cellStyle name="Normal 7 3 4 2 3" xfId="18691"/>
    <cellStyle name="Normal 7 3 4 2 4" xfId="35145"/>
    <cellStyle name="Normal 7 3 4 3" xfId="3886"/>
    <cellStyle name="Normal 7 3 4 3 2" xfId="12111"/>
    <cellStyle name="Normal 7 3 4 3 2 2" xfId="28561"/>
    <cellStyle name="Normal 7 3 4 3 3" xfId="20336"/>
    <cellStyle name="Normal 7 3 4 3 4" xfId="36790"/>
    <cellStyle name="Normal 7 3 4 4" xfId="5531"/>
    <cellStyle name="Normal 7 3 4 4 2" xfId="13756"/>
    <cellStyle name="Normal 7 3 4 4 2 2" xfId="30206"/>
    <cellStyle name="Normal 7 3 4 4 3" xfId="21981"/>
    <cellStyle name="Normal 7 3 4 4 4" xfId="38435"/>
    <cellStyle name="Normal 7 3 4 5" xfId="7176"/>
    <cellStyle name="Normal 7 3 4 5 2" xfId="15401"/>
    <cellStyle name="Normal 7 3 4 5 2 2" xfId="31851"/>
    <cellStyle name="Normal 7 3 4 5 3" xfId="23626"/>
    <cellStyle name="Normal 7 3 4 5 4" xfId="40080"/>
    <cellStyle name="Normal 7 3 4 6" xfId="8821"/>
    <cellStyle name="Normal 7 3 4 6 2" xfId="25271"/>
    <cellStyle name="Normal 7 3 4 7" xfId="17045"/>
    <cellStyle name="Normal 7 3 4 8" xfId="33499"/>
    <cellStyle name="Normal 7 3 4 9" xfId="41726"/>
    <cellStyle name="Normal 7 3 5" xfId="781"/>
    <cellStyle name="Normal 7 3 5 2" xfId="2476"/>
    <cellStyle name="Normal 7 3 5 2 2" xfId="10701"/>
    <cellStyle name="Normal 7 3 5 2 2 2" xfId="27151"/>
    <cellStyle name="Normal 7 3 5 2 3" xfId="18926"/>
    <cellStyle name="Normal 7 3 5 2 4" xfId="35380"/>
    <cellStyle name="Normal 7 3 5 3" xfId="4121"/>
    <cellStyle name="Normal 7 3 5 3 2" xfId="12346"/>
    <cellStyle name="Normal 7 3 5 3 2 2" xfId="28796"/>
    <cellStyle name="Normal 7 3 5 3 3" xfId="20571"/>
    <cellStyle name="Normal 7 3 5 3 4" xfId="37025"/>
    <cellStyle name="Normal 7 3 5 4" xfId="5766"/>
    <cellStyle name="Normal 7 3 5 4 2" xfId="13991"/>
    <cellStyle name="Normal 7 3 5 4 2 2" xfId="30441"/>
    <cellStyle name="Normal 7 3 5 4 3" xfId="22216"/>
    <cellStyle name="Normal 7 3 5 4 4" xfId="38670"/>
    <cellStyle name="Normal 7 3 5 5" xfId="7411"/>
    <cellStyle name="Normal 7 3 5 5 2" xfId="15636"/>
    <cellStyle name="Normal 7 3 5 5 2 2" xfId="32086"/>
    <cellStyle name="Normal 7 3 5 5 3" xfId="23861"/>
    <cellStyle name="Normal 7 3 5 5 4" xfId="40315"/>
    <cellStyle name="Normal 7 3 5 6" xfId="9056"/>
    <cellStyle name="Normal 7 3 5 6 2" xfId="25506"/>
    <cellStyle name="Normal 7 3 5 7" xfId="17280"/>
    <cellStyle name="Normal 7 3 5 8" xfId="33734"/>
    <cellStyle name="Normal 7 3 5 9" xfId="41961"/>
    <cellStyle name="Normal 7 3 6" xfId="1016"/>
    <cellStyle name="Normal 7 3 6 2" xfId="2711"/>
    <cellStyle name="Normal 7 3 6 2 2" xfId="10936"/>
    <cellStyle name="Normal 7 3 6 2 2 2" xfId="27386"/>
    <cellStyle name="Normal 7 3 6 2 3" xfId="19161"/>
    <cellStyle name="Normal 7 3 6 2 4" xfId="35615"/>
    <cellStyle name="Normal 7 3 6 3" xfId="4356"/>
    <cellStyle name="Normal 7 3 6 3 2" xfId="12581"/>
    <cellStyle name="Normal 7 3 6 3 2 2" xfId="29031"/>
    <cellStyle name="Normal 7 3 6 3 3" xfId="20806"/>
    <cellStyle name="Normal 7 3 6 3 4" xfId="37260"/>
    <cellStyle name="Normal 7 3 6 4" xfId="6001"/>
    <cellStyle name="Normal 7 3 6 4 2" xfId="14226"/>
    <cellStyle name="Normal 7 3 6 4 2 2" xfId="30676"/>
    <cellStyle name="Normal 7 3 6 4 3" xfId="22451"/>
    <cellStyle name="Normal 7 3 6 4 4" xfId="38905"/>
    <cellStyle name="Normal 7 3 6 5" xfId="7646"/>
    <cellStyle name="Normal 7 3 6 5 2" xfId="15871"/>
    <cellStyle name="Normal 7 3 6 5 2 2" xfId="32321"/>
    <cellStyle name="Normal 7 3 6 5 3" xfId="24096"/>
    <cellStyle name="Normal 7 3 6 5 4" xfId="40550"/>
    <cellStyle name="Normal 7 3 6 6" xfId="9291"/>
    <cellStyle name="Normal 7 3 6 6 2" xfId="25741"/>
    <cellStyle name="Normal 7 3 6 7" xfId="17515"/>
    <cellStyle name="Normal 7 3 6 8" xfId="33969"/>
    <cellStyle name="Normal 7 3 6 9" xfId="42196"/>
    <cellStyle name="Normal 7 3 7" xfId="1296"/>
    <cellStyle name="Normal 7 3 7 2" xfId="2946"/>
    <cellStyle name="Normal 7 3 7 2 2" xfId="11171"/>
    <cellStyle name="Normal 7 3 7 2 2 2" xfId="27621"/>
    <cellStyle name="Normal 7 3 7 2 3" xfId="19396"/>
    <cellStyle name="Normal 7 3 7 2 4" xfId="35850"/>
    <cellStyle name="Normal 7 3 7 3" xfId="4591"/>
    <cellStyle name="Normal 7 3 7 3 2" xfId="12816"/>
    <cellStyle name="Normal 7 3 7 3 2 2" xfId="29266"/>
    <cellStyle name="Normal 7 3 7 3 3" xfId="21041"/>
    <cellStyle name="Normal 7 3 7 3 4" xfId="37495"/>
    <cellStyle name="Normal 7 3 7 4" xfId="6236"/>
    <cellStyle name="Normal 7 3 7 4 2" xfId="14461"/>
    <cellStyle name="Normal 7 3 7 4 2 2" xfId="30911"/>
    <cellStyle name="Normal 7 3 7 4 3" xfId="22686"/>
    <cellStyle name="Normal 7 3 7 4 4" xfId="39140"/>
    <cellStyle name="Normal 7 3 7 5" xfId="7881"/>
    <cellStyle name="Normal 7 3 7 5 2" xfId="16106"/>
    <cellStyle name="Normal 7 3 7 5 2 2" xfId="32556"/>
    <cellStyle name="Normal 7 3 7 5 3" xfId="24331"/>
    <cellStyle name="Normal 7 3 7 5 4" xfId="40785"/>
    <cellStyle name="Normal 7 3 7 6" xfId="9526"/>
    <cellStyle name="Normal 7 3 7 6 2" xfId="25976"/>
    <cellStyle name="Normal 7 3 7 7" xfId="17750"/>
    <cellStyle name="Normal 7 3 7 8" xfId="34204"/>
    <cellStyle name="Normal 7 3 8" xfId="1531"/>
    <cellStyle name="Normal 7 3 8 2" xfId="3181"/>
    <cellStyle name="Normal 7 3 8 2 2" xfId="11406"/>
    <cellStyle name="Normal 7 3 8 2 2 2" xfId="27856"/>
    <cellStyle name="Normal 7 3 8 2 3" xfId="19631"/>
    <cellStyle name="Normal 7 3 8 2 4" xfId="36085"/>
    <cellStyle name="Normal 7 3 8 3" xfId="4826"/>
    <cellStyle name="Normal 7 3 8 3 2" xfId="13051"/>
    <cellStyle name="Normal 7 3 8 3 2 2" xfId="29501"/>
    <cellStyle name="Normal 7 3 8 3 3" xfId="21276"/>
    <cellStyle name="Normal 7 3 8 3 4" xfId="37730"/>
    <cellStyle name="Normal 7 3 8 4" xfId="6471"/>
    <cellStyle name="Normal 7 3 8 4 2" xfId="14696"/>
    <cellStyle name="Normal 7 3 8 4 2 2" xfId="31146"/>
    <cellStyle name="Normal 7 3 8 4 3" xfId="22921"/>
    <cellStyle name="Normal 7 3 8 4 4" xfId="39375"/>
    <cellStyle name="Normal 7 3 8 5" xfId="8116"/>
    <cellStyle name="Normal 7 3 8 5 2" xfId="16341"/>
    <cellStyle name="Normal 7 3 8 5 2 2" xfId="32791"/>
    <cellStyle name="Normal 7 3 8 5 3" xfId="24566"/>
    <cellStyle name="Normal 7 3 8 5 4" xfId="41020"/>
    <cellStyle name="Normal 7 3 8 6" xfId="9761"/>
    <cellStyle name="Normal 7 3 8 6 2" xfId="26211"/>
    <cellStyle name="Normal 7 3 8 7" xfId="17985"/>
    <cellStyle name="Normal 7 3 8 8" xfId="34439"/>
    <cellStyle name="Normal 7 3 9" xfId="1766"/>
    <cellStyle name="Normal 7 3 9 2" xfId="9996"/>
    <cellStyle name="Normal 7 3 9 2 2" xfId="26446"/>
    <cellStyle name="Normal 7 3 9 3" xfId="18220"/>
    <cellStyle name="Normal 7 3 9 4" xfId="34674"/>
    <cellStyle name="Normal 7 4" xfId="87"/>
    <cellStyle name="Normal 7 4 10" xfId="5086"/>
    <cellStyle name="Normal 7 4 10 2" xfId="13311"/>
    <cellStyle name="Normal 7 4 10 2 2" xfId="29761"/>
    <cellStyle name="Normal 7 4 10 3" xfId="21536"/>
    <cellStyle name="Normal 7 4 10 4" xfId="37990"/>
    <cellStyle name="Normal 7 4 11" xfId="6731"/>
    <cellStyle name="Normal 7 4 11 2" xfId="14956"/>
    <cellStyle name="Normal 7 4 11 2 2" xfId="31406"/>
    <cellStyle name="Normal 7 4 11 3" xfId="23181"/>
    <cellStyle name="Normal 7 4 11 4" xfId="39635"/>
    <cellStyle name="Normal 7 4 12" xfId="8376"/>
    <cellStyle name="Normal 7 4 12 2" xfId="24826"/>
    <cellStyle name="Normal 7 4 13" xfId="16600"/>
    <cellStyle name="Normal 7 4 14" xfId="33053"/>
    <cellStyle name="Normal 7 4 15" xfId="41281"/>
    <cellStyle name="Normal 7 4 2" xfId="330"/>
    <cellStyle name="Normal 7 4 2 2" xfId="2029"/>
    <cellStyle name="Normal 7 4 2 2 2" xfId="10256"/>
    <cellStyle name="Normal 7 4 2 2 2 2" xfId="26706"/>
    <cellStyle name="Normal 7 4 2 2 3" xfId="18481"/>
    <cellStyle name="Normal 7 4 2 2 4" xfId="34935"/>
    <cellStyle name="Normal 7 4 2 3" xfId="3676"/>
    <cellStyle name="Normal 7 4 2 3 2" xfId="11901"/>
    <cellStyle name="Normal 7 4 2 3 2 2" xfId="28351"/>
    <cellStyle name="Normal 7 4 2 3 3" xfId="20126"/>
    <cellStyle name="Normal 7 4 2 3 4" xfId="36580"/>
    <cellStyle name="Normal 7 4 2 4" xfId="5321"/>
    <cellStyle name="Normal 7 4 2 4 2" xfId="13546"/>
    <cellStyle name="Normal 7 4 2 4 2 2" xfId="29996"/>
    <cellStyle name="Normal 7 4 2 4 3" xfId="21771"/>
    <cellStyle name="Normal 7 4 2 4 4" xfId="38225"/>
    <cellStyle name="Normal 7 4 2 5" xfId="6966"/>
    <cellStyle name="Normal 7 4 2 5 2" xfId="15191"/>
    <cellStyle name="Normal 7 4 2 5 2 2" xfId="31641"/>
    <cellStyle name="Normal 7 4 2 5 3" xfId="23416"/>
    <cellStyle name="Normal 7 4 2 5 4" xfId="39870"/>
    <cellStyle name="Normal 7 4 2 6" xfId="8611"/>
    <cellStyle name="Normal 7 4 2 6 2" xfId="25061"/>
    <cellStyle name="Normal 7 4 2 7" xfId="16835"/>
    <cellStyle name="Normal 7 4 2 8" xfId="33289"/>
    <cellStyle name="Normal 7 4 2 9" xfId="41516"/>
    <cellStyle name="Normal 7 4 3" xfId="571"/>
    <cellStyle name="Normal 7 4 3 2" xfId="2266"/>
    <cellStyle name="Normal 7 4 3 2 2" xfId="10491"/>
    <cellStyle name="Normal 7 4 3 2 2 2" xfId="26941"/>
    <cellStyle name="Normal 7 4 3 2 3" xfId="18716"/>
    <cellStyle name="Normal 7 4 3 2 4" xfId="35170"/>
    <cellStyle name="Normal 7 4 3 3" xfId="3911"/>
    <cellStyle name="Normal 7 4 3 3 2" xfId="12136"/>
    <cellStyle name="Normal 7 4 3 3 2 2" xfId="28586"/>
    <cellStyle name="Normal 7 4 3 3 3" xfId="20361"/>
    <cellStyle name="Normal 7 4 3 3 4" xfId="36815"/>
    <cellStyle name="Normal 7 4 3 4" xfId="5556"/>
    <cellStyle name="Normal 7 4 3 4 2" xfId="13781"/>
    <cellStyle name="Normal 7 4 3 4 2 2" xfId="30231"/>
    <cellStyle name="Normal 7 4 3 4 3" xfId="22006"/>
    <cellStyle name="Normal 7 4 3 4 4" xfId="38460"/>
    <cellStyle name="Normal 7 4 3 5" xfId="7201"/>
    <cellStyle name="Normal 7 4 3 5 2" xfId="15426"/>
    <cellStyle name="Normal 7 4 3 5 2 2" xfId="31876"/>
    <cellStyle name="Normal 7 4 3 5 3" xfId="23651"/>
    <cellStyle name="Normal 7 4 3 5 4" xfId="40105"/>
    <cellStyle name="Normal 7 4 3 6" xfId="8846"/>
    <cellStyle name="Normal 7 4 3 6 2" xfId="25296"/>
    <cellStyle name="Normal 7 4 3 7" xfId="17070"/>
    <cellStyle name="Normal 7 4 3 8" xfId="33524"/>
    <cellStyle name="Normal 7 4 3 9" xfId="41751"/>
    <cellStyle name="Normal 7 4 4" xfId="806"/>
    <cellStyle name="Normal 7 4 4 2" xfId="2501"/>
    <cellStyle name="Normal 7 4 4 2 2" xfId="10726"/>
    <cellStyle name="Normal 7 4 4 2 2 2" xfId="27176"/>
    <cellStyle name="Normal 7 4 4 2 3" xfId="18951"/>
    <cellStyle name="Normal 7 4 4 2 4" xfId="35405"/>
    <cellStyle name="Normal 7 4 4 3" xfId="4146"/>
    <cellStyle name="Normal 7 4 4 3 2" xfId="12371"/>
    <cellStyle name="Normal 7 4 4 3 2 2" xfId="28821"/>
    <cellStyle name="Normal 7 4 4 3 3" xfId="20596"/>
    <cellStyle name="Normal 7 4 4 3 4" xfId="37050"/>
    <cellStyle name="Normal 7 4 4 4" xfId="5791"/>
    <cellStyle name="Normal 7 4 4 4 2" xfId="14016"/>
    <cellStyle name="Normal 7 4 4 4 2 2" xfId="30466"/>
    <cellStyle name="Normal 7 4 4 4 3" xfId="22241"/>
    <cellStyle name="Normal 7 4 4 4 4" xfId="38695"/>
    <cellStyle name="Normal 7 4 4 5" xfId="7436"/>
    <cellStyle name="Normal 7 4 4 5 2" xfId="15661"/>
    <cellStyle name="Normal 7 4 4 5 2 2" xfId="32111"/>
    <cellStyle name="Normal 7 4 4 5 3" xfId="23886"/>
    <cellStyle name="Normal 7 4 4 5 4" xfId="40340"/>
    <cellStyle name="Normal 7 4 4 6" xfId="9081"/>
    <cellStyle name="Normal 7 4 4 6 2" xfId="25531"/>
    <cellStyle name="Normal 7 4 4 7" xfId="17305"/>
    <cellStyle name="Normal 7 4 4 8" xfId="33759"/>
    <cellStyle name="Normal 7 4 4 9" xfId="41986"/>
    <cellStyle name="Normal 7 4 5" xfId="1041"/>
    <cellStyle name="Normal 7 4 5 2" xfId="2736"/>
    <cellStyle name="Normal 7 4 5 2 2" xfId="10961"/>
    <cellStyle name="Normal 7 4 5 2 2 2" xfId="27411"/>
    <cellStyle name="Normal 7 4 5 2 3" xfId="19186"/>
    <cellStyle name="Normal 7 4 5 2 4" xfId="35640"/>
    <cellStyle name="Normal 7 4 5 3" xfId="4381"/>
    <cellStyle name="Normal 7 4 5 3 2" xfId="12606"/>
    <cellStyle name="Normal 7 4 5 3 2 2" xfId="29056"/>
    <cellStyle name="Normal 7 4 5 3 3" xfId="20831"/>
    <cellStyle name="Normal 7 4 5 3 4" xfId="37285"/>
    <cellStyle name="Normal 7 4 5 4" xfId="6026"/>
    <cellStyle name="Normal 7 4 5 4 2" xfId="14251"/>
    <cellStyle name="Normal 7 4 5 4 2 2" xfId="30701"/>
    <cellStyle name="Normal 7 4 5 4 3" xfId="22476"/>
    <cellStyle name="Normal 7 4 5 4 4" xfId="38930"/>
    <cellStyle name="Normal 7 4 5 5" xfId="7671"/>
    <cellStyle name="Normal 7 4 5 5 2" xfId="15896"/>
    <cellStyle name="Normal 7 4 5 5 2 2" xfId="32346"/>
    <cellStyle name="Normal 7 4 5 5 3" xfId="24121"/>
    <cellStyle name="Normal 7 4 5 5 4" xfId="40575"/>
    <cellStyle name="Normal 7 4 5 6" xfId="9316"/>
    <cellStyle name="Normal 7 4 5 6 2" xfId="25766"/>
    <cellStyle name="Normal 7 4 5 7" xfId="17540"/>
    <cellStyle name="Normal 7 4 5 8" xfId="33994"/>
    <cellStyle name="Normal 7 4 5 9" xfId="42221"/>
    <cellStyle name="Normal 7 4 6" xfId="1321"/>
    <cellStyle name="Normal 7 4 6 2" xfId="2971"/>
    <cellStyle name="Normal 7 4 6 2 2" xfId="11196"/>
    <cellStyle name="Normal 7 4 6 2 2 2" xfId="27646"/>
    <cellStyle name="Normal 7 4 6 2 3" xfId="19421"/>
    <cellStyle name="Normal 7 4 6 2 4" xfId="35875"/>
    <cellStyle name="Normal 7 4 6 3" xfId="4616"/>
    <cellStyle name="Normal 7 4 6 3 2" xfId="12841"/>
    <cellStyle name="Normal 7 4 6 3 2 2" xfId="29291"/>
    <cellStyle name="Normal 7 4 6 3 3" xfId="21066"/>
    <cellStyle name="Normal 7 4 6 3 4" xfId="37520"/>
    <cellStyle name="Normal 7 4 6 4" xfId="6261"/>
    <cellStyle name="Normal 7 4 6 4 2" xfId="14486"/>
    <cellStyle name="Normal 7 4 6 4 2 2" xfId="30936"/>
    <cellStyle name="Normal 7 4 6 4 3" xfId="22711"/>
    <cellStyle name="Normal 7 4 6 4 4" xfId="39165"/>
    <cellStyle name="Normal 7 4 6 5" xfId="7906"/>
    <cellStyle name="Normal 7 4 6 5 2" xfId="16131"/>
    <cellStyle name="Normal 7 4 6 5 2 2" xfId="32581"/>
    <cellStyle name="Normal 7 4 6 5 3" xfId="24356"/>
    <cellStyle name="Normal 7 4 6 5 4" xfId="40810"/>
    <cellStyle name="Normal 7 4 6 6" xfId="9551"/>
    <cellStyle name="Normal 7 4 6 6 2" xfId="26001"/>
    <cellStyle name="Normal 7 4 6 7" xfId="17775"/>
    <cellStyle name="Normal 7 4 6 8" xfId="34229"/>
    <cellStyle name="Normal 7 4 7" xfId="1556"/>
    <cellStyle name="Normal 7 4 7 2" xfId="3206"/>
    <cellStyle name="Normal 7 4 7 2 2" xfId="11431"/>
    <cellStyle name="Normal 7 4 7 2 2 2" xfId="27881"/>
    <cellStyle name="Normal 7 4 7 2 3" xfId="19656"/>
    <cellStyle name="Normal 7 4 7 2 4" xfId="36110"/>
    <cellStyle name="Normal 7 4 7 3" xfId="4851"/>
    <cellStyle name="Normal 7 4 7 3 2" xfId="13076"/>
    <cellStyle name="Normal 7 4 7 3 2 2" xfId="29526"/>
    <cellStyle name="Normal 7 4 7 3 3" xfId="21301"/>
    <cellStyle name="Normal 7 4 7 3 4" xfId="37755"/>
    <cellStyle name="Normal 7 4 7 4" xfId="6496"/>
    <cellStyle name="Normal 7 4 7 4 2" xfId="14721"/>
    <cellStyle name="Normal 7 4 7 4 2 2" xfId="31171"/>
    <cellStyle name="Normal 7 4 7 4 3" xfId="22946"/>
    <cellStyle name="Normal 7 4 7 4 4" xfId="39400"/>
    <cellStyle name="Normal 7 4 7 5" xfId="8141"/>
    <cellStyle name="Normal 7 4 7 5 2" xfId="16366"/>
    <cellStyle name="Normal 7 4 7 5 2 2" xfId="32816"/>
    <cellStyle name="Normal 7 4 7 5 3" xfId="24591"/>
    <cellStyle name="Normal 7 4 7 5 4" xfId="41045"/>
    <cellStyle name="Normal 7 4 7 6" xfId="9786"/>
    <cellStyle name="Normal 7 4 7 6 2" xfId="26236"/>
    <cellStyle name="Normal 7 4 7 7" xfId="18010"/>
    <cellStyle name="Normal 7 4 7 8" xfId="34464"/>
    <cellStyle name="Normal 7 4 8" xfId="1791"/>
    <cellStyle name="Normal 7 4 8 2" xfId="10021"/>
    <cellStyle name="Normal 7 4 8 2 2" xfId="26471"/>
    <cellStyle name="Normal 7 4 8 3" xfId="18245"/>
    <cellStyle name="Normal 7 4 8 4" xfId="34699"/>
    <cellStyle name="Normal 7 4 9" xfId="3441"/>
    <cellStyle name="Normal 7 4 9 2" xfId="11666"/>
    <cellStyle name="Normal 7 4 9 2 2" xfId="28116"/>
    <cellStyle name="Normal 7 4 9 3" xfId="19891"/>
    <cellStyle name="Normal 7 4 9 4" xfId="36345"/>
    <cellStyle name="Normal 7 5" xfId="137"/>
    <cellStyle name="Normal 7 5 10" xfId="5136"/>
    <cellStyle name="Normal 7 5 10 2" xfId="13361"/>
    <cellStyle name="Normal 7 5 10 2 2" xfId="29811"/>
    <cellStyle name="Normal 7 5 10 3" xfId="21586"/>
    <cellStyle name="Normal 7 5 10 4" xfId="38040"/>
    <cellStyle name="Normal 7 5 11" xfId="6781"/>
    <cellStyle name="Normal 7 5 11 2" xfId="15006"/>
    <cellStyle name="Normal 7 5 11 2 2" xfId="31456"/>
    <cellStyle name="Normal 7 5 11 3" xfId="23231"/>
    <cellStyle name="Normal 7 5 11 4" xfId="39685"/>
    <cellStyle name="Normal 7 5 12" xfId="8426"/>
    <cellStyle name="Normal 7 5 12 2" xfId="24876"/>
    <cellStyle name="Normal 7 5 13" xfId="16650"/>
    <cellStyle name="Normal 7 5 14" xfId="33103"/>
    <cellStyle name="Normal 7 5 15" xfId="41331"/>
    <cellStyle name="Normal 7 5 2" xfId="380"/>
    <cellStyle name="Normal 7 5 2 2" xfId="2079"/>
    <cellStyle name="Normal 7 5 2 2 2" xfId="10306"/>
    <cellStyle name="Normal 7 5 2 2 2 2" xfId="26756"/>
    <cellStyle name="Normal 7 5 2 2 3" xfId="18531"/>
    <cellStyle name="Normal 7 5 2 2 4" xfId="34985"/>
    <cellStyle name="Normal 7 5 2 3" xfId="3726"/>
    <cellStyle name="Normal 7 5 2 3 2" xfId="11951"/>
    <cellStyle name="Normal 7 5 2 3 2 2" xfId="28401"/>
    <cellStyle name="Normal 7 5 2 3 3" xfId="20176"/>
    <cellStyle name="Normal 7 5 2 3 4" xfId="36630"/>
    <cellStyle name="Normal 7 5 2 4" xfId="5371"/>
    <cellStyle name="Normal 7 5 2 4 2" xfId="13596"/>
    <cellStyle name="Normal 7 5 2 4 2 2" xfId="30046"/>
    <cellStyle name="Normal 7 5 2 4 3" xfId="21821"/>
    <cellStyle name="Normal 7 5 2 4 4" xfId="38275"/>
    <cellStyle name="Normal 7 5 2 5" xfId="7016"/>
    <cellStyle name="Normal 7 5 2 5 2" xfId="15241"/>
    <cellStyle name="Normal 7 5 2 5 2 2" xfId="31691"/>
    <cellStyle name="Normal 7 5 2 5 3" xfId="23466"/>
    <cellStyle name="Normal 7 5 2 5 4" xfId="39920"/>
    <cellStyle name="Normal 7 5 2 6" xfId="8661"/>
    <cellStyle name="Normal 7 5 2 6 2" xfId="25111"/>
    <cellStyle name="Normal 7 5 2 7" xfId="16885"/>
    <cellStyle name="Normal 7 5 2 8" xfId="33339"/>
    <cellStyle name="Normal 7 5 2 9" xfId="41566"/>
    <cellStyle name="Normal 7 5 3" xfId="621"/>
    <cellStyle name="Normal 7 5 3 2" xfId="2316"/>
    <cellStyle name="Normal 7 5 3 2 2" xfId="10541"/>
    <cellStyle name="Normal 7 5 3 2 2 2" xfId="26991"/>
    <cellStyle name="Normal 7 5 3 2 3" xfId="18766"/>
    <cellStyle name="Normal 7 5 3 2 4" xfId="35220"/>
    <cellStyle name="Normal 7 5 3 3" xfId="3961"/>
    <cellStyle name="Normal 7 5 3 3 2" xfId="12186"/>
    <cellStyle name="Normal 7 5 3 3 2 2" xfId="28636"/>
    <cellStyle name="Normal 7 5 3 3 3" xfId="20411"/>
    <cellStyle name="Normal 7 5 3 3 4" xfId="36865"/>
    <cellStyle name="Normal 7 5 3 4" xfId="5606"/>
    <cellStyle name="Normal 7 5 3 4 2" xfId="13831"/>
    <cellStyle name="Normal 7 5 3 4 2 2" xfId="30281"/>
    <cellStyle name="Normal 7 5 3 4 3" xfId="22056"/>
    <cellStyle name="Normal 7 5 3 4 4" xfId="38510"/>
    <cellStyle name="Normal 7 5 3 5" xfId="7251"/>
    <cellStyle name="Normal 7 5 3 5 2" xfId="15476"/>
    <cellStyle name="Normal 7 5 3 5 2 2" xfId="31926"/>
    <cellStyle name="Normal 7 5 3 5 3" xfId="23701"/>
    <cellStyle name="Normal 7 5 3 5 4" xfId="40155"/>
    <cellStyle name="Normal 7 5 3 6" xfId="8896"/>
    <cellStyle name="Normal 7 5 3 6 2" xfId="25346"/>
    <cellStyle name="Normal 7 5 3 7" xfId="17120"/>
    <cellStyle name="Normal 7 5 3 8" xfId="33574"/>
    <cellStyle name="Normal 7 5 3 9" xfId="41801"/>
    <cellStyle name="Normal 7 5 4" xfId="856"/>
    <cellStyle name="Normal 7 5 4 2" xfId="2551"/>
    <cellStyle name="Normal 7 5 4 2 2" xfId="10776"/>
    <cellStyle name="Normal 7 5 4 2 2 2" xfId="27226"/>
    <cellStyle name="Normal 7 5 4 2 3" xfId="19001"/>
    <cellStyle name="Normal 7 5 4 2 4" xfId="35455"/>
    <cellStyle name="Normal 7 5 4 3" xfId="4196"/>
    <cellStyle name="Normal 7 5 4 3 2" xfId="12421"/>
    <cellStyle name="Normal 7 5 4 3 2 2" xfId="28871"/>
    <cellStyle name="Normal 7 5 4 3 3" xfId="20646"/>
    <cellStyle name="Normal 7 5 4 3 4" xfId="37100"/>
    <cellStyle name="Normal 7 5 4 4" xfId="5841"/>
    <cellStyle name="Normal 7 5 4 4 2" xfId="14066"/>
    <cellStyle name="Normal 7 5 4 4 2 2" xfId="30516"/>
    <cellStyle name="Normal 7 5 4 4 3" xfId="22291"/>
    <cellStyle name="Normal 7 5 4 4 4" xfId="38745"/>
    <cellStyle name="Normal 7 5 4 5" xfId="7486"/>
    <cellStyle name="Normal 7 5 4 5 2" xfId="15711"/>
    <cellStyle name="Normal 7 5 4 5 2 2" xfId="32161"/>
    <cellStyle name="Normal 7 5 4 5 3" xfId="23936"/>
    <cellStyle name="Normal 7 5 4 5 4" xfId="40390"/>
    <cellStyle name="Normal 7 5 4 6" xfId="9131"/>
    <cellStyle name="Normal 7 5 4 6 2" xfId="25581"/>
    <cellStyle name="Normal 7 5 4 7" xfId="17355"/>
    <cellStyle name="Normal 7 5 4 8" xfId="33809"/>
    <cellStyle name="Normal 7 5 4 9" xfId="42036"/>
    <cellStyle name="Normal 7 5 5" xfId="1091"/>
    <cellStyle name="Normal 7 5 5 2" xfId="2786"/>
    <cellStyle name="Normal 7 5 5 2 2" xfId="11011"/>
    <cellStyle name="Normal 7 5 5 2 2 2" xfId="27461"/>
    <cellStyle name="Normal 7 5 5 2 3" xfId="19236"/>
    <cellStyle name="Normal 7 5 5 2 4" xfId="35690"/>
    <cellStyle name="Normal 7 5 5 3" xfId="4431"/>
    <cellStyle name="Normal 7 5 5 3 2" xfId="12656"/>
    <cellStyle name="Normal 7 5 5 3 2 2" xfId="29106"/>
    <cellStyle name="Normal 7 5 5 3 3" xfId="20881"/>
    <cellStyle name="Normal 7 5 5 3 4" xfId="37335"/>
    <cellStyle name="Normal 7 5 5 4" xfId="6076"/>
    <cellStyle name="Normal 7 5 5 4 2" xfId="14301"/>
    <cellStyle name="Normal 7 5 5 4 2 2" xfId="30751"/>
    <cellStyle name="Normal 7 5 5 4 3" xfId="22526"/>
    <cellStyle name="Normal 7 5 5 4 4" xfId="38980"/>
    <cellStyle name="Normal 7 5 5 5" xfId="7721"/>
    <cellStyle name="Normal 7 5 5 5 2" xfId="15946"/>
    <cellStyle name="Normal 7 5 5 5 2 2" xfId="32396"/>
    <cellStyle name="Normal 7 5 5 5 3" xfId="24171"/>
    <cellStyle name="Normal 7 5 5 5 4" xfId="40625"/>
    <cellStyle name="Normal 7 5 5 6" xfId="9366"/>
    <cellStyle name="Normal 7 5 5 6 2" xfId="25816"/>
    <cellStyle name="Normal 7 5 5 7" xfId="17590"/>
    <cellStyle name="Normal 7 5 5 8" xfId="34044"/>
    <cellStyle name="Normal 7 5 5 9" xfId="42271"/>
    <cellStyle name="Normal 7 5 6" xfId="1371"/>
    <cellStyle name="Normal 7 5 6 2" xfId="3021"/>
    <cellStyle name="Normal 7 5 6 2 2" xfId="11246"/>
    <cellStyle name="Normal 7 5 6 2 2 2" xfId="27696"/>
    <cellStyle name="Normal 7 5 6 2 3" xfId="19471"/>
    <cellStyle name="Normal 7 5 6 2 4" xfId="35925"/>
    <cellStyle name="Normal 7 5 6 3" xfId="4666"/>
    <cellStyle name="Normal 7 5 6 3 2" xfId="12891"/>
    <cellStyle name="Normal 7 5 6 3 2 2" xfId="29341"/>
    <cellStyle name="Normal 7 5 6 3 3" xfId="21116"/>
    <cellStyle name="Normal 7 5 6 3 4" xfId="37570"/>
    <cellStyle name="Normal 7 5 6 4" xfId="6311"/>
    <cellStyle name="Normal 7 5 6 4 2" xfId="14536"/>
    <cellStyle name="Normal 7 5 6 4 2 2" xfId="30986"/>
    <cellStyle name="Normal 7 5 6 4 3" xfId="22761"/>
    <cellStyle name="Normal 7 5 6 4 4" xfId="39215"/>
    <cellStyle name="Normal 7 5 6 5" xfId="7956"/>
    <cellStyle name="Normal 7 5 6 5 2" xfId="16181"/>
    <cellStyle name="Normal 7 5 6 5 2 2" xfId="32631"/>
    <cellStyle name="Normal 7 5 6 5 3" xfId="24406"/>
    <cellStyle name="Normal 7 5 6 5 4" xfId="40860"/>
    <cellStyle name="Normal 7 5 6 6" xfId="9601"/>
    <cellStyle name="Normal 7 5 6 6 2" xfId="26051"/>
    <cellStyle name="Normal 7 5 6 7" xfId="17825"/>
    <cellStyle name="Normal 7 5 6 8" xfId="34279"/>
    <cellStyle name="Normal 7 5 7" xfId="1606"/>
    <cellStyle name="Normal 7 5 7 2" xfId="3256"/>
    <cellStyle name="Normal 7 5 7 2 2" xfId="11481"/>
    <cellStyle name="Normal 7 5 7 2 2 2" xfId="27931"/>
    <cellStyle name="Normal 7 5 7 2 3" xfId="19706"/>
    <cellStyle name="Normal 7 5 7 2 4" xfId="36160"/>
    <cellStyle name="Normal 7 5 7 3" xfId="4901"/>
    <cellStyle name="Normal 7 5 7 3 2" xfId="13126"/>
    <cellStyle name="Normal 7 5 7 3 2 2" xfId="29576"/>
    <cellStyle name="Normal 7 5 7 3 3" xfId="21351"/>
    <cellStyle name="Normal 7 5 7 3 4" xfId="37805"/>
    <cellStyle name="Normal 7 5 7 4" xfId="6546"/>
    <cellStyle name="Normal 7 5 7 4 2" xfId="14771"/>
    <cellStyle name="Normal 7 5 7 4 2 2" xfId="31221"/>
    <cellStyle name="Normal 7 5 7 4 3" xfId="22996"/>
    <cellStyle name="Normal 7 5 7 4 4" xfId="39450"/>
    <cellStyle name="Normal 7 5 7 5" xfId="8191"/>
    <cellStyle name="Normal 7 5 7 5 2" xfId="16416"/>
    <cellStyle name="Normal 7 5 7 5 2 2" xfId="32866"/>
    <cellStyle name="Normal 7 5 7 5 3" xfId="24641"/>
    <cellStyle name="Normal 7 5 7 5 4" xfId="41095"/>
    <cellStyle name="Normal 7 5 7 6" xfId="9836"/>
    <cellStyle name="Normal 7 5 7 6 2" xfId="26286"/>
    <cellStyle name="Normal 7 5 7 7" xfId="18060"/>
    <cellStyle name="Normal 7 5 7 8" xfId="34514"/>
    <cellStyle name="Normal 7 5 8" xfId="1841"/>
    <cellStyle name="Normal 7 5 8 2" xfId="10071"/>
    <cellStyle name="Normal 7 5 8 2 2" xfId="26521"/>
    <cellStyle name="Normal 7 5 8 3" xfId="18295"/>
    <cellStyle name="Normal 7 5 8 4" xfId="34749"/>
    <cellStyle name="Normal 7 5 9" xfId="3491"/>
    <cellStyle name="Normal 7 5 9 2" xfId="11716"/>
    <cellStyle name="Normal 7 5 9 2 2" xfId="28166"/>
    <cellStyle name="Normal 7 5 9 3" xfId="19941"/>
    <cellStyle name="Normal 7 5 9 4" xfId="36395"/>
    <cellStyle name="Normal 7 6" xfId="164"/>
    <cellStyle name="Normal 7 6 10" xfId="5163"/>
    <cellStyle name="Normal 7 6 10 2" xfId="13388"/>
    <cellStyle name="Normal 7 6 10 2 2" xfId="29838"/>
    <cellStyle name="Normal 7 6 10 3" xfId="21613"/>
    <cellStyle name="Normal 7 6 10 4" xfId="38067"/>
    <cellStyle name="Normal 7 6 11" xfId="6808"/>
    <cellStyle name="Normal 7 6 11 2" xfId="15033"/>
    <cellStyle name="Normal 7 6 11 2 2" xfId="31483"/>
    <cellStyle name="Normal 7 6 11 3" xfId="23258"/>
    <cellStyle name="Normal 7 6 11 4" xfId="39712"/>
    <cellStyle name="Normal 7 6 12" xfId="8453"/>
    <cellStyle name="Normal 7 6 12 2" xfId="24903"/>
    <cellStyle name="Normal 7 6 13" xfId="16677"/>
    <cellStyle name="Normal 7 6 14" xfId="33130"/>
    <cellStyle name="Normal 7 6 15" xfId="41358"/>
    <cellStyle name="Normal 7 6 2" xfId="407"/>
    <cellStyle name="Normal 7 6 2 2" xfId="2106"/>
    <cellStyle name="Normal 7 6 2 2 2" xfId="10333"/>
    <cellStyle name="Normal 7 6 2 2 2 2" xfId="26783"/>
    <cellStyle name="Normal 7 6 2 2 3" xfId="18558"/>
    <cellStyle name="Normal 7 6 2 2 4" xfId="35012"/>
    <cellStyle name="Normal 7 6 2 3" xfId="3753"/>
    <cellStyle name="Normal 7 6 2 3 2" xfId="11978"/>
    <cellStyle name="Normal 7 6 2 3 2 2" xfId="28428"/>
    <cellStyle name="Normal 7 6 2 3 3" xfId="20203"/>
    <cellStyle name="Normal 7 6 2 3 4" xfId="36657"/>
    <cellStyle name="Normal 7 6 2 4" xfId="5398"/>
    <cellStyle name="Normal 7 6 2 4 2" xfId="13623"/>
    <cellStyle name="Normal 7 6 2 4 2 2" xfId="30073"/>
    <cellStyle name="Normal 7 6 2 4 3" xfId="21848"/>
    <cellStyle name="Normal 7 6 2 4 4" xfId="38302"/>
    <cellStyle name="Normal 7 6 2 5" xfId="7043"/>
    <cellStyle name="Normal 7 6 2 5 2" xfId="15268"/>
    <cellStyle name="Normal 7 6 2 5 2 2" xfId="31718"/>
    <cellStyle name="Normal 7 6 2 5 3" xfId="23493"/>
    <cellStyle name="Normal 7 6 2 5 4" xfId="39947"/>
    <cellStyle name="Normal 7 6 2 6" xfId="8688"/>
    <cellStyle name="Normal 7 6 2 6 2" xfId="25138"/>
    <cellStyle name="Normal 7 6 2 7" xfId="16912"/>
    <cellStyle name="Normal 7 6 2 8" xfId="33366"/>
    <cellStyle name="Normal 7 6 2 9" xfId="41593"/>
    <cellStyle name="Normal 7 6 3" xfId="648"/>
    <cellStyle name="Normal 7 6 3 2" xfId="2343"/>
    <cellStyle name="Normal 7 6 3 2 2" xfId="10568"/>
    <cellStyle name="Normal 7 6 3 2 2 2" xfId="27018"/>
    <cellStyle name="Normal 7 6 3 2 3" xfId="18793"/>
    <cellStyle name="Normal 7 6 3 2 4" xfId="35247"/>
    <cellStyle name="Normal 7 6 3 3" xfId="3988"/>
    <cellStyle name="Normal 7 6 3 3 2" xfId="12213"/>
    <cellStyle name="Normal 7 6 3 3 2 2" xfId="28663"/>
    <cellStyle name="Normal 7 6 3 3 3" xfId="20438"/>
    <cellStyle name="Normal 7 6 3 3 4" xfId="36892"/>
    <cellStyle name="Normal 7 6 3 4" xfId="5633"/>
    <cellStyle name="Normal 7 6 3 4 2" xfId="13858"/>
    <cellStyle name="Normal 7 6 3 4 2 2" xfId="30308"/>
    <cellStyle name="Normal 7 6 3 4 3" xfId="22083"/>
    <cellStyle name="Normal 7 6 3 4 4" xfId="38537"/>
    <cellStyle name="Normal 7 6 3 5" xfId="7278"/>
    <cellStyle name="Normal 7 6 3 5 2" xfId="15503"/>
    <cellStyle name="Normal 7 6 3 5 2 2" xfId="31953"/>
    <cellStyle name="Normal 7 6 3 5 3" xfId="23728"/>
    <cellStyle name="Normal 7 6 3 5 4" xfId="40182"/>
    <cellStyle name="Normal 7 6 3 6" xfId="8923"/>
    <cellStyle name="Normal 7 6 3 6 2" xfId="25373"/>
    <cellStyle name="Normal 7 6 3 7" xfId="17147"/>
    <cellStyle name="Normal 7 6 3 8" xfId="33601"/>
    <cellStyle name="Normal 7 6 3 9" xfId="41828"/>
    <cellStyle name="Normal 7 6 4" xfId="883"/>
    <cellStyle name="Normal 7 6 4 2" xfId="2578"/>
    <cellStyle name="Normal 7 6 4 2 2" xfId="10803"/>
    <cellStyle name="Normal 7 6 4 2 2 2" xfId="27253"/>
    <cellStyle name="Normal 7 6 4 2 3" xfId="19028"/>
    <cellStyle name="Normal 7 6 4 2 4" xfId="35482"/>
    <cellStyle name="Normal 7 6 4 3" xfId="4223"/>
    <cellStyle name="Normal 7 6 4 3 2" xfId="12448"/>
    <cellStyle name="Normal 7 6 4 3 2 2" xfId="28898"/>
    <cellStyle name="Normal 7 6 4 3 3" xfId="20673"/>
    <cellStyle name="Normal 7 6 4 3 4" xfId="37127"/>
    <cellStyle name="Normal 7 6 4 4" xfId="5868"/>
    <cellStyle name="Normal 7 6 4 4 2" xfId="14093"/>
    <cellStyle name="Normal 7 6 4 4 2 2" xfId="30543"/>
    <cellStyle name="Normal 7 6 4 4 3" xfId="22318"/>
    <cellStyle name="Normal 7 6 4 4 4" xfId="38772"/>
    <cellStyle name="Normal 7 6 4 5" xfId="7513"/>
    <cellStyle name="Normal 7 6 4 5 2" xfId="15738"/>
    <cellStyle name="Normal 7 6 4 5 2 2" xfId="32188"/>
    <cellStyle name="Normal 7 6 4 5 3" xfId="23963"/>
    <cellStyle name="Normal 7 6 4 5 4" xfId="40417"/>
    <cellStyle name="Normal 7 6 4 6" xfId="9158"/>
    <cellStyle name="Normal 7 6 4 6 2" xfId="25608"/>
    <cellStyle name="Normal 7 6 4 7" xfId="17382"/>
    <cellStyle name="Normal 7 6 4 8" xfId="33836"/>
    <cellStyle name="Normal 7 6 4 9" xfId="42063"/>
    <cellStyle name="Normal 7 6 5" xfId="1118"/>
    <cellStyle name="Normal 7 6 5 2" xfId="2813"/>
    <cellStyle name="Normal 7 6 5 2 2" xfId="11038"/>
    <cellStyle name="Normal 7 6 5 2 2 2" xfId="27488"/>
    <cellStyle name="Normal 7 6 5 2 3" xfId="19263"/>
    <cellStyle name="Normal 7 6 5 2 4" xfId="35717"/>
    <cellStyle name="Normal 7 6 5 3" xfId="4458"/>
    <cellStyle name="Normal 7 6 5 3 2" xfId="12683"/>
    <cellStyle name="Normal 7 6 5 3 2 2" xfId="29133"/>
    <cellStyle name="Normal 7 6 5 3 3" xfId="20908"/>
    <cellStyle name="Normal 7 6 5 3 4" xfId="37362"/>
    <cellStyle name="Normal 7 6 5 4" xfId="6103"/>
    <cellStyle name="Normal 7 6 5 4 2" xfId="14328"/>
    <cellStyle name="Normal 7 6 5 4 2 2" xfId="30778"/>
    <cellStyle name="Normal 7 6 5 4 3" xfId="22553"/>
    <cellStyle name="Normal 7 6 5 4 4" xfId="39007"/>
    <cellStyle name="Normal 7 6 5 5" xfId="7748"/>
    <cellStyle name="Normal 7 6 5 5 2" xfId="15973"/>
    <cellStyle name="Normal 7 6 5 5 2 2" xfId="32423"/>
    <cellStyle name="Normal 7 6 5 5 3" xfId="24198"/>
    <cellStyle name="Normal 7 6 5 5 4" xfId="40652"/>
    <cellStyle name="Normal 7 6 5 6" xfId="9393"/>
    <cellStyle name="Normal 7 6 5 6 2" xfId="25843"/>
    <cellStyle name="Normal 7 6 5 7" xfId="17617"/>
    <cellStyle name="Normal 7 6 5 8" xfId="34071"/>
    <cellStyle name="Normal 7 6 5 9" xfId="42298"/>
    <cellStyle name="Normal 7 6 6" xfId="1398"/>
    <cellStyle name="Normal 7 6 6 2" xfId="3048"/>
    <cellStyle name="Normal 7 6 6 2 2" xfId="11273"/>
    <cellStyle name="Normal 7 6 6 2 2 2" xfId="27723"/>
    <cellStyle name="Normal 7 6 6 2 3" xfId="19498"/>
    <cellStyle name="Normal 7 6 6 2 4" xfId="35952"/>
    <cellStyle name="Normal 7 6 6 3" xfId="4693"/>
    <cellStyle name="Normal 7 6 6 3 2" xfId="12918"/>
    <cellStyle name="Normal 7 6 6 3 2 2" xfId="29368"/>
    <cellStyle name="Normal 7 6 6 3 3" xfId="21143"/>
    <cellStyle name="Normal 7 6 6 3 4" xfId="37597"/>
    <cellStyle name="Normal 7 6 6 4" xfId="6338"/>
    <cellStyle name="Normal 7 6 6 4 2" xfId="14563"/>
    <cellStyle name="Normal 7 6 6 4 2 2" xfId="31013"/>
    <cellStyle name="Normal 7 6 6 4 3" xfId="22788"/>
    <cellStyle name="Normal 7 6 6 4 4" xfId="39242"/>
    <cellStyle name="Normal 7 6 6 5" xfId="7983"/>
    <cellStyle name="Normal 7 6 6 5 2" xfId="16208"/>
    <cellStyle name="Normal 7 6 6 5 2 2" xfId="32658"/>
    <cellStyle name="Normal 7 6 6 5 3" xfId="24433"/>
    <cellStyle name="Normal 7 6 6 5 4" xfId="40887"/>
    <cellStyle name="Normal 7 6 6 6" xfId="9628"/>
    <cellStyle name="Normal 7 6 6 6 2" xfId="26078"/>
    <cellStyle name="Normal 7 6 6 7" xfId="17852"/>
    <cellStyle name="Normal 7 6 6 8" xfId="34306"/>
    <cellStyle name="Normal 7 6 7" xfId="1633"/>
    <cellStyle name="Normal 7 6 7 2" xfId="3283"/>
    <cellStyle name="Normal 7 6 7 2 2" xfId="11508"/>
    <cellStyle name="Normal 7 6 7 2 2 2" xfId="27958"/>
    <cellStyle name="Normal 7 6 7 2 3" xfId="19733"/>
    <cellStyle name="Normal 7 6 7 2 4" xfId="36187"/>
    <cellStyle name="Normal 7 6 7 3" xfId="4928"/>
    <cellStyle name="Normal 7 6 7 3 2" xfId="13153"/>
    <cellStyle name="Normal 7 6 7 3 2 2" xfId="29603"/>
    <cellStyle name="Normal 7 6 7 3 3" xfId="21378"/>
    <cellStyle name="Normal 7 6 7 3 4" xfId="37832"/>
    <cellStyle name="Normal 7 6 7 4" xfId="6573"/>
    <cellStyle name="Normal 7 6 7 4 2" xfId="14798"/>
    <cellStyle name="Normal 7 6 7 4 2 2" xfId="31248"/>
    <cellStyle name="Normal 7 6 7 4 3" xfId="23023"/>
    <cellStyle name="Normal 7 6 7 4 4" xfId="39477"/>
    <cellStyle name="Normal 7 6 7 5" xfId="8218"/>
    <cellStyle name="Normal 7 6 7 5 2" xfId="16443"/>
    <cellStyle name="Normal 7 6 7 5 2 2" xfId="32893"/>
    <cellStyle name="Normal 7 6 7 5 3" xfId="24668"/>
    <cellStyle name="Normal 7 6 7 5 4" xfId="41122"/>
    <cellStyle name="Normal 7 6 7 6" xfId="9863"/>
    <cellStyle name="Normal 7 6 7 6 2" xfId="26313"/>
    <cellStyle name="Normal 7 6 7 7" xfId="18087"/>
    <cellStyle name="Normal 7 6 7 8" xfId="34541"/>
    <cellStyle name="Normal 7 6 8" xfId="1868"/>
    <cellStyle name="Normal 7 6 8 2" xfId="10098"/>
    <cellStyle name="Normal 7 6 8 2 2" xfId="26548"/>
    <cellStyle name="Normal 7 6 8 3" xfId="18322"/>
    <cellStyle name="Normal 7 6 8 4" xfId="34776"/>
    <cellStyle name="Normal 7 6 9" xfId="3518"/>
    <cellStyle name="Normal 7 6 9 2" xfId="11743"/>
    <cellStyle name="Normal 7 6 9 2 2" xfId="28193"/>
    <cellStyle name="Normal 7 6 9 3" xfId="19968"/>
    <cellStyle name="Normal 7 6 9 4" xfId="36422"/>
    <cellStyle name="Normal 7 7" xfId="193"/>
    <cellStyle name="Normal 7 7 10" xfId="5190"/>
    <cellStyle name="Normal 7 7 10 2" xfId="13415"/>
    <cellStyle name="Normal 7 7 10 2 2" xfId="29865"/>
    <cellStyle name="Normal 7 7 10 3" xfId="21640"/>
    <cellStyle name="Normal 7 7 10 4" xfId="38094"/>
    <cellStyle name="Normal 7 7 11" xfId="6835"/>
    <cellStyle name="Normal 7 7 11 2" xfId="15060"/>
    <cellStyle name="Normal 7 7 11 2 2" xfId="31510"/>
    <cellStyle name="Normal 7 7 11 3" xfId="23285"/>
    <cellStyle name="Normal 7 7 11 4" xfId="39739"/>
    <cellStyle name="Normal 7 7 12" xfId="8480"/>
    <cellStyle name="Normal 7 7 12 2" xfId="24930"/>
    <cellStyle name="Normal 7 7 13" xfId="16704"/>
    <cellStyle name="Normal 7 7 14" xfId="33157"/>
    <cellStyle name="Normal 7 7 15" xfId="41385"/>
    <cellStyle name="Normal 7 7 2" xfId="436"/>
    <cellStyle name="Normal 7 7 2 2" xfId="2133"/>
    <cellStyle name="Normal 7 7 2 2 2" xfId="10360"/>
    <cellStyle name="Normal 7 7 2 2 2 2" xfId="26810"/>
    <cellStyle name="Normal 7 7 2 2 3" xfId="18585"/>
    <cellStyle name="Normal 7 7 2 2 4" xfId="35039"/>
    <cellStyle name="Normal 7 7 2 3" xfId="3780"/>
    <cellStyle name="Normal 7 7 2 3 2" xfId="12005"/>
    <cellStyle name="Normal 7 7 2 3 2 2" xfId="28455"/>
    <cellStyle name="Normal 7 7 2 3 3" xfId="20230"/>
    <cellStyle name="Normal 7 7 2 3 4" xfId="36684"/>
    <cellStyle name="Normal 7 7 2 4" xfId="5425"/>
    <cellStyle name="Normal 7 7 2 4 2" xfId="13650"/>
    <cellStyle name="Normal 7 7 2 4 2 2" xfId="30100"/>
    <cellStyle name="Normal 7 7 2 4 3" xfId="21875"/>
    <cellStyle name="Normal 7 7 2 4 4" xfId="38329"/>
    <cellStyle name="Normal 7 7 2 5" xfId="7070"/>
    <cellStyle name="Normal 7 7 2 5 2" xfId="15295"/>
    <cellStyle name="Normal 7 7 2 5 2 2" xfId="31745"/>
    <cellStyle name="Normal 7 7 2 5 3" xfId="23520"/>
    <cellStyle name="Normal 7 7 2 5 4" xfId="39974"/>
    <cellStyle name="Normal 7 7 2 6" xfId="8715"/>
    <cellStyle name="Normal 7 7 2 6 2" xfId="25165"/>
    <cellStyle name="Normal 7 7 2 7" xfId="16939"/>
    <cellStyle name="Normal 7 7 2 8" xfId="33393"/>
    <cellStyle name="Normal 7 7 2 9" xfId="41620"/>
    <cellStyle name="Normal 7 7 3" xfId="675"/>
    <cellStyle name="Normal 7 7 3 2" xfId="2370"/>
    <cellStyle name="Normal 7 7 3 2 2" xfId="10595"/>
    <cellStyle name="Normal 7 7 3 2 2 2" xfId="27045"/>
    <cellStyle name="Normal 7 7 3 2 3" xfId="18820"/>
    <cellStyle name="Normal 7 7 3 2 4" xfId="35274"/>
    <cellStyle name="Normal 7 7 3 3" xfId="4015"/>
    <cellStyle name="Normal 7 7 3 3 2" xfId="12240"/>
    <cellStyle name="Normal 7 7 3 3 2 2" xfId="28690"/>
    <cellStyle name="Normal 7 7 3 3 3" xfId="20465"/>
    <cellStyle name="Normal 7 7 3 3 4" xfId="36919"/>
    <cellStyle name="Normal 7 7 3 4" xfId="5660"/>
    <cellStyle name="Normal 7 7 3 4 2" xfId="13885"/>
    <cellStyle name="Normal 7 7 3 4 2 2" xfId="30335"/>
    <cellStyle name="Normal 7 7 3 4 3" xfId="22110"/>
    <cellStyle name="Normal 7 7 3 4 4" xfId="38564"/>
    <cellStyle name="Normal 7 7 3 5" xfId="7305"/>
    <cellStyle name="Normal 7 7 3 5 2" xfId="15530"/>
    <cellStyle name="Normal 7 7 3 5 2 2" xfId="31980"/>
    <cellStyle name="Normal 7 7 3 5 3" xfId="23755"/>
    <cellStyle name="Normal 7 7 3 5 4" xfId="40209"/>
    <cellStyle name="Normal 7 7 3 6" xfId="8950"/>
    <cellStyle name="Normal 7 7 3 6 2" xfId="25400"/>
    <cellStyle name="Normal 7 7 3 7" xfId="17174"/>
    <cellStyle name="Normal 7 7 3 8" xfId="33628"/>
    <cellStyle name="Normal 7 7 3 9" xfId="41855"/>
    <cellStyle name="Normal 7 7 4" xfId="910"/>
    <cellStyle name="Normal 7 7 4 2" xfId="2605"/>
    <cellStyle name="Normal 7 7 4 2 2" xfId="10830"/>
    <cellStyle name="Normal 7 7 4 2 2 2" xfId="27280"/>
    <cellStyle name="Normal 7 7 4 2 3" xfId="19055"/>
    <cellStyle name="Normal 7 7 4 2 4" xfId="35509"/>
    <cellStyle name="Normal 7 7 4 3" xfId="4250"/>
    <cellStyle name="Normal 7 7 4 3 2" xfId="12475"/>
    <cellStyle name="Normal 7 7 4 3 2 2" xfId="28925"/>
    <cellStyle name="Normal 7 7 4 3 3" xfId="20700"/>
    <cellStyle name="Normal 7 7 4 3 4" xfId="37154"/>
    <cellStyle name="Normal 7 7 4 4" xfId="5895"/>
    <cellStyle name="Normal 7 7 4 4 2" xfId="14120"/>
    <cellStyle name="Normal 7 7 4 4 2 2" xfId="30570"/>
    <cellStyle name="Normal 7 7 4 4 3" xfId="22345"/>
    <cellStyle name="Normal 7 7 4 4 4" xfId="38799"/>
    <cellStyle name="Normal 7 7 4 5" xfId="7540"/>
    <cellStyle name="Normal 7 7 4 5 2" xfId="15765"/>
    <cellStyle name="Normal 7 7 4 5 2 2" xfId="32215"/>
    <cellStyle name="Normal 7 7 4 5 3" xfId="23990"/>
    <cellStyle name="Normal 7 7 4 5 4" xfId="40444"/>
    <cellStyle name="Normal 7 7 4 6" xfId="9185"/>
    <cellStyle name="Normal 7 7 4 6 2" xfId="25635"/>
    <cellStyle name="Normal 7 7 4 7" xfId="17409"/>
    <cellStyle name="Normal 7 7 4 8" xfId="33863"/>
    <cellStyle name="Normal 7 7 4 9" xfId="42090"/>
    <cellStyle name="Normal 7 7 5" xfId="1145"/>
    <cellStyle name="Normal 7 7 5 2" xfId="2840"/>
    <cellStyle name="Normal 7 7 5 2 2" xfId="11065"/>
    <cellStyle name="Normal 7 7 5 2 2 2" xfId="27515"/>
    <cellStyle name="Normal 7 7 5 2 3" xfId="19290"/>
    <cellStyle name="Normal 7 7 5 2 4" xfId="35744"/>
    <cellStyle name="Normal 7 7 5 3" xfId="4485"/>
    <cellStyle name="Normal 7 7 5 3 2" xfId="12710"/>
    <cellStyle name="Normal 7 7 5 3 2 2" xfId="29160"/>
    <cellStyle name="Normal 7 7 5 3 3" xfId="20935"/>
    <cellStyle name="Normal 7 7 5 3 4" xfId="37389"/>
    <cellStyle name="Normal 7 7 5 4" xfId="6130"/>
    <cellStyle name="Normal 7 7 5 4 2" xfId="14355"/>
    <cellStyle name="Normal 7 7 5 4 2 2" xfId="30805"/>
    <cellStyle name="Normal 7 7 5 4 3" xfId="22580"/>
    <cellStyle name="Normal 7 7 5 4 4" xfId="39034"/>
    <cellStyle name="Normal 7 7 5 5" xfId="7775"/>
    <cellStyle name="Normal 7 7 5 5 2" xfId="16000"/>
    <cellStyle name="Normal 7 7 5 5 2 2" xfId="32450"/>
    <cellStyle name="Normal 7 7 5 5 3" xfId="24225"/>
    <cellStyle name="Normal 7 7 5 5 4" xfId="40679"/>
    <cellStyle name="Normal 7 7 5 6" xfId="9420"/>
    <cellStyle name="Normal 7 7 5 6 2" xfId="25870"/>
    <cellStyle name="Normal 7 7 5 7" xfId="17644"/>
    <cellStyle name="Normal 7 7 5 8" xfId="34098"/>
    <cellStyle name="Normal 7 7 5 9" xfId="42325"/>
    <cellStyle name="Normal 7 7 6" xfId="1425"/>
    <cellStyle name="Normal 7 7 6 2" xfId="3075"/>
    <cellStyle name="Normal 7 7 6 2 2" xfId="11300"/>
    <cellStyle name="Normal 7 7 6 2 2 2" xfId="27750"/>
    <cellStyle name="Normal 7 7 6 2 3" xfId="19525"/>
    <cellStyle name="Normal 7 7 6 2 4" xfId="35979"/>
    <cellStyle name="Normal 7 7 6 3" xfId="4720"/>
    <cellStyle name="Normal 7 7 6 3 2" xfId="12945"/>
    <cellStyle name="Normal 7 7 6 3 2 2" xfId="29395"/>
    <cellStyle name="Normal 7 7 6 3 3" xfId="21170"/>
    <cellStyle name="Normal 7 7 6 3 4" xfId="37624"/>
    <cellStyle name="Normal 7 7 6 4" xfId="6365"/>
    <cellStyle name="Normal 7 7 6 4 2" xfId="14590"/>
    <cellStyle name="Normal 7 7 6 4 2 2" xfId="31040"/>
    <cellStyle name="Normal 7 7 6 4 3" xfId="22815"/>
    <cellStyle name="Normal 7 7 6 4 4" xfId="39269"/>
    <cellStyle name="Normal 7 7 6 5" xfId="8010"/>
    <cellStyle name="Normal 7 7 6 5 2" xfId="16235"/>
    <cellStyle name="Normal 7 7 6 5 2 2" xfId="32685"/>
    <cellStyle name="Normal 7 7 6 5 3" xfId="24460"/>
    <cellStyle name="Normal 7 7 6 5 4" xfId="40914"/>
    <cellStyle name="Normal 7 7 6 6" xfId="9655"/>
    <cellStyle name="Normal 7 7 6 6 2" xfId="26105"/>
    <cellStyle name="Normal 7 7 6 7" xfId="17879"/>
    <cellStyle name="Normal 7 7 6 8" xfId="34333"/>
    <cellStyle name="Normal 7 7 7" xfId="1660"/>
    <cellStyle name="Normal 7 7 7 2" xfId="3310"/>
    <cellStyle name="Normal 7 7 7 2 2" xfId="11535"/>
    <cellStyle name="Normal 7 7 7 2 2 2" xfId="27985"/>
    <cellStyle name="Normal 7 7 7 2 3" xfId="19760"/>
    <cellStyle name="Normal 7 7 7 2 4" xfId="36214"/>
    <cellStyle name="Normal 7 7 7 3" xfId="4955"/>
    <cellStyle name="Normal 7 7 7 3 2" xfId="13180"/>
    <cellStyle name="Normal 7 7 7 3 2 2" xfId="29630"/>
    <cellStyle name="Normal 7 7 7 3 3" xfId="21405"/>
    <cellStyle name="Normal 7 7 7 3 4" xfId="37859"/>
    <cellStyle name="Normal 7 7 7 4" xfId="6600"/>
    <cellStyle name="Normal 7 7 7 4 2" xfId="14825"/>
    <cellStyle name="Normal 7 7 7 4 2 2" xfId="31275"/>
    <cellStyle name="Normal 7 7 7 4 3" xfId="23050"/>
    <cellStyle name="Normal 7 7 7 4 4" xfId="39504"/>
    <cellStyle name="Normal 7 7 7 5" xfId="8245"/>
    <cellStyle name="Normal 7 7 7 5 2" xfId="16470"/>
    <cellStyle name="Normal 7 7 7 5 2 2" xfId="32920"/>
    <cellStyle name="Normal 7 7 7 5 3" xfId="24695"/>
    <cellStyle name="Normal 7 7 7 5 4" xfId="41149"/>
    <cellStyle name="Normal 7 7 7 6" xfId="9890"/>
    <cellStyle name="Normal 7 7 7 6 2" xfId="26340"/>
    <cellStyle name="Normal 7 7 7 7" xfId="18114"/>
    <cellStyle name="Normal 7 7 7 8" xfId="34568"/>
    <cellStyle name="Normal 7 7 8" xfId="1895"/>
    <cellStyle name="Normal 7 7 8 2" xfId="10125"/>
    <cellStyle name="Normal 7 7 8 2 2" xfId="26575"/>
    <cellStyle name="Normal 7 7 8 3" xfId="18349"/>
    <cellStyle name="Normal 7 7 8 4" xfId="34803"/>
    <cellStyle name="Normal 7 7 9" xfId="3545"/>
    <cellStyle name="Normal 7 7 9 2" xfId="11770"/>
    <cellStyle name="Normal 7 7 9 2 2" xfId="28220"/>
    <cellStyle name="Normal 7 7 9 3" xfId="19995"/>
    <cellStyle name="Normal 7 7 9 4" xfId="36449"/>
    <cellStyle name="Normal 7 8" xfId="220"/>
    <cellStyle name="Normal 7 8 10" xfId="5217"/>
    <cellStyle name="Normal 7 8 10 2" xfId="13442"/>
    <cellStyle name="Normal 7 8 10 2 2" xfId="29892"/>
    <cellStyle name="Normal 7 8 10 3" xfId="21667"/>
    <cellStyle name="Normal 7 8 10 4" xfId="38121"/>
    <cellStyle name="Normal 7 8 11" xfId="6862"/>
    <cellStyle name="Normal 7 8 11 2" xfId="15087"/>
    <cellStyle name="Normal 7 8 11 2 2" xfId="31537"/>
    <cellStyle name="Normal 7 8 11 3" xfId="23312"/>
    <cellStyle name="Normal 7 8 11 4" xfId="39766"/>
    <cellStyle name="Normal 7 8 12" xfId="8507"/>
    <cellStyle name="Normal 7 8 12 2" xfId="24957"/>
    <cellStyle name="Normal 7 8 13" xfId="16731"/>
    <cellStyle name="Normal 7 8 14" xfId="33184"/>
    <cellStyle name="Normal 7 8 15" xfId="41412"/>
    <cellStyle name="Normal 7 8 2" xfId="463"/>
    <cellStyle name="Normal 7 8 2 2" xfId="2160"/>
    <cellStyle name="Normal 7 8 2 2 2" xfId="10387"/>
    <cellStyle name="Normal 7 8 2 2 2 2" xfId="26837"/>
    <cellStyle name="Normal 7 8 2 2 3" xfId="18612"/>
    <cellStyle name="Normal 7 8 2 2 4" xfId="35066"/>
    <cellStyle name="Normal 7 8 2 3" xfId="3807"/>
    <cellStyle name="Normal 7 8 2 3 2" xfId="12032"/>
    <cellStyle name="Normal 7 8 2 3 2 2" xfId="28482"/>
    <cellStyle name="Normal 7 8 2 3 3" xfId="20257"/>
    <cellStyle name="Normal 7 8 2 3 4" xfId="36711"/>
    <cellStyle name="Normal 7 8 2 4" xfId="5452"/>
    <cellStyle name="Normal 7 8 2 4 2" xfId="13677"/>
    <cellStyle name="Normal 7 8 2 4 2 2" xfId="30127"/>
    <cellStyle name="Normal 7 8 2 4 3" xfId="21902"/>
    <cellStyle name="Normal 7 8 2 4 4" xfId="38356"/>
    <cellStyle name="Normal 7 8 2 5" xfId="7097"/>
    <cellStyle name="Normal 7 8 2 5 2" xfId="15322"/>
    <cellStyle name="Normal 7 8 2 5 2 2" xfId="31772"/>
    <cellStyle name="Normal 7 8 2 5 3" xfId="23547"/>
    <cellStyle name="Normal 7 8 2 5 4" xfId="40001"/>
    <cellStyle name="Normal 7 8 2 6" xfId="8742"/>
    <cellStyle name="Normal 7 8 2 6 2" xfId="25192"/>
    <cellStyle name="Normal 7 8 2 7" xfId="16966"/>
    <cellStyle name="Normal 7 8 2 8" xfId="33420"/>
    <cellStyle name="Normal 7 8 2 9" xfId="41647"/>
    <cellStyle name="Normal 7 8 3" xfId="702"/>
    <cellStyle name="Normal 7 8 3 2" xfId="2397"/>
    <cellStyle name="Normal 7 8 3 2 2" xfId="10622"/>
    <cellStyle name="Normal 7 8 3 2 2 2" xfId="27072"/>
    <cellStyle name="Normal 7 8 3 2 3" xfId="18847"/>
    <cellStyle name="Normal 7 8 3 2 4" xfId="35301"/>
    <cellStyle name="Normal 7 8 3 3" xfId="4042"/>
    <cellStyle name="Normal 7 8 3 3 2" xfId="12267"/>
    <cellStyle name="Normal 7 8 3 3 2 2" xfId="28717"/>
    <cellStyle name="Normal 7 8 3 3 3" xfId="20492"/>
    <cellStyle name="Normal 7 8 3 3 4" xfId="36946"/>
    <cellStyle name="Normal 7 8 3 4" xfId="5687"/>
    <cellStyle name="Normal 7 8 3 4 2" xfId="13912"/>
    <cellStyle name="Normal 7 8 3 4 2 2" xfId="30362"/>
    <cellStyle name="Normal 7 8 3 4 3" xfId="22137"/>
    <cellStyle name="Normal 7 8 3 4 4" xfId="38591"/>
    <cellStyle name="Normal 7 8 3 5" xfId="7332"/>
    <cellStyle name="Normal 7 8 3 5 2" xfId="15557"/>
    <cellStyle name="Normal 7 8 3 5 2 2" xfId="32007"/>
    <cellStyle name="Normal 7 8 3 5 3" xfId="23782"/>
    <cellStyle name="Normal 7 8 3 5 4" xfId="40236"/>
    <cellStyle name="Normal 7 8 3 6" xfId="8977"/>
    <cellStyle name="Normal 7 8 3 6 2" xfId="25427"/>
    <cellStyle name="Normal 7 8 3 7" xfId="17201"/>
    <cellStyle name="Normal 7 8 3 8" xfId="33655"/>
    <cellStyle name="Normal 7 8 3 9" xfId="41882"/>
    <cellStyle name="Normal 7 8 4" xfId="937"/>
    <cellStyle name="Normal 7 8 4 2" xfId="2632"/>
    <cellStyle name="Normal 7 8 4 2 2" xfId="10857"/>
    <cellStyle name="Normal 7 8 4 2 2 2" xfId="27307"/>
    <cellStyle name="Normal 7 8 4 2 3" xfId="19082"/>
    <cellStyle name="Normal 7 8 4 2 4" xfId="35536"/>
    <cellStyle name="Normal 7 8 4 3" xfId="4277"/>
    <cellStyle name="Normal 7 8 4 3 2" xfId="12502"/>
    <cellStyle name="Normal 7 8 4 3 2 2" xfId="28952"/>
    <cellStyle name="Normal 7 8 4 3 3" xfId="20727"/>
    <cellStyle name="Normal 7 8 4 3 4" xfId="37181"/>
    <cellStyle name="Normal 7 8 4 4" xfId="5922"/>
    <cellStyle name="Normal 7 8 4 4 2" xfId="14147"/>
    <cellStyle name="Normal 7 8 4 4 2 2" xfId="30597"/>
    <cellStyle name="Normal 7 8 4 4 3" xfId="22372"/>
    <cellStyle name="Normal 7 8 4 4 4" xfId="38826"/>
    <cellStyle name="Normal 7 8 4 5" xfId="7567"/>
    <cellStyle name="Normal 7 8 4 5 2" xfId="15792"/>
    <cellStyle name="Normal 7 8 4 5 2 2" xfId="32242"/>
    <cellStyle name="Normal 7 8 4 5 3" xfId="24017"/>
    <cellStyle name="Normal 7 8 4 5 4" xfId="40471"/>
    <cellStyle name="Normal 7 8 4 6" xfId="9212"/>
    <cellStyle name="Normal 7 8 4 6 2" xfId="25662"/>
    <cellStyle name="Normal 7 8 4 7" xfId="17436"/>
    <cellStyle name="Normal 7 8 4 8" xfId="33890"/>
    <cellStyle name="Normal 7 8 4 9" xfId="42117"/>
    <cellStyle name="Normal 7 8 5" xfId="1172"/>
    <cellStyle name="Normal 7 8 5 2" xfId="2867"/>
    <cellStyle name="Normal 7 8 5 2 2" xfId="11092"/>
    <cellStyle name="Normal 7 8 5 2 2 2" xfId="27542"/>
    <cellStyle name="Normal 7 8 5 2 3" xfId="19317"/>
    <cellStyle name="Normal 7 8 5 2 4" xfId="35771"/>
    <cellStyle name="Normal 7 8 5 3" xfId="4512"/>
    <cellStyle name="Normal 7 8 5 3 2" xfId="12737"/>
    <cellStyle name="Normal 7 8 5 3 2 2" xfId="29187"/>
    <cellStyle name="Normal 7 8 5 3 3" xfId="20962"/>
    <cellStyle name="Normal 7 8 5 3 4" xfId="37416"/>
    <cellStyle name="Normal 7 8 5 4" xfId="6157"/>
    <cellStyle name="Normal 7 8 5 4 2" xfId="14382"/>
    <cellStyle name="Normal 7 8 5 4 2 2" xfId="30832"/>
    <cellStyle name="Normal 7 8 5 4 3" xfId="22607"/>
    <cellStyle name="Normal 7 8 5 4 4" xfId="39061"/>
    <cellStyle name="Normal 7 8 5 5" xfId="7802"/>
    <cellStyle name="Normal 7 8 5 5 2" xfId="16027"/>
    <cellStyle name="Normal 7 8 5 5 2 2" xfId="32477"/>
    <cellStyle name="Normal 7 8 5 5 3" xfId="24252"/>
    <cellStyle name="Normal 7 8 5 5 4" xfId="40706"/>
    <cellStyle name="Normal 7 8 5 6" xfId="9447"/>
    <cellStyle name="Normal 7 8 5 6 2" xfId="25897"/>
    <cellStyle name="Normal 7 8 5 7" xfId="17671"/>
    <cellStyle name="Normal 7 8 5 8" xfId="34125"/>
    <cellStyle name="Normal 7 8 5 9" xfId="42352"/>
    <cellStyle name="Normal 7 8 6" xfId="1452"/>
    <cellStyle name="Normal 7 8 6 2" xfId="3102"/>
    <cellStyle name="Normal 7 8 6 2 2" xfId="11327"/>
    <cellStyle name="Normal 7 8 6 2 2 2" xfId="27777"/>
    <cellStyle name="Normal 7 8 6 2 3" xfId="19552"/>
    <cellStyle name="Normal 7 8 6 2 4" xfId="36006"/>
    <cellStyle name="Normal 7 8 6 3" xfId="4747"/>
    <cellStyle name="Normal 7 8 6 3 2" xfId="12972"/>
    <cellStyle name="Normal 7 8 6 3 2 2" xfId="29422"/>
    <cellStyle name="Normal 7 8 6 3 3" xfId="21197"/>
    <cellStyle name="Normal 7 8 6 3 4" xfId="37651"/>
    <cellStyle name="Normal 7 8 6 4" xfId="6392"/>
    <cellStyle name="Normal 7 8 6 4 2" xfId="14617"/>
    <cellStyle name="Normal 7 8 6 4 2 2" xfId="31067"/>
    <cellStyle name="Normal 7 8 6 4 3" xfId="22842"/>
    <cellStyle name="Normal 7 8 6 4 4" xfId="39296"/>
    <cellStyle name="Normal 7 8 6 5" xfId="8037"/>
    <cellStyle name="Normal 7 8 6 5 2" xfId="16262"/>
    <cellStyle name="Normal 7 8 6 5 2 2" xfId="32712"/>
    <cellStyle name="Normal 7 8 6 5 3" xfId="24487"/>
    <cellStyle name="Normal 7 8 6 5 4" xfId="40941"/>
    <cellStyle name="Normal 7 8 6 6" xfId="9682"/>
    <cellStyle name="Normal 7 8 6 6 2" xfId="26132"/>
    <cellStyle name="Normal 7 8 6 7" xfId="17906"/>
    <cellStyle name="Normal 7 8 6 8" xfId="34360"/>
    <cellStyle name="Normal 7 8 7" xfId="1687"/>
    <cellStyle name="Normal 7 8 7 2" xfId="3337"/>
    <cellStyle name="Normal 7 8 7 2 2" xfId="11562"/>
    <cellStyle name="Normal 7 8 7 2 2 2" xfId="28012"/>
    <cellStyle name="Normal 7 8 7 2 3" xfId="19787"/>
    <cellStyle name="Normal 7 8 7 2 4" xfId="36241"/>
    <cellStyle name="Normal 7 8 7 3" xfId="4982"/>
    <cellStyle name="Normal 7 8 7 3 2" xfId="13207"/>
    <cellStyle name="Normal 7 8 7 3 2 2" xfId="29657"/>
    <cellStyle name="Normal 7 8 7 3 3" xfId="21432"/>
    <cellStyle name="Normal 7 8 7 3 4" xfId="37886"/>
    <cellStyle name="Normal 7 8 7 4" xfId="6627"/>
    <cellStyle name="Normal 7 8 7 4 2" xfId="14852"/>
    <cellStyle name="Normal 7 8 7 4 2 2" xfId="31302"/>
    <cellStyle name="Normal 7 8 7 4 3" xfId="23077"/>
    <cellStyle name="Normal 7 8 7 4 4" xfId="39531"/>
    <cellStyle name="Normal 7 8 7 5" xfId="8272"/>
    <cellStyle name="Normal 7 8 7 5 2" xfId="16497"/>
    <cellStyle name="Normal 7 8 7 5 2 2" xfId="32947"/>
    <cellStyle name="Normal 7 8 7 5 3" xfId="24722"/>
    <cellStyle name="Normal 7 8 7 5 4" xfId="41176"/>
    <cellStyle name="Normal 7 8 7 6" xfId="9917"/>
    <cellStyle name="Normal 7 8 7 6 2" xfId="26367"/>
    <cellStyle name="Normal 7 8 7 7" xfId="18141"/>
    <cellStyle name="Normal 7 8 7 8" xfId="34595"/>
    <cellStyle name="Normal 7 8 8" xfId="1922"/>
    <cellStyle name="Normal 7 8 8 2" xfId="10152"/>
    <cellStyle name="Normal 7 8 8 2 2" xfId="26602"/>
    <cellStyle name="Normal 7 8 8 3" xfId="18376"/>
    <cellStyle name="Normal 7 8 8 4" xfId="34830"/>
    <cellStyle name="Normal 7 8 9" xfId="3572"/>
    <cellStyle name="Normal 7 8 9 2" xfId="11797"/>
    <cellStyle name="Normal 7 8 9 2 2" xfId="28247"/>
    <cellStyle name="Normal 7 8 9 3" xfId="20022"/>
    <cellStyle name="Normal 7 8 9 4" xfId="36476"/>
    <cellStyle name="Normal 7 9" xfId="249"/>
    <cellStyle name="Normal 7 9 10" xfId="5244"/>
    <cellStyle name="Normal 7 9 10 2" xfId="13469"/>
    <cellStyle name="Normal 7 9 10 2 2" xfId="29919"/>
    <cellStyle name="Normal 7 9 10 3" xfId="21694"/>
    <cellStyle name="Normal 7 9 10 4" xfId="38148"/>
    <cellStyle name="Normal 7 9 11" xfId="6889"/>
    <cellStyle name="Normal 7 9 11 2" xfId="15114"/>
    <cellStyle name="Normal 7 9 11 2 2" xfId="31564"/>
    <cellStyle name="Normal 7 9 11 3" xfId="23339"/>
    <cellStyle name="Normal 7 9 11 4" xfId="39793"/>
    <cellStyle name="Normal 7 9 12" xfId="8534"/>
    <cellStyle name="Normal 7 9 12 2" xfId="24984"/>
    <cellStyle name="Normal 7 9 13" xfId="16758"/>
    <cellStyle name="Normal 7 9 14" xfId="33211"/>
    <cellStyle name="Normal 7 9 15" xfId="41439"/>
    <cellStyle name="Normal 7 9 2" xfId="492"/>
    <cellStyle name="Normal 7 9 2 2" xfId="2187"/>
    <cellStyle name="Normal 7 9 2 2 2" xfId="10414"/>
    <cellStyle name="Normal 7 9 2 2 2 2" xfId="26864"/>
    <cellStyle name="Normal 7 9 2 2 3" xfId="18639"/>
    <cellStyle name="Normal 7 9 2 2 4" xfId="35093"/>
    <cellStyle name="Normal 7 9 2 3" xfId="3834"/>
    <cellStyle name="Normal 7 9 2 3 2" xfId="12059"/>
    <cellStyle name="Normal 7 9 2 3 2 2" xfId="28509"/>
    <cellStyle name="Normal 7 9 2 3 3" xfId="20284"/>
    <cellStyle name="Normal 7 9 2 3 4" xfId="36738"/>
    <cellStyle name="Normal 7 9 2 4" xfId="5479"/>
    <cellStyle name="Normal 7 9 2 4 2" xfId="13704"/>
    <cellStyle name="Normal 7 9 2 4 2 2" xfId="30154"/>
    <cellStyle name="Normal 7 9 2 4 3" xfId="21929"/>
    <cellStyle name="Normal 7 9 2 4 4" xfId="38383"/>
    <cellStyle name="Normal 7 9 2 5" xfId="7124"/>
    <cellStyle name="Normal 7 9 2 5 2" xfId="15349"/>
    <cellStyle name="Normal 7 9 2 5 2 2" xfId="31799"/>
    <cellStyle name="Normal 7 9 2 5 3" xfId="23574"/>
    <cellStyle name="Normal 7 9 2 5 4" xfId="40028"/>
    <cellStyle name="Normal 7 9 2 6" xfId="8769"/>
    <cellStyle name="Normal 7 9 2 6 2" xfId="25219"/>
    <cellStyle name="Normal 7 9 2 7" xfId="16993"/>
    <cellStyle name="Normal 7 9 2 8" xfId="33447"/>
    <cellStyle name="Normal 7 9 2 9" xfId="41674"/>
    <cellStyle name="Normal 7 9 3" xfId="729"/>
    <cellStyle name="Normal 7 9 3 2" xfId="2424"/>
    <cellStyle name="Normal 7 9 3 2 2" xfId="10649"/>
    <cellStyle name="Normal 7 9 3 2 2 2" xfId="27099"/>
    <cellStyle name="Normal 7 9 3 2 3" xfId="18874"/>
    <cellStyle name="Normal 7 9 3 2 4" xfId="35328"/>
    <cellStyle name="Normal 7 9 3 3" xfId="4069"/>
    <cellStyle name="Normal 7 9 3 3 2" xfId="12294"/>
    <cellStyle name="Normal 7 9 3 3 2 2" xfId="28744"/>
    <cellStyle name="Normal 7 9 3 3 3" xfId="20519"/>
    <cellStyle name="Normal 7 9 3 3 4" xfId="36973"/>
    <cellStyle name="Normal 7 9 3 4" xfId="5714"/>
    <cellStyle name="Normal 7 9 3 4 2" xfId="13939"/>
    <cellStyle name="Normal 7 9 3 4 2 2" xfId="30389"/>
    <cellStyle name="Normal 7 9 3 4 3" xfId="22164"/>
    <cellStyle name="Normal 7 9 3 4 4" xfId="38618"/>
    <cellStyle name="Normal 7 9 3 5" xfId="7359"/>
    <cellStyle name="Normal 7 9 3 5 2" xfId="15584"/>
    <cellStyle name="Normal 7 9 3 5 2 2" xfId="32034"/>
    <cellStyle name="Normal 7 9 3 5 3" xfId="23809"/>
    <cellStyle name="Normal 7 9 3 5 4" xfId="40263"/>
    <cellStyle name="Normal 7 9 3 6" xfId="9004"/>
    <cellStyle name="Normal 7 9 3 6 2" xfId="25454"/>
    <cellStyle name="Normal 7 9 3 7" xfId="17228"/>
    <cellStyle name="Normal 7 9 3 8" xfId="33682"/>
    <cellStyle name="Normal 7 9 3 9" xfId="41909"/>
    <cellStyle name="Normal 7 9 4" xfId="964"/>
    <cellStyle name="Normal 7 9 4 2" xfId="2659"/>
    <cellStyle name="Normal 7 9 4 2 2" xfId="10884"/>
    <cellStyle name="Normal 7 9 4 2 2 2" xfId="27334"/>
    <cellStyle name="Normal 7 9 4 2 3" xfId="19109"/>
    <cellStyle name="Normal 7 9 4 2 4" xfId="35563"/>
    <cellStyle name="Normal 7 9 4 3" xfId="4304"/>
    <cellStyle name="Normal 7 9 4 3 2" xfId="12529"/>
    <cellStyle name="Normal 7 9 4 3 2 2" xfId="28979"/>
    <cellStyle name="Normal 7 9 4 3 3" xfId="20754"/>
    <cellStyle name="Normal 7 9 4 3 4" xfId="37208"/>
    <cellStyle name="Normal 7 9 4 4" xfId="5949"/>
    <cellStyle name="Normal 7 9 4 4 2" xfId="14174"/>
    <cellStyle name="Normal 7 9 4 4 2 2" xfId="30624"/>
    <cellStyle name="Normal 7 9 4 4 3" xfId="22399"/>
    <cellStyle name="Normal 7 9 4 4 4" xfId="38853"/>
    <cellStyle name="Normal 7 9 4 5" xfId="7594"/>
    <cellStyle name="Normal 7 9 4 5 2" xfId="15819"/>
    <cellStyle name="Normal 7 9 4 5 2 2" xfId="32269"/>
    <cellStyle name="Normal 7 9 4 5 3" xfId="24044"/>
    <cellStyle name="Normal 7 9 4 5 4" xfId="40498"/>
    <cellStyle name="Normal 7 9 4 6" xfId="9239"/>
    <cellStyle name="Normal 7 9 4 6 2" xfId="25689"/>
    <cellStyle name="Normal 7 9 4 7" xfId="17463"/>
    <cellStyle name="Normal 7 9 4 8" xfId="33917"/>
    <cellStyle name="Normal 7 9 4 9" xfId="42144"/>
    <cellStyle name="Normal 7 9 5" xfId="1199"/>
    <cellStyle name="Normal 7 9 5 2" xfId="2894"/>
    <cellStyle name="Normal 7 9 5 2 2" xfId="11119"/>
    <cellStyle name="Normal 7 9 5 2 2 2" xfId="27569"/>
    <cellStyle name="Normal 7 9 5 2 3" xfId="19344"/>
    <cellStyle name="Normal 7 9 5 2 4" xfId="35798"/>
    <cellStyle name="Normal 7 9 5 3" xfId="4539"/>
    <cellStyle name="Normal 7 9 5 3 2" xfId="12764"/>
    <cellStyle name="Normal 7 9 5 3 2 2" xfId="29214"/>
    <cellStyle name="Normal 7 9 5 3 3" xfId="20989"/>
    <cellStyle name="Normal 7 9 5 3 4" xfId="37443"/>
    <cellStyle name="Normal 7 9 5 4" xfId="6184"/>
    <cellStyle name="Normal 7 9 5 4 2" xfId="14409"/>
    <cellStyle name="Normal 7 9 5 4 2 2" xfId="30859"/>
    <cellStyle name="Normal 7 9 5 4 3" xfId="22634"/>
    <cellStyle name="Normal 7 9 5 4 4" xfId="39088"/>
    <cellStyle name="Normal 7 9 5 5" xfId="7829"/>
    <cellStyle name="Normal 7 9 5 5 2" xfId="16054"/>
    <cellStyle name="Normal 7 9 5 5 2 2" xfId="32504"/>
    <cellStyle name="Normal 7 9 5 5 3" xfId="24279"/>
    <cellStyle name="Normal 7 9 5 5 4" xfId="40733"/>
    <cellStyle name="Normal 7 9 5 6" xfId="9474"/>
    <cellStyle name="Normal 7 9 5 6 2" xfId="25924"/>
    <cellStyle name="Normal 7 9 5 7" xfId="17698"/>
    <cellStyle name="Normal 7 9 5 8" xfId="34152"/>
    <cellStyle name="Normal 7 9 5 9" xfId="42379"/>
    <cellStyle name="Normal 7 9 6" xfId="1479"/>
    <cellStyle name="Normal 7 9 6 2" xfId="3129"/>
    <cellStyle name="Normal 7 9 6 2 2" xfId="11354"/>
    <cellStyle name="Normal 7 9 6 2 2 2" xfId="27804"/>
    <cellStyle name="Normal 7 9 6 2 3" xfId="19579"/>
    <cellStyle name="Normal 7 9 6 2 4" xfId="36033"/>
    <cellStyle name="Normal 7 9 6 3" xfId="4774"/>
    <cellStyle name="Normal 7 9 6 3 2" xfId="12999"/>
    <cellStyle name="Normal 7 9 6 3 2 2" xfId="29449"/>
    <cellStyle name="Normal 7 9 6 3 3" xfId="21224"/>
    <cellStyle name="Normal 7 9 6 3 4" xfId="37678"/>
    <cellStyle name="Normal 7 9 6 4" xfId="6419"/>
    <cellStyle name="Normal 7 9 6 4 2" xfId="14644"/>
    <cellStyle name="Normal 7 9 6 4 2 2" xfId="31094"/>
    <cellStyle name="Normal 7 9 6 4 3" xfId="22869"/>
    <cellStyle name="Normal 7 9 6 4 4" xfId="39323"/>
    <cellStyle name="Normal 7 9 6 5" xfId="8064"/>
    <cellStyle name="Normal 7 9 6 5 2" xfId="16289"/>
    <cellStyle name="Normal 7 9 6 5 2 2" xfId="32739"/>
    <cellStyle name="Normal 7 9 6 5 3" xfId="24514"/>
    <cellStyle name="Normal 7 9 6 5 4" xfId="40968"/>
    <cellStyle name="Normal 7 9 6 6" xfId="9709"/>
    <cellStyle name="Normal 7 9 6 6 2" xfId="26159"/>
    <cellStyle name="Normal 7 9 6 7" xfId="17933"/>
    <cellStyle name="Normal 7 9 6 8" xfId="34387"/>
    <cellStyle name="Normal 7 9 7" xfId="1714"/>
    <cellStyle name="Normal 7 9 7 2" xfId="3364"/>
    <cellStyle name="Normal 7 9 7 2 2" xfId="11589"/>
    <cellStyle name="Normal 7 9 7 2 2 2" xfId="28039"/>
    <cellStyle name="Normal 7 9 7 2 3" xfId="19814"/>
    <cellStyle name="Normal 7 9 7 2 4" xfId="36268"/>
    <cellStyle name="Normal 7 9 7 3" xfId="5009"/>
    <cellStyle name="Normal 7 9 7 3 2" xfId="13234"/>
    <cellStyle name="Normal 7 9 7 3 2 2" xfId="29684"/>
    <cellStyle name="Normal 7 9 7 3 3" xfId="21459"/>
    <cellStyle name="Normal 7 9 7 3 4" xfId="37913"/>
    <cellStyle name="Normal 7 9 7 4" xfId="6654"/>
    <cellStyle name="Normal 7 9 7 4 2" xfId="14879"/>
    <cellStyle name="Normal 7 9 7 4 2 2" xfId="31329"/>
    <cellStyle name="Normal 7 9 7 4 3" xfId="23104"/>
    <cellStyle name="Normal 7 9 7 4 4" xfId="39558"/>
    <cellStyle name="Normal 7 9 7 5" xfId="8299"/>
    <cellStyle name="Normal 7 9 7 5 2" xfId="16524"/>
    <cellStyle name="Normal 7 9 7 5 2 2" xfId="32974"/>
    <cellStyle name="Normal 7 9 7 5 3" xfId="24749"/>
    <cellStyle name="Normal 7 9 7 5 4" xfId="41203"/>
    <cellStyle name="Normal 7 9 7 6" xfId="9944"/>
    <cellStyle name="Normal 7 9 7 6 2" xfId="26394"/>
    <cellStyle name="Normal 7 9 7 7" xfId="18168"/>
    <cellStyle name="Normal 7 9 7 8" xfId="34622"/>
    <cellStyle name="Normal 7 9 8" xfId="1949"/>
    <cellStyle name="Normal 7 9 8 2" xfId="10179"/>
    <cellStyle name="Normal 7 9 8 2 2" xfId="26629"/>
    <cellStyle name="Normal 7 9 8 3" xfId="18403"/>
    <cellStyle name="Normal 7 9 8 4" xfId="34857"/>
    <cellStyle name="Normal 7 9 9" xfId="3599"/>
    <cellStyle name="Normal 7 9 9 2" xfId="11824"/>
    <cellStyle name="Normal 7 9 9 2 2" xfId="28274"/>
    <cellStyle name="Normal 7 9 9 3" xfId="20049"/>
    <cellStyle name="Normal 7 9 9 4" xfId="36503"/>
    <cellStyle name="Normal 8" xfId="44"/>
    <cellStyle name="Normal 8 10" xfId="530"/>
    <cellStyle name="Normal 8 10 2" xfId="2225"/>
    <cellStyle name="Normal 8 10 2 2" xfId="10450"/>
    <cellStyle name="Normal 8 10 2 2 2" xfId="26900"/>
    <cellStyle name="Normal 8 10 2 3" xfId="18675"/>
    <cellStyle name="Normal 8 10 2 4" xfId="35129"/>
    <cellStyle name="Normal 8 10 3" xfId="3870"/>
    <cellStyle name="Normal 8 10 3 2" xfId="12095"/>
    <cellStyle name="Normal 8 10 3 2 2" xfId="28545"/>
    <cellStyle name="Normal 8 10 3 3" xfId="20320"/>
    <cellStyle name="Normal 8 10 3 4" xfId="36774"/>
    <cellStyle name="Normal 8 10 4" xfId="5515"/>
    <cellStyle name="Normal 8 10 4 2" xfId="13740"/>
    <cellStyle name="Normal 8 10 4 2 2" xfId="30190"/>
    <cellStyle name="Normal 8 10 4 3" xfId="21965"/>
    <cellStyle name="Normal 8 10 4 4" xfId="38419"/>
    <cellStyle name="Normal 8 10 5" xfId="7160"/>
    <cellStyle name="Normal 8 10 5 2" xfId="15385"/>
    <cellStyle name="Normal 8 10 5 2 2" xfId="31835"/>
    <cellStyle name="Normal 8 10 5 3" xfId="23610"/>
    <cellStyle name="Normal 8 10 5 4" xfId="40064"/>
    <cellStyle name="Normal 8 10 6" xfId="8805"/>
    <cellStyle name="Normal 8 10 6 2" xfId="25255"/>
    <cellStyle name="Normal 8 10 7" xfId="17029"/>
    <cellStyle name="Normal 8 10 8" xfId="33483"/>
    <cellStyle name="Normal 8 10 9" xfId="41710"/>
    <cellStyle name="Normal 8 11" xfId="765"/>
    <cellStyle name="Normal 8 11 2" xfId="2460"/>
    <cellStyle name="Normal 8 11 2 2" xfId="10685"/>
    <cellStyle name="Normal 8 11 2 2 2" xfId="27135"/>
    <cellStyle name="Normal 8 11 2 3" xfId="18910"/>
    <cellStyle name="Normal 8 11 2 4" xfId="35364"/>
    <cellStyle name="Normal 8 11 3" xfId="4105"/>
    <cellStyle name="Normal 8 11 3 2" xfId="12330"/>
    <cellStyle name="Normal 8 11 3 2 2" xfId="28780"/>
    <cellStyle name="Normal 8 11 3 3" xfId="20555"/>
    <cellStyle name="Normal 8 11 3 4" xfId="37009"/>
    <cellStyle name="Normal 8 11 4" xfId="5750"/>
    <cellStyle name="Normal 8 11 4 2" xfId="13975"/>
    <cellStyle name="Normal 8 11 4 2 2" xfId="30425"/>
    <cellStyle name="Normal 8 11 4 3" xfId="22200"/>
    <cellStyle name="Normal 8 11 4 4" xfId="38654"/>
    <cellStyle name="Normal 8 11 5" xfId="7395"/>
    <cellStyle name="Normal 8 11 5 2" xfId="15620"/>
    <cellStyle name="Normal 8 11 5 2 2" xfId="32070"/>
    <cellStyle name="Normal 8 11 5 3" xfId="23845"/>
    <cellStyle name="Normal 8 11 5 4" xfId="40299"/>
    <cellStyle name="Normal 8 11 6" xfId="9040"/>
    <cellStyle name="Normal 8 11 6 2" xfId="25490"/>
    <cellStyle name="Normal 8 11 7" xfId="17264"/>
    <cellStyle name="Normal 8 11 8" xfId="33718"/>
    <cellStyle name="Normal 8 11 9" xfId="41945"/>
    <cellStyle name="Normal 8 12" xfId="1000"/>
    <cellStyle name="Normal 8 12 2" xfId="2695"/>
    <cellStyle name="Normal 8 12 2 2" xfId="10920"/>
    <cellStyle name="Normal 8 12 2 2 2" xfId="27370"/>
    <cellStyle name="Normal 8 12 2 3" xfId="19145"/>
    <cellStyle name="Normal 8 12 2 4" xfId="35599"/>
    <cellStyle name="Normal 8 12 3" xfId="4340"/>
    <cellStyle name="Normal 8 12 3 2" xfId="12565"/>
    <cellStyle name="Normal 8 12 3 2 2" xfId="29015"/>
    <cellStyle name="Normal 8 12 3 3" xfId="20790"/>
    <cellStyle name="Normal 8 12 3 4" xfId="37244"/>
    <cellStyle name="Normal 8 12 4" xfId="5985"/>
    <cellStyle name="Normal 8 12 4 2" xfId="14210"/>
    <cellStyle name="Normal 8 12 4 2 2" xfId="30660"/>
    <cellStyle name="Normal 8 12 4 3" xfId="22435"/>
    <cellStyle name="Normal 8 12 4 4" xfId="38889"/>
    <cellStyle name="Normal 8 12 5" xfId="7630"/>
    <cellStyle name="Normal 8 12 5 2" xfId="15855"/>
    <cellStyle name="Normal 8 12 5 2 2" xfId="32305"/>
    <cellStyle name="Normal 8 12 5 3" xfId="24080"/>
    <cellStyle name="Normal 8 12 5 4" xfId="40534"/>
    <cellStyle name="Normal 8 12 6" xfId="9275"/>
    <cellStyle name="Normal 8 12 6 2" xfId="25725"/>
    <cellStyle name="Normal 8 12 7" xfId="17499"/>
    <cellStyle name="Normal 8 12 8" xfId="33953"/>
    <cellStyle name="Normal 8 12 9" xfId="42180"/>
    <cellStyle name="Normal 8 13" xfId="1280"/>
    <cellStyle name="Normal 8 13 2" xfId="2930"/>
    <cellStyle name="Normal 8 13 2 2" xfId="11155"/>
    <cellStyle name="Normal 8 13 2 2 2" xfId="27605"/>
    <cellStyle name="Normal 8 13 2 3" xfId="19380"/>
    <cellStyle name="Normal 8 13 2 4" xfId="35834"/>
    <cellStyle name="Normal 8 13 3" xfId="4575"/>
    <cellStyle name="Normal 8 13 3 2" xfId="12800"/>
    <cellStyle name="Normal 8 13 3 2 2" xfId="29250"/>
    <cellStyle name="Normal 8 13 3 3" xfId="21025"/>
    <cellStyle name="Normal 8 13 3 4" xfId="37479"/>
    <cellStyle name="Normal 8 13 4" xfId="6220"/>
    <cellStyle name="Normal 8 13 4 2" xfId="14445"/>
    <cellStyle name="Normal 8 13 4 2 2" xfId="30895"/>
    <cellStyle name="Normal 8 13 4 3" xfId="22670"/>
    <cellStyle name="Normal 8 13 4 4" xfId="39124"/>
    <cellStyle name="Normal 8 13 5" xfId="7865"/>
    <cellStyle name="Normal 8 13 5 2" xfId="16090"/>
    <cellStyle name="Normal 8 13 5 2 2" xfId="32540"/>
    <cellStyle name="Normal 8 13 5 3" xfId="24315"/>
    <cellStyle name="Normal 8 13 5 4" xfId="40769"/>
    <cellStyle name="Normal 8 13 6" xfId="9510"/>
    <cellStyle name="Normal 8 13 6 2" xfId="25960"/>
    <cellStyle name="Normal 8 13 7" xfId="17734"/>
    <cellStyle name="Normal 8 13 8" xfId="34188"/>
    <cellStyle name="Normal 8 14" xfId="1515"/>
    <cellStyle name="Normal 8 14 2" xfId="3165"/>
    <cellStyle name="Normal 8 14 2 2" xfId="11390"/>
    <cellStyle name="Normal 8 14 2 2 2" xfId="27840"/>
    <cellStyle name="Normal 8 14 2 3" xfId="19615"/>
    <cellStyle name="Normal 8 14 2 4" xfId="36069"/>
    <cellStyle name="Normal 8 14 3" xfId="4810"/>
    <cellStyle name="Normal 8 14 3 2" xfId="13035"/>
    <cellStyle name="Normal 8 14 3 2 2" xfId="29485"/>
    <cellStyle name="Normal 8 14 3 3" xfId="21260"/>
    <cellStyle name="Normal 8 14 3 4" xfId="37714"/>
    <cellStyle name="Normal 8 14 4" xfId="6455"/>
    <cellStyle name="Normal 8 14 4 2" xfId="14680"/>
    <cellStyle name="Normal 8 14 4 2 2" xfId="31130"/>
    <cellStyle name="Normal 8 14 4 3" xfId="22905"/>
    <cellStyle name="Normal 8 14 4 4" xfId="39359"/>
    <cellStyle name="Normal 8 14 5" xfId="8100"/>
    <cellStyle name="Normal 8 14 5 2" xfId="16325"/>
    <cellStyle name="Normal 8 14 5 2 2" xfId="32775"/>
    <cellStyle name="Normal 8 14 5 3" xfId="24550"/>
    <cellStyle name="Normal 8 14 5 4" xfId="41004"/>
    <cellStyle name="Normal 8 14 6" xfId="9745"/>
    <cellStyle name="Normal 8 14 6 2" xfId="26195"/>
    <cellStyle name="Normal 8 14 7" xfId="17969"/>
    <cellStyle name="Normal 8 14 8" xfId="34423"/>
    <cellStyle name="Normal 8 15" xfId="1750"/>
    <cellStyle name="Normal 8 15 2" xfId="9980"/>
    <cellStyle name="Normal 8 15 2 2" xfId="26430"/>
    <cellStyle name="Normal 8 15 3" xfId="18204"/>
    <cellStyle name="Normal 8 15 4" xfId="34658"/>
    <cellStyle name="Normal 8 16" xfId="3400"/>
    <cellStyle name="Normal 8 16 2" xfId="11625"/>
    <cellStyle name="Normal 8 16 2 2" xfId="28075"/>
    <cellStyle name="Normal 8 16 3" xfId="19850"/>
    <cellStyle name="Normal 8 16 4" xfId="36304"/>
    <cellStyle name="Normal 8 17" xfId="5045"/>
    <cellStyle name="Normal 8 17 2" xfId="13270"/>
    <cellStyle name="Normal 8 17 2 2" xfId="29720"/>
    <cellStyle name="Normal 8 17 3" xfId="21495"/>
    <cellStyle name="Normal 8 17 4" xfId="37949"/>
    <cellStyle name="Normal 8 18" xfId="6690"/>
    <cellStyle name="Normal 8 18 2" xfId="14915"/>
    <cellStyle name="Normal 8 18 2 2" xfId="31365"/>
    <cellStyle name="Normal 8 18 3" xfId="23140"/>
    <cellStyle name="Normal 8 18 4" xfId="39594"/>
    <cellStyle name="Normal 8 19" xfId="8335"/>
    <cellStyle name="Normal 8 19 2" xfId="24785"/>
    <cellStyle name="Normal 8 2" xfId="71"/>
    <cellStyle name="Normal 8 2 10" xfId="3425"/>
    <cellStyle name="Normal 8 2 10 2" xfId="11650"/>
    <cellStyle name="Normal 8 2 10 2 2" xfId="28100"/>
    <cellStyle name="Normal 8 2 10 3" xfId="19875"/>
    <cellStyle name="Normal 8 2 10 4" xfId="36329"/>
    <cellStyle name="Normal 8 2 11" xfId="5070"/>
    <cellStyle name="Normal 8 2 11 2" xfId="13295"/>
    <cellStyle name="Normal 8 2 11 2 2" xfId="29745"/>
    <cellStyle name="Normal 8 2 11 3" xfId="21520"/>
    <cellStyle name="Normal 8 2 11 4" xfId="37974"/>
    <cellStyle name="Normal 8 2 12" xfId="6715"/>
    <cellStyle name="Normal 8 2 12 2" xfId="14940"/>
    <cellStyle name="Normal 8 2 12 2 2" xfId="31390"/>
    <cellStyle name="Normal 8 2 12 3" xfId="23165"/>
    <cellStyle name="Normal 8 2 12 4" xfId="39619"/>
    <cellStyle name="Normal 8 2 13" xfId="8360"/>
    <cellStyle name="Normal 8 2 13 2" xfId="24810"/>
    <cellStyle name="Normal 8 2 14" xfId="16584"/>
    <cellStyle name="Normal 8 2 15" xfId="33037"/>
    <cellStyle name="Normal 8 2 16" xfId="41265"/>
    <cellStyle name="Normal 8 2 2" xfId="121"/>
    <cellStyle name="Normal 8 2 2 10" xfId="5120"/>
    <cellStyle name="Normal 8 2 2 10 2" xfId="13345"/>
    <cellStyle name="Normal 8 2 2 10 2 2" xfId="29795"/>
    <cellStyle name="Normal 8 2 2 10 3" xfId="21570"/>
    <cellStyle name="Normal 8 2 2 10 4" xfId="38024"/>
    <cellStyle name="Normal 8 2 2 11" xfId="6765"/>
    <cellStyle name="Normal 8 2 2 11 2" xfId="14990"/>
    <cellStyle name="Normal 8 2 2 11 2 2" xfId="31440"/>
    <cellStyle name="Normal 8 2 2 11 3" xfId="23215"/>
    <cellStyle name="Normal 8 2 2 11 4" xfId="39669"/>
    <cellStyle name="Normal 8 2 2 12" xfId="8410"/>
    <cellStyle name="Normal 8 2 2 12 2" xfId="24860"/>
    <cellStyle name="Normal 8 2 2 13" xfId="16634"/>
    <cellStyle name="Normal 8 2 2 14" xfId="33087"/>
    <cellStyle name="Normal 8 2 2 15" xfId="41315"/>
    <cellStyle name="Normal 8 2 2 2" xfId="364"/>
    <cellStyle name="Normal 8 2 2 2 2" xfId="2063"/>
    <cellStyle name="Normal 8 2 2 2 2 2" xfId="10290"/>
    <cellStyle name="Normal 8 2 2 2 2 2 2" xfId="26740"/>
    <cellStyle name="Normal 8 2 2 2 2 3" xfId="18515"/>
    <cellStyle name="Normal 8 2 2 2 2 4" xfId="34969"/>
    <cellStyle name="Normal 8 2 2 2 3" xfId="3710"/>
    <cellStyle name="Normal 8 2 2 2 3 2" xfId="11935"/>
    <cellStyle name="Normal 8 2 2 2 3 2 2" xfId="28385"/>
    <cellStyle name="Normal 8 2 2 2 3 3" xfId="20160"/>
    <cellStyle name="Normal 8 2 2 2 3 4" xfId="36614"/>
    <cellStyle name="Normal 8 2 2 2 4" xfId="5355"/>
    <cellStyle name="Normal 8 2 2 2 4 2" xfId="13580"/>
    <cellStyle name="Normal 8 2 2 2 4 2 2" xfId="30030"/>
    <cellStyle name="Normal 8 2 2 2 4 3" xfId="21805"/>
    <cellStyle name="Normal 8 2 2 2 4 4" xfId="38259"/>
    <cellStyle name="Normal 8 2 2 2 5" xfId="7000"/>
    <cellStyle name="Normal 8 2 2 2 5 2" xfId="15225"/>
    <cellStyle name="Normal 8 2 2 2 5 2 2" xfId="31675"/>
    <cellStyle name="Normal 8 2 2 2 5 3" xfId="23450"/>
    <cellStyle name="Normal 8 2 2 2 5 4" xfId="39904"/>
    <cellStyle name="Normal 8 2 2 2 6" xfId="8645"/>
    <cellStyle name="Normal 8 2 2 2 6 2" xfId="25095"/>
    <cellStyle name="Normal 8 2 2 2 7" xfId="16869"/>
    <cellStyle name="Normal 8 2 2 2 8" xfId="33323"/>
    <cellStyle name="Normal 8 2 2 2 9" xfId="41550"/>
    <cellStyle name="Normal 8 2 2 3" xfId="605"/>
    <cellStyle name="Normal 8 2 2 3 2" xfId="2300"/>
    <cellStyle name="Normal 8 2 2 3 2 2" xfId="10525"/>
    <cellStyle name="Normal 8 2 2 3 2 2 2" xfId="26975"/>
    <cellStyle name="Normal 8 2 2 3 2 3" xfId="18750"/>
    <cellStyle name="Normal 8 2 2 3 2 4" xfId="35204"/>
    <cellStyle name="Normal 8 2 2 3 3" xfId="3945"/>
    <cellStyle name="Normal 8 2 2 3 3 2" xfId="12170"/>
    <cellStyle name="Normal 8 2 2 3 3 2 2" xfId="28620"/>
    <cellStyle name="Normal 8 2 2 3 3 3" xfId="20395"/>
    <cellStyle name="Normal 8 2 2 3 3 4" xfId="36849"/>
    <cellStyle name="Normal 8 2 2 3 4" xfId="5590"/>
    <cellStyle name="Normal 8 2 2 3 4 2" xfId="13815"/>
    <cellStyle name="Normal 8 2 2 3 4 2 2" xfId="30265"/>
    <cellStyle name="Normal 8 2 2 3 4 3" xfId="22040"/>
    <cellStyle name="Normal 8 2 2 3 4 4" xfId="38494"/>
    <cellStyle name="Normal 8 2 2 3 5" xfId="7235"/>
    <cellStyle name="Normal 8 2 2 3 5 2" xfId="15460"/>
    <cellStyle name="Normal 8 2 2 3 5 2 2" xfId="31910"/>
    <cellStyle name="Normal 8 2 2 3 5 3" xfId="23685"/>
    <cellStyle name="Normal 8 2 2 3 5 4" xfId="40139"/>
    <cellStyle name="Normal 8 2 2 3 6" xfId="8880"/>
    <cellStyle name="Normal 8 2 2 3 6 2" xfId="25330"/>
    <cellStyle name="Normal 8 2 2 3 7" xfId="17104"/>
    <cellStyle name="Normal 8 2 2 3 8" xfId="33558"/>
    <cellStyle name="Normal 8 2 2 3 9" xfId="41785"/>
    <cellStyle name="Normal 8 2 2 4" xfId="840"/>
    <cellStyle name="Normal 8 2 2 4 2" xfId="2535"/>
    <cellStyle name="Normal 8 2 2 4 2 2" xfId="10760"/>
    <cellStyle name="Normal 8 2 2 4 2 2 2" xfId="27210"/>
    <cellStyle name="Normal 8 2 2 4 2 3" xfId="18985"/>
    <cellStyle name="Normal 8 2 2 4 2 4" xfId="35439"/>
    <cellStyle name="Normal 8 2 2 4 3" xfId="4180"/>
    <cellStyle name="Normal 8 2 2 4 3 2" xfId="12405"/>
    <cellStyle name="Normal 8 2 2 4 3 2 2" xfId="28855"/>
    <cellStyle name="Normal 8 2 2 4 3 3" xfId="20630"/>
    <cellStyle name="Normal 8 2 2 4 3 4" xfId="37084"/>
    <cellStyle name="Normal 8 2 2 4 4" xfId="5825"/>
    <cellStyle name="Normal 8 2 2 4 4 2" xfId="14050"/>
    <cellStyle name="Normal 8 2 2 4 4 2 2" xfId="30500"/>
    <cellStyle name="Normal 8 2 2 4 4 3" xfId="22275"/>
    <cellStyle name="Normal 8 2 2 4 4 4" xfId="38729"/>
    <cellStyle name="Normal 8 2 2 4 5" xfId="7470"/>
    <cellStyle name="Normal 8 2 2 4 5 2" xfId="15695"/>
    <cellStyle name="Normal 8 2 2 4 5 2 2" xfId="32145"/>
    <cellStyle name="Normal 8 2 2 4 5 3" xfId="23920"/>
    <cellStyle name="Normal 8 2 2 4 5 4" xfId="40374"/>
    <cellStyle name="Normal 8 2 2 4 6" xfId="9115"/>
    <cellStyle name="Normal 8 2 2 4 6 2" xfId="25565"/>
    <cellStyle name="Normal 8 2 2 4 7" xfId="17339"/>
    <cellStyle name="Normal 8 2 2 4 8" xfId="33793"/>
    <cellStyle name="Normal 8 2 2 4 9" xfId="42020"/>
    <cellStyle name="Normal 8 2 2 5" xfId="1075"/>
    <cellStyle name="Normal 8 2 2 5 2" xfId="2770"/>
    <cellStyle name="Normal 8 2 2 5 2 2" xfId="10995"/>
    <cellStyle name="Normal 8 2 2 5 2 2 2" xfId="27445"/>
    <cellStyle name="Normal 8 2 2 5 2 3" xfId="19220"/>
    <cellStyle name="Normal 8 2 2 5 2 4" xfId="35674"/>
    <cellStyle name="Normal 8 2 2 5 3" xfId="4415"/>
    <cellStyle name="Normal 8 2 2 5 3 2" xfId="12640"/>
    <cellStyle name="Normal 8 2 2 5 3 2 2" xfId="29090"/>
    <cellStyle name="Normal 8 2 2 5 3 3" xfId="20865"/>
    <cellStyle name="Normal 8 2 2 5 3 4" xfId="37319"/>
    <cellStyle name="Normal 8 2 2 5 4" xfId="6060"/>
    <cellStyle name="Normal 8 2 2 5 4 2" xfId="14285"/>
    <cellStyle name="Normal 8 2 2 5 4 2 2" xfId="30735"/>
    <cellStyle name="Normal 8 2 2 5 4 3" xfId="22510"/>
    <cellStyle name="Normal 8 2 2 5 4 4" xfId="38964"/>
    <cellStyle name="Normal 8 2 2 5 5" xfId="7705"/>
    <cellStyle name="Normal 8 2 2 5 5 2" xfId="15930"/>
    <cellStyle name="Normal 8 2 2 5 5 2 2" xfId="32380"/>
    <cellStyle name="Normal 8 2 2 5 5 3" xfId="24155"/>
    <cellStyle name="Normal 8 2 2 5 5 4" xfId="40609"/>
    <cellStyle name="Normal 8 2 2 5 6" xfId="9350"/>
    <cellStyle name="Normal 8 2 2 5 6 2" xfId="25800"/>
    <cellStyle name="Normal 8 2 2 5 7" xfId="17574"/>
    <cellStyle name="Normal 8 2 2 5 8" xfId="34028"/>
    <cellStyle name="Normal 8 2 2 5 9" xfId="42255"/>
    <cellStyle name="Normal 8 2 2 6" xfId="1355"/>
    <cellStyle name="Normal 8 2 2 6 2" xfId="3005"/>
    <cellStyle name="Normal 8 2 2 6 2 2" xfId="11230"/>
    <cellStyle name="Normal 8 2 2 6 2 2 2" xfId="27680"/>
    <cellStyle name="Normal 8 2 2 6 2 3" xfId="19455"/>
    <cellStyle name="Normal 8 2 2 6 2 4" xfId="35909"/>
    <cellStyle name="Normal 8 2 2 6 3" xfId="4650"/>
    <cellStyle name="Normal 8 2 2 6 3 2" xfId="12875"/>
    <cellStyle name="Normal 8 2 2 6 3 2 2" xfId="29325"/>
    <cellStyle name="Normal 8 2 2 6 3 3" xfId="21100"/>
    <cellStyle name="Normal 8 2 2 6 3 4" xfId="37554"/>
    <cellStyle name="Normal 8 2 2 6 4" xfId="6295"/>
    <cellStyle name="Normal 8 2 2 6 4 2" xfId="14520"/>
    <cellStyle name="Normal 8 2 2 6 4 2 2" xfId="30970"/>
    <cellStyle name="Normal 8 2 2 6 4 3" xfId="22745"/>
    <cellStyle name="Normal 8 2 2 6 4 4" xfId="39199"/>
    <cellStyle name="Normal 8 2 2 6 5" xfId="7940"/>
    <cellStyle name="Normal 8 2 2 6 5 2" xfId="16165"/>
    <cellStyle name="Normal 8 2 2 6 5 2 2" xfId="32615"/>
    <cellStyle name="Normal 8 2 2 6 5 3" xfId="24390"/>
    <cellStyle name="Normal 8 2 2 6 5 4" xfId="40844"/>
    <cellStyle name="Normal 8 2 2 6 6" xfId="9585"/>
    <cellStyle name="Normal 8 2 2 6 6 2" xfId="26035"/>
    <cellStyle name="Normal 8 2 2 6 7" xfId="17809"/>
    <cellStyle name="Normal 8 2 2 6 8" xfId="34263"/>
    <cellStyle name="Normal 8 2 2 7" xfId="1590"/>
    <cellStyle name="Normal 8 2 2 7 2" xfId="3240"/>
    <cellStyle name="Normal 8 2 2 7 2 2" xfId="11465"/>
    <cellStyle name="Normal 8 2 2 7 2 2 2" xfId="27915"/>
    <cellStyle name="Normal 8 2 2 7 2 3" xfId="19690"/>
    <cellStyle name="Normal 8 2 2 7 2 4" xfId="36144"/>
    <cellStyle name="Normal 8 2 2 7 3" xfId="4885"/>
    <cellStyle name="Normal 8 2 2 7 3 2" xfId="13110"/>
    <cellStyle name="Normal 8 2 2 7 3 2 2" xfId="29560"/>
    <cellStyle name="Normal 8 2 2 7 3 3" xfId="21335"/>
    <cellStyle name="Normal 8 2 2 7 3 4" xfId="37789"/>
    <cellStyle name="Normal 8 2 2 7 4" xfId="6530"/>
    <cellStyle name="Normal 8 2 2 7 4 2" xfId="14755"/>
    <cellStyle name="Normal 8 2 2 7 4 2 2" xfId="31205"/>
    <cellStyle name="Normal 8 2 2 7 4 3" xfId="22980"/>
    <cellStyle name="Normal 8 2 2 7 4 4" xfId="39434"/>
    <cellStyle name="Normal 8 2 2 7 5" xfId="8175"/>
    <cellStyle name="Normal 8 2 2 7 5 2" xfId="16400"/>
    <cellStyle name="Normal 8 2 2 7 5 2 2" xfId="32850"/>
    <cellStyle name="Normal 8 2 2 7 5 3" xfId="24625"/>
    <cellStyle name="Normal 8 2 2 7 5 4" xfId="41079"/>
    <cellStyle name="Normal 8 2 2 7 6" xfId="9820"/>
    <cellStyle name="Normal 8 2 2 7 6 2" xfId="26270"/>
    <cellStyle name="Normal 8 2 2 7 7" xfId="18044"/>
    <cellStyle name="Normal 8 2 2 7 8" xfId="34498"/>
    <cellStyle name="Normal 8 2 2 8" xfId="1825"/>
    <cellStyle name="Normal 8 2 2 8 2" xfId="10055"/>
    <cellStyle name="Normal 8 2 2 8 2 2" xfId="26505"/>
    <cellStyle name="Normal 8 2 2 8 3" xfId="18279"/>
    <cellStyle name="Normal 8 2 2 8 4" xfId="34733"/>
    <cellStyle name="Normal 8 2 2 9" xfId="3475"/>
    <cellStyle name="Normal 8 2 2 9 2" xfId="11700"/>
    <cellStyle name="Normal 8 2 2 9 2 2" xfId="28150"/>
    <cellStyle name="Normal 8 2 2 9 3" xfId="19925"/>
    <cellStyle name="Normal 8 2 2 9 4" xfId="36379"/>
    <cellStyle name="Normal 8 2 3" xfId="314"/>
    <cellStyle name="Normal 8 2 3 2" xfId="2013"/>
    <cellStyle name="Normal 8 2 3 2 2" xfId="10240"/>
    <cellStyle name="Normal 8 2 3 2 2 2" xfId="26690"/>
    <cellStyle name="Normal 8 2 3 2 3" xfId="18465"/>
    <cellStyle name="Normal 8 2 3 2 4" xfId="34919"/>
    <cellStyle name="Normal 8 2 3 3" xfId="3660"/>
    <cellStyle name="Normal 8 2 3 3 2" xfId="11885"/>
    <cellStyle name="Normal 8 2 3 3 2 2" xfId="28335"/>
    <cellStyle name="Normal 8 2 3 3 3" xfId="20110"/>
    <cellStyle name="Normal 8 2 3 3 4" xfId="36564"/>
    <cellStyle name="Normal 8 2 3 4" xfId="5305"/>
    <cellStyle name="Normal 8 2 3 4 2" xfId="13530"/>
    <cellStyle name="Normal 8 2 3 4 2 2" xfId="29980"/>
    <cellStyle name="Normal 8 2 3 4 3" xfId="21755"/>
    <cellStyle name="Normal 8 2 3 4 4" xfId="38209"/>
    <cellStyle name="Normal 8 2 3 5" xfId="6950"/>
    <cellStyle name="Normal 8 2 3 5 2" xfId="15175"/>
    <cellStyle name="Normal 8 2 3 5 2 2" xfId="31625"/>
    <cellStyle name="Normal 8 2 3 5 3" xfId="23400"/>
    <cellStyle name="Normal 8 2 3 5 4" xfId="39854"/>
    <cellStyle name="Normal 8 2 3 6" xfId="8595"/>
    <cellStyle name="Normal 8 2 3 6 2" xfId="25045"/>
    <cellStyle name="Normal 8 2 3 7" xfId="16819"/>
    <cellStyle name="Normal 8 2 3 8" xfId="33273"/>
    <cellStyle name="Normal 8 2 3 9" xfId="41500"/>
    <cellStyle name="Normal 8 2 4" xfId="555"/>
    <cellStyle name="Normal 8 2 4 2" xfId="2250"/>
    <cellStyle name="Normal 8 2 4 2 2" xfId="10475"/>
    <cellStyle name="Normal 8 2 4 2 2 2" xfId="26925"/>
    <cellStyle name="Normal 8 2 4 2 3" xfId="18700"/>
    <cellStyle name="Normal 8 2 4 2 4" xfId="35154"/>
    <cellStyle name="Normal 8 2 4 3" xfId="3895"/>
    <cellStyle name="Normal 8 2 4 3 2" xfId="12120"/>
    <cellStyle name="Normal 8 2 4 3 2 2" xfId="28570"/>
    <cellStyle name="Normal 8 2 4 3 3" xfId="20345"/>
    <cellStyle name="Normal 8 2 4 3 4" xfId="36799"/>
    <cellStyle name="Normal 8 2 4 4" xfId="5540"/>
    <cellStyle name="Normal 8 2 4 4 2" xfId="13765"/>
    <cellStyle name="Normal 8 2 4 4 2 2" xfId="30215"/>
    <cellStyle name="Normal 8 2 4 4 3" xfId="21990"/>
    <cellStyle name="Normal 8 2 4 4 4" xfId="38444"/>
    <cellStyle name="Normal 8 2 4 5" xfId="7185"/>
    <cellStyle name="Normal 8 2 4 5 2" xfId="15410"/>
    <cellStyle name="Normal 8 2 4 5 2 2" xfId="31860"/>
    <cellStyle name="Normal 8 2 4 5 3" xfId="23635"/>
    <cellStyle name="Normal 8 2 4 5 4" xfId="40089"/>
    <cellStyle name="Normal 8 2 4 6" xfId="8830"/>
    <cellStyle name="Normal 8 2 4 6 2" xfId="25280"/>
    <cellStyle name="Normal 8 2 4 7" xfId="17054"/>
    <cellStyle name="Normal 8 2 4 8" xfId="33508"/>
    <cellStyle name="Normal 8 2 4 9" xfId="41735"/>
    <cellStyle name="Normal 8 2 5" xfId="790"/>
    <cellStyle name="Normal 8 2 5 2" xfId="2485"/>
    <cellStyle name="Normal 8 2 5 2 2" xfId="10710"/>
    <cellStyle name="Normal 8 2 5 2 2 2" xfId="27160"/>
    <cellStyle name="Normal 8 2 5 2 3" xfId="18935"/>
    <cellStyle name="Normal 8 2 5 2 4" xfId="35389"/>
    <cellStyle name="Normal 8 2 5 3" xfId="4130"/>
    <cellStyle name="Normal 8 2 5 3 2" xfId="12355"/>
    <cellStyle name="Normal 8 2 5 3 2 2" xfId="28805"/>
    <cellStyle name="Normal 8 2 5 3 3" xfId="20580"/>
    <cellStyle name="Normal 8 2 5 3 4" xfId="37034"/>
    <cellStyle name="Normal 8 2 5 4" xfId="5775"/>
    <cellStyle name="Normal 8 2 5 4 2" xfId="14000"/>
    <cellStyle name="Normal 8 2 5 4 2 2" xfId="30450"/>
    <cellStyle name="Normal 8 2 5 4 3" xfId="22225"/>
    <cellStyle name="Normal 8 2 5 4 4" xfId="38679"/>
    <cellStyle name="Normal 8 2 5 5" xfId="7420"/>
    <cellStyle name="Normal 8 2 5 5 2" xfId="15645"/>
    <cellStyle name="Normal 8 2 5 5 2 2" xfId="32095"/>
    <cellStyle name="Normal 8 2 5 5 3" xfId="23870"/>
    <cellStyle name="Normal 8 2 5 5 4" xfId="40324"/>
    <cellStyle name="Normal 8 2 5 6" xfId="9065"/>
    <cellStyle name="Normal 8 2 5 6 2" xfId="25515"/>
    <cellStyle name="Normal 8 2 5 7" xfId="17289"/>
    <cellStyle name="Normal 8 2 5 8" xfId="33743"/>
    <cellStyle name="Normal 8 2 5 9" xfId="41970"/>
    <cellStyle name="Normal 8 2 6" xfId="1025"/>
    <cellStyle name="Normal 8 2 6 2" xfId="2720"/>
    <cellStyle name="Normal 8 2 6 2 2" xfId="10945"/>
    <cellStyle name="Normal 8 2 6 2 2 2" xfId="27395"/>
    <cellStyle name="Normal 8 2 6 2 3" xfId="19170"/>
    <cellStyle name="Normal 8 2 6 2 4" xfId="35624"/>
    <cellStyle name="Normal 8 2 6 3" xfId="4365"/>
    <cellStyle name="Normal 8 2 6 3 2" xfId="12590"/>
    <cellStyle name="Normal 8 2 6 3 2 2" xfId="29040"/>
    <cellStyle name="Normal 8 2 6 3 3" xfId="20815"/>
    <cellStyle name="Normal 8 2 6 3 4" xfId="37269"/>
    <cellStyle name="Normal 8 2 6 4" xfId="6010"/>
    <cellStyle name="Normal 8 2 6 4 2" xfId="14235"/>
    <cellStyle name="Normal 8 2 6 4 2 2" xfId="30685"/>
    <cellStyle name="Normal 8 2 6 4 3" xfId="22460"/>
    <cellStyle name="Normal 8 2 6 4 4" xfId="38914"/>
    <cellStyle name="Normal 8 2 6 5" xfId="7655"/>
    <cellStyle name="Normal 8 2 6 5 2" xfId="15880"/>
    <cellStyle name="Normal 8 2 6 5 2 2" xfId="32330"/>
    <cellStyle name="Normal 8 2 6 5 3" xfId="24105"/>
    <cellStyle name="Normal 8 2 6 5 4" xfId="40559"/>
    <cellStyle name="Normal 8 2 6 6" xfId="9300"/>
    <cellStyle name="Normal 8 2 6 6 2" xfId="25750"/>
    <cellStyle name="Normal 8 2 6 7" xfId="17524"/>
    <cellStyle name="Normal 8 2 6 8" xfId="33978"/>
    <cellStyle name="Normal 8 2 6 9" xfId="42205"/>
    <cellStyle name="Normal 8 2 7" xfId="1305"/>
    <cellStyle name="Normal 8 2 7 2" xfId="2955"/>
    <cellStyle name="Normal 8 2 7 2 2" xfId="11180"/>
    <cellStyle name="Normal 8 2 7 2 2 2" xfId="27630"/>
    <cellStyle name="Normal 8 2 7 2 3" xfId="19405"/>
    <cellStyle name="Normal 8 2 7 2 4" xfId="35859"/>
    <cellStyle name="Normal 8 2 7 3" xfId="4600"/>
    <cellStyle name="Normal 8 2 7 3 2" xfId="12825"/>
    <cellStyle name="Normal 8 2 7 3 2 2" xfId="29275"/>
    <cellStyle name="Normal 8 2 7 3 3" xfId="21050"/>
    <cellStyle name="Normal 8 2 7 3 4" xfId="37504"/>
    <cellStyle name="Normal 8 2 7 4" xfId="6245"/>
    <cellStyle name="Normal 8 2 7 4 2" xfId="14470"/>
    <cellStyle name="Normal 8 2 7 4 2 2" xfId="30920"/>
    <cellStyle name="Normal 8 2 7 4 3" xfId="22695"/>
    <cellStyle name="Normal 8 2 7 4 4" xfId="39149"/>
    <cellStyle name="Normal 8 2 7 5" xfId="7890"/>
    <cellStyle name="Normal 8 2 7 5 2" xfId="16115"/>
    <cellStyle name="Normal 8 2 7 5 2 2" xfId="32565"/>
    <cellStyle name="Normal 8 2 7 5 3" xfId="24340"/>
    <cellStyle name="Normal 8 2 7 5 4" xfId="40794"/>
    <cellStyle name="Normal 8 2 7 6" xfId="9535"/>
    <cellStyle name="Normal 8 2 7 6 2" xfId="25985"/>
    <cellStyle name="Normal 8 2 7 7" xfId="17759"/>
    <cellStyle name="Normal 8 2 7 8" xfId="34213"/>
    <cellStyle name="Normal 8 2 8" xfId="1540"/>
    <cellStyle name="Normal 8 2 8 2" xfId="3190"/>
    <cellStyle name="Normal 8 2 8 2 2" xfId="11415"/>
    <cellStyle name="Normal 8 2 8 2 2 2" xfId="27865"/>
    <cellStyle name="Normal 8 2 8 2 3" xfId="19640"/>
    <cellStyle name="Normal 8 2 8 2 4" xfId="36094"/>
    <cellStyle name="Normal 8 2 8 3" xfId="4835"/>
    <cellStyle name="Normal 8 2 8 3 2" xfId="13060"/>
    <cellStyle name="Normal 8 2 8 3 2 2" xfId="29510"/>
    <cellStyle name="Normal 8 2 8 3 3" xfId="21285"/>
    <cellStyle name="Normal 8 2 8 3 4" xfId="37739"/>
    <cellStyle name="Normal 8 2 8 4" xfId="6480"/>
    <cellStyle name="Normal 8 2 8 4 2" xfId="14705"/>
    <cellStyle name="Normal 8 2 8 4 2 2" xfId="31155"/>
    <cellStyle name="Normal 8 2 8 4 3" xfId="22930"/>
    <cellStyle name="Normal 8 2 8 4 4" xfId="39384"/>
    <cellStyle name="Normal 8 2 8 5" xfId="8125"/>
    <cellStyle name="Normal 8 2 8 5 2" xfId="16350"/>
    <cellStyle name="Normal 8 2 8 5 2 2" xfId="32800"/>
    <cellStyle name="Normal 8 2 8 5 3" xfId="24575"/>
    <cellStyle name="Normal 8 2 8 5 4" xfId="41029"/>
    <cellStyle name="Normal 8 2 8 6" xfId="9770"/>
    <cellStyle name="Normal 8 2 8 6 2" xfId="26220"/>
    <cellStyle name="Normal 8 2 8 7" xfId="17994"/>
    <cellStyle name="Normal 8 2 8 8" xfId="34448"/>
    <cellStyle name="Normal 8 2 9" xfId="1775"/>
    <cellStyle name="Normal 8 2 9 2" xfId="10005"/>
    <cellStyle name="Normal 8 2 9 2 2" xfId="26455"/>
    <cellStyle name="Normal 8 2 9 3" xfId="18229"/>
    <cellStyle name="Normal 8 2 9 4" xfId="34683"/>
    <cellStyle name="Normal 8 20" xfId="16559"/>
    <cellStyle name="Normal 8 21" xfId="33012"/>
    <cellStyle name="Normal 8 22" xfId="41240"/>
    <cellStyle name="Normal 8 3" xfId="96"/>
    <cellStyle name="Normal 8 3 10" xfId="5095"/>
    <cellStyle name="Normal 8 3 10 2" xfId="13320"/>
    <cellStyle name="Normal 8 3 10 2 2" xfId="29770"/>
    <cellStyle name="Normal 8 3 10 3" xfId="21545"/>
    <cellStyle name="Normal 8 3 10 4" xfId="37999"/>
    <cellStyle name="Normal 8 3 11" xfId="6740"/>
    <cellStyle name="Normal 8 3 11 2" xfId="14965"/>
    <cellStyle name="Normal 8 3 11 2 2" xfId="31415"/>
    <cellStyle name="Normal 8 3 11 3" xfId="23190"/>
    <cellStyle name="Normal 8 3 11 4" xfId="39644"/>
    <cellStyle name="Normal 8 3 12" xfId="8385"/>
    <cellStyle name="Normal 8 3 12 2" xfId="24835"/>
    <cellStyle name="Normal 8 3 13" xfId="16609"/>
    <cellStyle name="Normal 8 3 14" xfId="33062"/>
    <cellStyle name="Normal 8 3 15" xfId="41290"/>
    <cellStyle name="Normal 8 3 2" xfId="339"/>
    <cellStyle name="Normal 8 3 2 2" xfId="2038"/>
    <cellStyle name="Normal 8 3 2 2 2" xfId="10265"/>
    <cellStyle name="Normal 8 3 2 2 2 2" xfId="26715"/>
    <cellStyle name="Normal 8 3 2 2 3" xfId="18490"/>
    <cellStyle name="Normal 8 3 2 2 4" xfId="34944"/>
    <cellStyle name="Normal 8 3 2 3" xfId="3685"/>
    <cellStyle name="Normal 8 3 2 3 2" xfId="11910"/>
    <cellStyle name="Normal 8 3 2 3 2 2" xfId="28360"/>
    <cellStyle name="Normal 8 3 2 3 3" xfId="20135"/>
    <cellStyle name="Normal 8 3 2 3 4" xfId="36589"/>
    <cellStyle name="Normal 8 3 2 4" xfId="5330"/>
    <cellStyle name="Normal 8 3 2 4 2" xfId="13555"/>
    <cellStyle name="Normal 8 3 2 4 2 2" xfId="30005"/>
    <cellStyle name="Normal 8 3 2 4 3" xfId="21780"/>
    <cellStyle name="Normal 8 3 2 4 4" xfId="38234"/>
    <cellStyle name="Normal 8 3 2 5" xfId="6975"/>
    <cellStyle name="Normal 8 3 2 5 2" xfId="15200"/>
    <cellStyle name="Normal 8 3 2 5 2 2" xfId="31650"/>
    <cellStyle name="Normal 8 3 2 5 3" xfId="23425"/>
    <cellStyle name="Normal 8 3 2 5 4" xfId="39879"/>
    <cellStyle name="Normal 8 3 2 6" xfId="8620"/>
    <cellStyle name="Normal 8 3 2 6 2" xfId="25070"/>
    <cellStyle name="Normal 8 3 2 7" xfId="16844"/>
    <cellStyle name="Normal 8 3 2 8" xfId="33298"/>
    <cellStyle name="Normal 8 3 2 9" xfId="41525"/>
    <cellStyle name="Normal 8 3 3" xfId="580"/>
    <cellStyle name="Normal 8 3 3 2" xfId="2275"/>
    <cellStyle name="Normal 8 3 3 2 2" xfId="10500"/>
    <cellStyle name="Normal 8 3 3 2 2 2" xfId="26950"/>
    <cellStyle name="Normal 8 3 3 2 3" xfId="18725"/>
    <cellStyle name="Normal 8 3 3 2 4" xfId="35179"/>
    <cellStyle name="Normal 8 3 3 3" xfId="3920"/>
    <cellStyle name="Normal 8 3 3 3 2" xfId="12145"/>
    <cellStyle name="Normal 8 3 3 3 2 2" xfId="28595"/>
    <cellStyle name="Normal 8 3 3 3 3" xfId="20370"/>
    <cellStyle name="Normal 8 3 3 3 4" xfId="36824"/>
    <cellStyle name="Normal 8 3 3 4" xfId="5565"/>
    <cellStyle name="Normal 8 3 3 4 2" xfId="13790"/>
    <cellStyle name="Normal 8 3 3 4 2 2" xfId="30240"/>
    <cellStyle name="Normal 8 3 3 4 3" xfId="22015"/>
    <cellStyle name="Normal 8 3 3 4 4" xfId="38469"/>
    <cellStyle name="Normal 8 3 3 5" xfId="7210"/>
    <cellStyle name="Normal 8 3 3 5 2" xfId="15435"/>
    <cellStyle name="Normal 8 3 3 5 2 2" xfId="31885"/>
    <cellStyle name="Normal 8 3 3 5 3" xfId="23660"/>
    <cellStyle name="Normal 8 3 3 5 4" xfId="40114"/>
    <cellStyle name="Normal 8 3 3 6" xfId="8855"/>
    <cellStyle name="Normal 8 3 3 6 2" xfId="25305"/>
    <cellStyle name="Normal 8 3 3 7" xfId="17079"/>
    <cellStyle name="Normal 8 3 3 8" xfId="33533"/>
    <cellStyle name="Normal 8 3 3 9" xfId="41760"/>
    <cellStyle name="Normal 8 3 4" xfId="815"/>
    <cellStyle name="Normal 8 3 4 2" xfId="2510"/>
    <cellStyle name="Normal 8 3 4 2 2" xfId="10735"/>
    <cellStyle name="Normal 8 3 4 2 2 2" xfId="27185"/>
    <cellStyle name="Normal 8 3 4 2 3" xfId="18960"/>
    <cellStyle name="Normal 8 3 4 2 4" xfId="35414"/>
    <cellStyle name="Normal 8 3 4 3" xfId="4155"/>
    <cellStyle name="Normal 8 3 4 3 2" xfId="12380"/>
    <cellStyle name="Normal 8 3 4 3 2 2" xfId="28830"/>
    <cellStyle name="Normal 8 3 4 3 3" xfId="20605"/>
    <cellStyle name="Normal 8 3 4 3 4" xfId="37059"/>
    <cellStyle name="Normal 8 3 4 4" xfId="5800"/>
    <cellStyle name="Normal 8 3 4 4 2" xfId="14025"/>
    <cellStyle name="Normal 8 3 4 4 2 2" xfId="30475"/>
    <cellStyle name="Normal 8 3 4 4 3" xfId="22250"/>
    <cellStyle name="Normal 8 3 4 4 4" xfId="38704"/>
    <cellStyle name="Normal 8 3 4 5" xfId="7445"/>
    <cellStyle name="Normal 8 3 4 5 2" xfId="15670"/>
    <cellStyle name="Normal 8 3 4 5 2 2" xfId="32120"/>
    <cellStyle name="Normal 8 3 4 5 3" xfId="23895"/>
    <cellStyle name="Normal 8 3 4 5 4" xfId="40349"/>
    <cellStyle name="Normal 8 3 4 6" xfId="9090"/>
    <cellStyle name="Normal 8 3 4 6 2" xfId="25540"/>
    <cellStyle name="Normal 8 3 4 7" xfId="17314"/>
    <cellStyle name="Normal 8 3 4 8" xfId="33768"/>
    <cellStyle name="Normal 8 3 4 9" xfId="41995"/>
    <cellStyle name="Normal 8 3 5" xfId="1050"/>
    <cellStyle name="Normal 8 3 5 2" xfId="2745"/>
    <cellStyle name="Normal 8 3 5 2 2" xfId="10970"/>
    <cellStyle name="Normal 8 3 5 2 2 2" xfId="27420"/>
    <cellStyle name="Normal 8 3 5 2 3" xfId="19195"/>
    <cellStyle name="Normal 8 3 5 2 4" xfId="35649"/>
    <cellStyle name="Normal 8 3 5 3" xfId="4390"/>
    <cellStyle name="Normal 8 3 5 3 2" xfId="12615"/>
    <cellStyle name="Normal 8 3 5 3 2 2" xfId="29065"/>
    <cellStyle name="Normal 8 3 5 3 3" xfId="20840"/>
    <cellStyle name="Normal 8 3 5 3 4" xfId="37294"/>
    <cellStyle name="Normal 8 3 5 4" xfId="6035"/>
    <cellStyle name="Normal 8 3 5 4 2" xfId="14260"/>
    <cellStyle name="Normal 8 3 5 4 2 2" xfId="30710"/>
    <cellStyle name="Normal 8 3 5 4 3" xfId="22485"/>
    <cellStyle name="Normal 8 3 5 4 4" xfId="38939"/>
    <cellStyle name="Normal 8 3 5 5" xfId="7680"/>
    <cellStyle name="Normal 8 3 5 5 2" xfId="15905"/>
    <cellStyle name="Normal 8 3 5 5 2 2" xfId="32355"/>
    <cellStyle name="Normal 8 3 5 5 3" xfId="24130"/>
    <cellStyle name="Normal 8 3 5 5 4" xfId="40584"/>
    <cellStyle name="Normal 8 3 5 6" xfId="9325"/>
    <cellStyle name="Normal 8 3 5 6 2" xfId="25775"/>
    <cellStyle name="Normal 8 3 5 7" xfId="17549"/>
    <cellStyle name="Normal 8 3 5 8" xfId="34003"/>
    <cellStyle name="Normal 8 3 5 9" xfId="42230"/>
    <cellStyle name="Normal 8 3 6" xfId="1330"/>
    <cellStyle name="Normal 8 3 6 2" xfId="2980"/>
    <cellStyle name="Normal 8 3 6 2 2" xfId="11205"/>
    <cellStyle name="Normal 8 3 6 2 2 2" xfId="27655"/>
    <cellStyle name="Normal 8 3 6 2 3" xfId="19430"/>
    <cellStyle name="Normal 8 3 6 2 4" xfId="35884"/>
    <cellStyle name="Normal 8 3 6 3" xfId="4625"/>
    <cellStyle name="Normal 8 3 6 3 2" xfId="12850"/>
    <cellStyle name="Normal 8 3 6 3 2 2" xfId="29300"/>
    <cellStyle name="Normal 8 3 6 3 3" xfId="21075"/>
    <cellStyle name="Normal 8 3 6 3 4" xfId="37529"/>
    <cellStyle name="Normal 8 3 6 4" xfId="6270"/>
    <cellStyle name="Normal 8 3 6 4 2" xfId="14495"/>
    <cellStyle name="Normal 8 3 6 4 2 2" xfId="30945"/>
    <cellStyle name="Normal 8 3 6 4 3" xfId="22720"/>
    <cellStyle name="Normal 8 3 6 4 4" xfId="39174"/>
    <cellStyle name="Normal 8 3 6 5" xfId="7915"/>
    <cellStyle name="Normal 8 3 6 5 2" xfId="16140"/>
    <cellStyle name="Normal 8 3 6 5 2 2" xfId="32590"/>
    <cellStyle name="Normal 8 3 6 5 3" xfId="24365"/>
    <cellStyle name="Normal 8 3 6 5 4" xfId="40819"/>
    <cellStyle name="Normal 8 3 6 6" xfId="9560"/>
    <cellStyle name="Normal 8 3 6 6 2" xfId="26010"/>
    <cellStyle name="Normal 8 3 6 7" xfId="17784"/>
    <cellStyle name="Normal 8 3 6 8" xfId="34238"/>
    <cellStyle name="Normal 8 3 7" xfId="1565"/>
    <cellStyle name="Normal 8 3 7 2" xfId="3215"/>
    <cellStyle name="Normal 8 3 7 2 2" xfId="11440"/>
    <cellStyle name="Normal 8 3 7 2 2 2" xfId="27890"/>
    <cellStyle name="Normal 8 3 7 2 3" xfId="19665"/>
    <cellStyle name="Normal 8 3 7 2 4" xfId="36119"/>
    <cellStyle name="Normal 8 3 7 3" xfId="4860"/>
    <cellStyle name="Normal 8 3 7 3 2" xfId="13085"/>
    <cellStyle name="Normal 8 3 7 3 2 2" xfId="29535"/>
    <cellStyle name="Normal 8 3 7 3 3" xfId="21310"/>
    <cellStyle name="Normal 8 3 7 3 4" xfId="37764"/>
    <cellStyle name="Normal 8 3 7 4" xfId="6505"/>
    <cellStyle name="Normal 8 3 7 4 2" xfId="14730"/>
    <cellStyle name="Normal 8 3 7 4 2 2" xfId="31180"/>
    <cellStyle name="Normal 8 3 7 4 3" xfId="22955"/>
    <cellStyle name="Normal 8 3 7 4 4" xfId="39409"/>
    <cellStyle name="Normal 8 3 7 5" xfId="8150"/>
    <cellStyle name="Normal 8 3 7 5 2" xfId="16375"/>
    <cellStyle name="Normal 8 3 7 5 2 2" xfId="32825"/>
    <cellStyle name="Normal 8 3 7 5 3" xfId="24600"/>
    <cellStyle name="Normal 8 3 7 5 4" xfId="41054"/>
    <cellStyle name="Normal 8 3 7 6" xfId="9795"/>
    <cellStyle name="Normal 8 3 7 6 2" xfId="26245"/>
    <cellStyle name="Normal 8 3 7 7" xfId="18019"/>
    <cellStyle name="Normal 8 3 7 8" xfId="34473"/>
    <cellStyle name="Normal 8 3 8" xfId="1800"/>
    <cellStyle name="Normal 8 3 8 2" xfId="10030"/>
    <cellStyle name="Normal 8 3 8 2 2" xfId="26480"/>
    <cellStyle name="Normal 8 3 8 3" xfId="18254"/>
    <cellStyle name="Normal 8 3 8 4" xfId="34708"/>
    <cellStyle name="Normal 8 3 9" xfId="3450"/>
    <cellStyle name="Normal 8 3 9 2" xfId="11675"/>
    <cellStyle name="Normal 8 3 9 2 2" xfId="28125"/>
    <cellStyle name="Normal 8 3 9 3" xfId="19900"/>
    <cellStyle name="Normal 8 3 9 4" xfId="36354"/>
    <cellStyle name="Normal 8 4" xfId="146"/>
    <cellStyle name="Normal 8 4 10" xfId="5145"/>
    <cellStyle name="Normal 8 4 10 2" xfId="13370"/>
    <cellStyle name="Normal 8 4 10 2 2" xfId="29820"/>
    <cellStyle name="Normal 8 4 10 3" xfId="21595"/>
    <cellStyle name="Normal 8 4 10 4" xfId="38049"/>
    <cellStyle name="Normal 8 4 11" xfId="6790"/>
    <cellStyle name="Normal 8 4 11 2" xfId="15015"/>
    <cellStyle name="Normal 8 4 11 2 2" xfId="31465"/>
    <cellStyle name="Normal 8 4 11 3" xfId="23240"/>
    <cellStyle name="Normal 8 4 11 4" xfId="39694"/>
    <cellStyle name="Normal 8 4 12" xfId="8435"/>
    <cellStyle name="Normal 8 4 12 2" xfId="24885"/>
    <cellStyle name="Normal 8 4 13" xfId="16659"/>
    <cellStyle name="Normal 8 4 14" xfId="33112"/>
    <cellStyle name="Normal 8 4 15" xfId="41340"/>
    <cellStyle name="Normal 8 4 2" xfId="389"/>
    <cellStyle name="Normal 8 4 2 2" xfId="2088"/>
    <cellStyle name="Normal 8 4 2 2 2" xfId="10315"/>
    <cellStyle name="Normal 8 4 2 2 2 2" xfId="26765"/>
    <cellStyle name="Normal 8 4 2 2 3" xfId="18540"/>
    <cellStyle name="Normal 8 4 2 2 4" xfId="34994"/>
    <cellStyle name="Normal 8 4 2 3" xfId="3735"/>
    <cellStyle name="Normal 8 4 2 3 2" xfId="11960"/>
    <cellStyle name="Normal 8 4 2 3 2 2" xfId="28410"/>
    <cellStyle name="Normal 8 4 2 3 3" xfId="20185"/>
    <cellStyle name="Normal 8 4 2 3 4" xfId="36639"/>
    <cellStyle name="Normal 8 4 2 4" xfId="5380"/>
    <cellStyle name="Normal 8 4 2 4 2" xfId="13605"/>
    <cellStyle name="Normal 8 4 2 4 2 2" xfId="30055"/>
    <cellStyle name="Normal 8 4 2 4 3" xfId="21830"/>
    <cellStyle name="Normal 8 4 2 4 4" xfId="38284"/>
    <cellStyle name="Normal 8 4 2 5" xfId="7025"/>
    <cellStyle name="Normal 8 4 2 5 2" xfId="15250"/>
    <cellStyle name="Normal 8 4 2 5 2 2" xfId="31700"/>
    <cellStyle name="Normal 8 4 2 5 3" xfId="23475"/>
    <cellStyle name="Normal 8 4 2 5 4" xfId="39929"/>
    <cellStyle name="Normal 8 4 2 6" xfId="8670"/>
    <cellStyle name="Normal 8 4 2 6 2" xfId="25120"/>
    <cellStyle name="Normal 8 4 2 7" xfId="16894"/>
    <cellStyle name="Normal 8 4 2 8" xfId="33348"/>
    <cellStyle name="Normal 8 4 2 9" xfId="41575"/>
    <cellStyle name="Normal 8 4 3" xfId="630"/>
    <cellStyle name="Normal 8 4 3 2" xfId="2325"/>
    <cellStyle name="Normal 8 4 3 2 2" xfId="10550"/>
    <cellStyle name="Normal 8 4 3 2 2 2" xfId="27000"/>
    <cellStyle name="Normal 8 4 3 2 3" xfId="18775"/>
    <cellStyle name="Normal 8 4 3 2 4" xfId="35229"/>
    <cellStyle name="Normal 8 4 3 3" xfId="3970"/>
    <cellStyle name="Normal 8 4 3 3 2" xfId="12195"/>
    <cellStyle name="Normal 8 4 3 3 2 2" xfId="28645"/>
    <cellStyle name="Normal 8 4 3 3 3" xfId="20420"/>
    <cellStyle name="Normal 8 4 3 3 4" xfId="36874"/>
    <cellStyle name="Normal 8 4 3 4" xfId="5615"/>
    <cellStyle name="Normal 8 4 3 4 2" xfId="13840"/>
    <cellStyle name="Normal 8 4 3 4 2 2" xfId="30290"/>
    <cellStyle name="Normal 8 4 3 4 3" xfId="22065"/>
    <cellStyle name="Normal 8 4 3 4 4" xfId="38519"/>
    <cellStyle name="Normal 8 4 3 5" xfId="7260"/>
    <cellStyle name="Normal 8 4 3 5 2" xfId="15485"/>
    <cellStyle name="Normal 8 4 3 5 2 2" xfId="31935"/>
    <cellStyle name="Normal 8 4 3 5 3" xfId="23710"/>
    <cellStyle name="Normal 8 4 3 5 4" xfId="40164"/>
    <cellStyle name="Normal 8 4 3 6" xfId="8905"/>
    <cellStyle name="Normal 8 4 3 6 2" xfId="25355"/>
    <cellStyle name="Normal 8 4 3 7" xfId="17129"/>
    <cellStyle name="Normal 8 4 3 8" xfId="33583"/>
    <cellStyle name="Normal 8 4 3 9" xfId="41810"/>
    <cellStyle name="Normal 8 4 4" xfId="865"/>
    <cellStyle name="Normal 8 4 4 2" xfId="2560"/>
    <cellStyle name="Normal 8 4 4 2 2" xfId="10785"/>
    <cellStyle name="Normal 8 4 4 2 2 2" xfId="27235"/>
    <cellStyle name="Normal 8 4 4 2 3" xfId="19010"/>
    <cellStyle name="Normal 8 4 4 2 4" xfId="35464"/>
    <cellStyle name="Normal 8 4 4 3" xfId="4205"/>
    <cellStyle name="Normal 8 4 4 3 2" xfId="12430"/>
    <cellStyle name="Normal 8 4 4 3 2 2" xfId="28880"/>
    <cellStyle name="Normal 8 4 4 3 3" xfId="20655"/>
    <cellStyle name="Normal 8 4 4 3 4" xfId="37109"/>
    <cellStyle name="Normal 8 4 4 4" xfId="5850"/>
    <cellStyle name="Normal 8 4 4 4 2" xfId="14075"/>
    <cellStyle name="Normal 8 4 4 4 2 2" xfId="30525"/>
    <cellStyle name="Normal 8 4 4 4 3" xfId="22300"/>
    <cellStyle name="Normal 8 4 4 4 4" xfId="38754"/>
    <cellStyle name="Normal 8 4 4 5" xfId="7495"/>
    <cellStyle name="Normal 8 4 4 5 2" xfId="15720"/>
    <cellStyle name="Normal 8 4 4 5 2 2" xfId="32170"/>
    <cellStyle name="Normal 8 4 4 5 3" xfId="23945"/>
    <cellStyle name="Normal 8 4 4 5 4" xfId="40399"/>
    <cellStyle name="Normal 8 4 4 6" xfId="9140"/>
    <cellStyle name="Normal 8 4 4 6 2" xfId="25590"/>
    <cellStyle name="Normal 8 4 4 7" xfId="17364"/>
    <cellStyle name="Normal 8 4 4 8" xfId="33818"/>
    <cellStyle name="Normal 8 4 4 9" xfId="42045"/>
    <cellStyle name="Normal 8 4 5" xfId="1100"/>
    <cellStyle name="Normal 8 4 5 2" xfId="2795"/>
    <cellStyle name="Normal 8 4 5 2 2" xfId="11020"/>
    <cellStyle name="Normal 8 4 5 2 2 2" xfId="27470"/>
    <cellStyle name="Normal 8 4 5 2 3" xfId="19245"/>
    <cellStyle name="Normal 8 4 5 2 4" xfId="35699"/>
    <cellStyle name="Normal 8 4 5 3" xfId="4440"/>
    <cellStyle name="Normal 8 4 5 3 2" xfId="12665"/>
    <cellStyle name="Normal 8 4 5 3 2 2" xfId="29115"/>
    <cellStyle name="Normal 8 4 5 3 3" xfId="20890"/>
    <cellStyle name="Normal 8 4 5 3 4" xfId="37344"/>
    <cellStyle name="Normal 8 4 5 4" xfId="6085"/>
    <cellStyle name="Normal 8 4 5 4 2" xfId="14310"/>
    <cellStyle name="Normal 8 4 5 4 2 2" xfId="30760"/>
    <cellStyle name="Normal 8 4 5 4 3" xfId="22535"/>
    <cellStyle name="Normal 8 4 5 4 4" xfId="38989"/>
    <cellStyle name="Normal 8 4 5 5" xfId="7730"/>
    <cellStyle name="Normal 8 4 5 5 2" xfId="15955"/>
    <cellStyle name="Normal 8 4 5 5 2 2" xfId="32405"/>
    <cellStyle name="Normal 8 4 5 5 3" xfId="24180"/>
    <cellStyle name="Normal 8 4 5 5 4" xfId="40634"/>
    <cellStyle name="Normal 8 4 5 6" xfId="9375"/>
    <cellStyle name="Normal 8 4 5 6 2" xfId="25825"/>
    <cellStyle name="Normal 8 4 5 7" xfId="17599"/>
    <cellStyle name="Normal 8 4 5 8" xfId="34053"/>
    <cellStyle name="Normal 8 4 5 9" xfId="42280"/>
    <cellStyle name="Normal 8 4 6" xfId="1380"/>
    <cellStyle name="Normal 8 4 6 2" xfId="3030"/>
    <cellStyle name="Normal 8 4 6 2 2" xfId="11255"/>
    <cellStyle name="Normal 8 4 6 2 2 2" xfId="27705"/>
    <cellStyle name="Normal 8 4 6 2 3" xfId="19480"/>
    <cellStyle name="Normal 8 4 6 2 4" xfId="35934"/>
    <cellStyle name="Normal 8 4 6 3" xfId="4675"/>
    <cellStyle name="Normal 8 4 6 3 2" xfId="12900"/>
    <cellStyle name="Normal 8 4 6 3 2 2" xfId="29350"/>
    <cellStyle name="Normal 8 4 6 3 3" xfId="21125"/>
    <cellStyle name="Normal 8 4 6 3 4" xfId="37579"/>
    <cellStyle name="Normal 8 4 6 4" xfId="6320"/>
    <cellStyle name="Normal 8 4 6 4 2" xfId="14545"/>
    <cellStyle name="Normal 8 4 6 4 2 2" xfId="30995"/>
    <cellStyle name="Normal 8 4 6 4 3" xfId="22770"/>
    <cellStyle name="Normal 8 4 6 4 4" xfId="39224"/>
    <cellStyle name="Normal 8 4 6 5" xfId="7965"/>
    <cellStyle name="Normal 8 4 6 5 2" xfId="16190"/>
    <cellStyle name="Normal 8 4 6 5 2 2" xfId="32640"/>
    <cellStyle name="Normal 8 4 6 5 3" xfId="24415"/>
    <cellStyle name="Normal 8 4 6 5 4" xfId="40869"/>
    <cellStyle name="Normal 8 4 6 6" xfId="9610"/>
    <cellStyle name="Normal 8 4 6 6 2" xfId="26060"/>
    <cellStyle name="Normal 8 4 6 7" xfId="17834"/>
    <cellStyle name="Normal 8 4 6 8" xfId="34288"/>
    <cellStyle name="Normal 8 4 7" xfId="1615"/>
    <cellStyle name="Normal 8 4 7 2" xfId="3265"/>
    <cellStyle name="Normal 8 4 7 2 2" xfId="11490"/>
    <cellStyle name="Normal 8 4 7 2 2 2" xfId="27940"/>
    <cellStyle name="Normal 8 4 7 2 3" xfId="19715"/>
    <cellStyle name="Normal 8 4 7 2 4" xfId="36169"/>
    <cellStyle name="Normal 8 4 7 3" xfId="4910"/>
    <cellStyle name="Normal 8 4 7 3 2" xfId="13135"/>
    <cellStyle name="Normal 8 4 7 3 2 2" xfId="29585"/>
    <cellStyle name="Normal 8 4 7 3 3" xfId="21360"/>
    <cellStyle name="Normal 8 4 7 3 4" xfId="37814"/>
    <cellStyle name="Normal 8 4 7 4" xfId="6555"/>
    <cellStyle name="Normal 8 4 7 4 2" xfId="14780"/>
    <cellStyle name="Normal 8 4 7 4 2 2" xfId="31230"/>
    <cellStyle name="Normal 8 4 7 4 3" xfId="23005"/>
    <cellStyle name="Normal 8 4 7 4 4" xfId="39459"/>
    <cellStyle name="Normal 8 4 7 5" xfId="8200"/>
    <cellStyle name="Normal 8 4 7 5 2" xfId="16425"/>
    <cellStyle name="Normal 8 4 7 5 2 2" xfId="32875"/>
    <cellStyle name="Normal 8 4 7 5 3" xfId="24650"/>
    <cellStyle name="Normal 8 4 7 5 4" xfId="41104"/>
    <cellStyle name="Normal 8 4 7 6" xfId="9845"/>
    <cellStyle name="Normal 8 4 7 6 2" xfId="26295"/>
    <cellStyle name="Normal 8 4 7 7" xfId="18069"/>
    <cellStyle name="Normal 8 4 7 8" xfId="34523"/>
    <cellStyle name="Normal 8 4 8" xfId="1850"/>
    <cellStyle name="Normal 8 4 8 2" xfId="10080"/>
    <cellStyle name="Normal 8 4 8 2 2" xfId="26530"/>
    <cellStyle name="Normal 8 4 8 3" xfId="18304"/>
    <cellStyle name="Normal 8 4 8 4" xfId="34758"/>
    <cellStyle name="Normal 8 4 9" xfId="3500"/>
    <cellStyle name="Normal 8 4 9 2" xfId="11725"/>
    <cellStyle name="Normal 8 4 9 2 2" xfId="28175"/>
    <cellStyle name="Normal 8 4 9 3" xfId="19950"/>
    <cellStyle name="Normal 8 4 9 4" xfId="36404"/>
    <cellStyle name="Normal 8 5" xfId="173"/>
    <cellStyle name="Normal 8 5 10" xfId="5172"/>
    <cellStyle name="Normal 8 5 10 2" xfId="13397"/>
    <cellStyle name="Normal 8 5 10 2 2" xfId="29847"/>
    <cellStyle name="Normal 8 5 10 3" xfId="21622"/>
    <cellStyle name="Normal 8 5 10 4" xfId="38076"/>
    <cellStyle name="Normal 8 5 11" xfId="6817"/>
    <cellStyle name="Normal 8 5 11 2" xfId="15042"/>
    <cellStyle name="Normal 8 5 11 2 2" xfId="31492"/>
    <cellStyle name="Normal 8 5 11 3" xfId="23267"/>
    <cellStyle name="Normal 8 5 11 4" xfId="39721"/>
    <cellStyle name="Normal 8 5 12" xfId="8462"/>
    <cellStyle name="Normal 8 5 12 2" xfId="24912"/>
    <cellStyle name="Normal 8 5 13" xfId="16686"/>
    <cellStyle name="Normal 8 5 14" xfId="33139"/>
    <cellStyle name="Normal 8 5 15" xfId="41367"/>
    <cellStyle name="Normal 8 5 2" xfId="416"/>
    <cellStyle name="Normal 8 5 2 2" xfId="2115"/>
    <cellStyle name="Normal 8 5 2 2 2" xfId="10342"/>
    <cellStyle name="Normal 8 5 2 2 2 2" xfId="26792"/>
    <cellStyle name="Normal 8 5 2 2 3" xfId="18567"/>
    <cellStyle name="Normal 8 5 2 2 4" xfId="35021"/>
    <cellStyle name="Normal 8 5 2 3" xfId="3762"/>
    <cellStyle name="Normal 8 5 2 3 2" xfId="11987"/>
    <cellStyle name="Normal 8 5 2 3 2 2" xfId="28437"/>
    <cellStyle name="Normal 8 5 2 3 3" xfId="20212"/>
    <cellStyle name="Normal 8 5 2 3 4" xfId="36666"/>
    <cellStyle name="Normal 8 5 2 4" xfId="5407"/>
    <cellStyle name="Normal 8 5 2 4 2" xfId="13632"/>
    <cellStyle name="Normal 8 5 2 4 2 2" xfId="30082"/>
    <cellStyle name="Normal 8 5 2 4 3" xfId="21857"/>
    <cellStyle name="Normal 8 5 2 4 4" xfId="38311"/>
    <cellStyle name="Normal 8 5 2 5" xfId="7052"/>
    <cellStyle name="Normal 8 5 2 5 2" xfId="15277"/>
    <cellStyle name="Normal 8 5 2 5 2 2" xfId="31727"/>
    <cellStyle name="Normal 8 5 2 5 3" xfId="23502"/>
    <cellStyle name="Normal 8 5 2 5 4" xfId="39956"/>
    <cellStyle name="Normal 8 5 2 6" xfId="8697"/>
    <cellStyle name="Normal 8 5 2 6 2" xfId="25147"/>
    <cellStyle name="Normal 8 5 2 7" xfId="16921"/>
    <cellStyle name="Normal 8 5 2 8" xfId="33375"/>
    <cellStyle name="Normal 8 5 2 9" xfId="41602"/>
    <cellStyle name="Normal 8 5 3" xfId="657"/>
    <cellStyle name="Normal 8 5 3 2" xfId="2352"/>
    <cellStyle name="Normal 8 5 3 2 2" xfId="10577"/>
    <cellStyle name="Normal 8 5 3 2 2 2" xfId="27027"/>
    <cellStyle name="Normal 8 5 3 2 3" xfId="18802"/>
    <cellStyle name="Normal 8 5 3 2 4" xfId="35256"/>
    <cellStyle name="Normal 8 5 3 3" xfId="3997"/>
    <cellStyle name="Normal 8 5 3 3 2" xfId="12222"/>
    <cellStyle name="Normal 8 5 3 3 2 2" xfId="28672"/>
    <cellStyle name="Normal 8 5 3 3 3" xfId="20447"/>
    <cellStyle name="Normal 8 5 3 3 4" xfId="36901"/>
    <cellStyle name="Normal 8 5 3 4" xfId="5642"/>
    <cellStyle name="Normal 8 5 3 4 2" xfId="13867"/>
    <cellStyle name="Normal 8 5 3 4 2 2" xfId="30317"/>
    <cellStyle name="Normal 8 5 3 4 3" xfId="22092"/>
    <cellStyle name="Normal 8 5 3 4 4" xfId="38546"/>
    <cellStyle name="Normal 8 5 3 5" xfId="7287"/>
    <cellStyle name="Normal 8 5 3 5 2" xfId="15512"/>
    <cellStyle name="Normal 8 5 3 5 2 2" xfId="31962"/>
    <cellStyle name="Normal 8 5 3 5 3" xfId="23737"/>
    <cellStyle name="Normal 8 5 3 5 4" xfId="40191"/>
    <cellStyle name="Normal 8 5 3 6" xfId="8932"/>
    <cellStyle name="Normal 8 5 3 6 2" xfId="25382"/>
    <cellStyle name="Normal 8 5 3 7" xfId="17156"/>
    <cellStyle name="Normal 8 5 3 8" xfId="33610"/>
    <cellStyle name="Normal 8 5 3 9" xfId="41837"/>
    <cellStyle name="Normal 8 5 4" xfId="892"/>
    <cellStyle name="Normal 8 5 4 2" xfId="2587"/>
    <cellStyle name="Normal 8 5 4 2 2" xfId="10812"/>
    <cellStyle name="Normal 8 5 4 2 2 2" xfId="27262"/>
    <cellStyle name="Normal 8 5 4 2 3" xfId="19037"/>
    <cellStyle name="Normal 8 5 4 2 4" xfId="35491"/>
    <cellStyle name="Normal 8 5 4 3" xfId="4232"/>
    <cellStyle name="Normal 8 5 4 3 2" xfId="12457"/>
    <cellStyle name="Normal 8 5 4 3 2 2" xfId="28907"/>
    <cellStyle name="Normal 8 5 4 3 3" xfId="20682"/>
    <cellStyle name="Normal 8 5 4 3 4" xfId="37136"/>
    <cellStyle name="Normal 8 5 4 4" xfId="5877"/>
    <cellStyle name="Normal 8 5 4 4 2" xfId="14102"/>
    <cellStyle name="Normal 8 5 4 4 2 2" xfId="30552"/>
    <cellStyle name="Normal 8 5 4 4 3" xfId="22327"/>
    <cellStyle name="Normal 8 5 4 4 4" xfId="38781"/>
    <cellStyle name="Normal 8 5 4 5" xfId="7522"/>
    <cellStyle name="Normal 8 5 4 5 2" xfId="15747"/>
    <cellStyle name="Normal 8 5 4 5 2 2" xfId="32197"/>
    <cellStyle name="Normal 8 5 4 5 3" xfId="23972"/>
    <cellStyle name="Normal 8 5 4 5 4" xfId="40426"/>
    <cellStyle name="Normal 8 5 4 6" xfId="9167"/>
    <cellStyle name="Normal 8 5 4 6 2" xfId="25617"/>
    <cellStyle name="Normal 8 5 4 7" xfId="17391"/>
    <cellStyle name="Normal 8 5 4 8" xfId="33845"/>
    <cellStyle name="Normal 8 5 4 9" xfId="42072"/>
    <cellStyle name="Normal 8 5 5" xfId="1127"/>
    <cellStyle name="Normal 8 5 5 2" xfId="2822"/>
    <cellStyle name="Normal 8 5 5 2 2" xfId="11047"/>
    <cellStyle name="Normal 8 5 5 2 2 2" xfId="27497"/>
    <cellStyle name="Normal 8 5 5 2 3" xfId="19272"/>
    <cellStyle name="Normal 8 5 5 2 4" xfId="35726"/>
    <cellStyle name="Normal 8 5 5 3" xfId="4467"/>
    <cellStyle name="Normal 8 5 5 3 2" xfId="12692"/>
    <cellStyle name="Normal 8 5 5 3 2 2" xfId="29142"/>
    <cellStyle name="Normal 8 5 5 3 3" xfId="20917"/>
    <cellStyle name="Normal 8 5 5 3 4" xfId="37371"/>
    <cellStyle name="Normal 8 5 5 4" xfId="6112"/>
    <cellStyle name="Normal 8 5 5 4 2" xfId="14337"/>
    <cellStyle name="Normal 8 5 5 4 2 2" xfId="30787"/>
    <cellStyle name="Normal 8 5 5 4 3" xfId="22562"/>
    <cellStyle name="Normal 8 5 5 4 4" xfId="39016"/>
    <cellStyle name="Normal 8 5 5 5" xfId="7757"/>
    <cellStyle name="Normal 8 5 5 5 2" xfId="15982"/>
    <cellStyle name="Normal 8 5 5 5 2 2" xfId="32432"/>
    <cellStyle name="Normal 8 5 5 5 3" xfId="24207"/>
    <cellStyle name="Normal 8 5 5 5 4" xfId="40661"/>
    <cellStyle name="Normal 8 5 5 6" xfId="9402"/>
    <cellStyle name="Normal 8 5 5 6 2" xfId="25852"/>
    <cellStyle name="Normal 8 5 5 7" xfId="17626"/>
    <cellStyle name="Normal 8 5 5 8" xfId="34080"/>
    <cellStyle name="Normal 8 5 5 9" xfId="42307"/>
    <cellStyle name="Normal 8 5 6" xfId="1407"/>
    <cellStyle name="Normal 8 5 6 2" xfId="3057"/>
    <cellStyle name="Normal 8 5 6 2 2" xfId="11282"/>
    <cellStyle name="Normal 8 5 6 2 2 2" xfId="27732"/>
    <cellStyle name="Normal 8 5 6 2 3" xfId="19507"/>
    <cellStyle name="Normal 8 5 6 2 4" xfId="35961"/>
    <cellStyle name="Normal 8 5 6 3" xfId="4702"/>
    <cellStyle name="Normal 8 5 6 3 2" xfId="12927"/>
    <cellStyle name="Normal 8 5 6 3 2 2" xfId="29377"/>
    <cellStyle name="Normal 8 5 6 3 3" xfId="21152"/>
    <cellStyle name="Normal 8 5 6 3 4" xfId="37606"/>
    <cellStyle name="Normal 8 5 6 4" xfId="6347"/>
    <cellStyle name="Normal 8 5 6 4 2" xfId="14572"/>
    <cellStyle name="Normal 8 5 6 4 2 2" xfId="31022"/>
    <cellStyle name="Normal 8 5 6 4 3" xfId="22797"/>
    <cellStyle name="Normal 8 5 6 4 4" xfId="39251"/>
    <cellStyle name="Normal 8 5 6 5" xfId="7992"/>
    <cellStyle name="Normal 8 5 6 5 2" xfId="16217"/>
    <cellStyle name="Normal 8 5 6 5 2 2" xfId="32667"/>
    <cellStyle name="Normal 8 5 6 5 3" xfId="24442"/>
    <cellStyle name="Normal 8 5 6 5 4" xfId="40896"/>
    <cellStyle name="Normal 8 5 6 6" xfId="9637"/>
    <cellStyle name="Normal 8 5 6 6 2" xfId="26087"/>
    <cellStyle name="Normal 8 5 6 7" xfId="17861"/>
    <cellStyle name="Normal 8 5 6 8" xfId="34315"/>
    <cellStyle name="Normal 8 5 7" xfId="1642"/>
    <cellStyle name="Normal 8 5 7 2" xfId="3292"/>
    <cellStyle name="Normal 8 5 7 2 2" xfId="11517"/>
    <cellStyle name="Normal 8 5 7 2 2 2" xfId="27967"/>
    <cellStyle name="Normal 8 5 7 2 3" xfId="19742"/>
    <cellStyle name="Normal 8 5 7 2 4" xfId="36196"/>
    <cellStyle name="Normal 8 5 7 3" xfId="4937"/>
    <cellStyle name="Normal 8 5 7 3 2" xfId="13162"/>
    <cellStyle name="Normal 8 5 7 3 2 2" xfId="29612"/>
    <cellStyle name="Normal 8 5 7 3 3" xfId="21387"/>
    <cellStyle name="Normal 8 5 7 3 4" xfId="37841"/>
    <cellStyle name="Normal 8 5 7 4" xfId="6582"/>
    <cellStyle name="Normal 8 5 7 4 2" xfId="14807"/>
    <cellStyle name="Normal 8 5 7 4 2 2" xfId="31257"/>
    <cellStyle name="Normal 8 5 7 4 3" xfId="23032"/>
    <cellStyle name="Normal 8 5 7 4 4" xfId="39486"/>
    <cellStyle name="Normal 8 5 7 5" xfId="8227"/>
    <cellStyle name="Normal 8 5 7 5 2" xfId="16452"/>
    <cellStyle name="Normal 8 5 7 5 2 2" xfId="32902"/>
    <cellStyle name="Normal 8 5 7 5 3" xfId="24677"/>
    <cellStyle name="Normal 8 5 7 5 4" xfId="41131"/>
    <cellStyle name="Normal 8 5 7 6" xfId="9872"/>
    <cellStyle name="Normal 8 5 7 6 2" xfId="26322"/>
    <cellStyle name="Normal 8 5 7 7" xfId="18096"/>
    <cellStyle name="Normal 8 5 7 8" xfId="34550"/>
    <cellStyle name="Normal 8 5 8" xfId="1877"/>
    <cellStyle name="Normal 8 5 8 2" xfId="10107"/>
    <cellStyle name="Normal 8 5 8 2 2" xfId="26557"/>
    <cellStyle name="Normal 8 5 8 3" xfId="18331"/>
    <cellStyle name="Normal 8 5 8 4" xfId="34785"/>
    <cellStyle name="Normal 8 5 9" xfId="3527"/>
    <cellStyle name="Normal 8 5 9 2" xfId="11752"/>
    <cellStyle name="Normal 8 5 9 2 2" xfId="28202"/>
    <cellStyle name="Normal 8 5 9 3" xfId="19977"/>
    <cellStyle name="Normal 8 5 9 4" xfId="36431"/>
    <cellStyle name="Normal 8 6" xfId="202"/>
    <cellStyle name="Normal 8 6 10" xfId="5199"/>
    <cellStyle name="Normal 8 6 10 2" xfId="13424"/>
    <cellStyle name="Normal 8 6 10 2 2" xfId="29874"/>
    <cellStyle name="Normal 8 6 10 3" xfId="21649"/>
    <cellStyle name="Normal 8 6 10 4" xfId="38103"/>
    <cellStyle name="Normal 8 6 11" xfId="6844"/>
    <cellStyle name="Normal 8 6 11 2" xfId="15069"/>
    <cellStyle name="Normal 8 6 11 2 2" xfId="31519"/>
    <cellStyle name="Normal 8 6 11 3" xfId="23294"/>
    <cellStyle name="Normal 8 6 11 4" xfId="39748"/>
    <cellStyle name="Normal 8 6 12" xfId="8489"/>
    <cellStyle name="Normal 8 6 12 2" xfId="24939"/>
    <cellStyle name="Normal 8 6 13" xfId="16713"/>
    <cellStyle name="Normal 8 6 14" xfId="33166"/>
    <cellStyle name="Normal 8 6 15" xfId="41394"/>
    <cellStyle name="Normal 8 6 2" xfId="445"/>
    <cellStyle name="Normal 8 6 2 2" xfId="2142"/>
    <cellStyle name="Normal 8 6 2 2 2" xfId="10369"/>
    <cellStyle name="Normal 8 6 2 2 2 2" xfId="26819"/>
    <cellStyle name="Normal 8 6 2 2 3" xfId="18594"/>
    <cellStyle name="Normal 8 6 2 2 4" xfId="35048"/>
    <cellStyle name="Normal 8 6 2 3" xfId="3789"/>
    <cellStyle name="Normal 8 6 2 3 2" xfId="12014"/>
    <cellStyle name="Normal 8 6 2 3 2 2" xfId="28464"/>
    <cellStyle name="Normal 8 6 2 3 3" xfId="20239"/>
    <cellStyle name="Normal 8 6 2 3 4" xfId="36693"/>
    <cellStyle name="Normal 8 6 2 4" xfId="5434"/>
    <cellStyle name="Normal 8 6 2 4 2" xfId="13659"/>
    <cellStyle name="Normal 8 6 2 4 2 2" xfId="30109"/>
    <cellStyle name="Normal 8 6 2 4 3" xfId="21884"/>
    <cellStyle name="Normal 8 6 2 4 4" xfId="38338"/>
    <cellStyle name="Normal 8 6 2 5" xfId="7079"/>
    <cellStyle name="Normal 8 6 2 5 2" xfId="15304"/>
    <cellStyle name="Normal 8 6 2 5 2 2" xfId="31754"/>
    <cellStyle name="Normal 8 6 2 5 3" xfId="23529"/>
    <cellStyle name="Normal 8 6 2 5 4" xfId="39983"/>
    <cellStyle name="Normal 8 6 2 6" xfId="8724"/>
    <cellStyle name="Normal 8 6 2 6 2" xfId="25174"/>
    <cellStyle name="Normal 8 6 2 7" xfId="16948"/>
    <cellStyle name="Normal 8 6 2 8" xfId="33402"/>
    <cellStyle name="Normal 8 6 2 9" xfId="41629"/>
    <cellStyle name="Normal 8 6 3" xfId="684"/>
    <cellStyle name="Normal 8 6 3 2" xfId="2379"/>
    <cellStyle name="Normal 8 6 3 2 2" xfId="10604"/>
    <cellStyle name="Normal 8 6 3 2 2 2" xfId="27054"/>
    <cellStyle name="Normal 8 6 3 2 3" xfId="18829"/>
    <cellStyle name="Normal 8 6 3 2 4" xfId="35283"/>
    <cellStyle name="Normal 8 6 3 3" xfId="4024"/>
    <cellStyle name="Normal 8 6 3 3 2" xfId="12249"/>
    <cellStyle name="Normal 8 6 3 3 2 2" xfId="28699"/>
    <cellStyle name="Normal 8 6 3 3 3" xfId="20474"/>
    <cellStyle name="Normal 8 6 3 3 4" xfId="36928"/>
    <cellStyle name="Normal 8 6 3 4" xfId="5669"/>
    <cellStyle name="Normal 8 6 3 4 2" xfId="13894"/>
    <cellStyle name="Normal 8 6 3 4 2 2" xfId="30344"/>
    <cellStyle name="Normal 8 6 3 4 3" xfId="22119"/>
    <cellStyle name="Normal 8 6 3 4 4" xfId="38573"/>
    <cellStyle name="Normal 8 6 3 5" xfId="7314"/>
    <cellStyle name="Normal 8 6 3 5 2" xfId="15539"/>
    <cellStyle name="Normal 8 6 3 5 2 2" xfId="31989"/>
    <cellStyle name="Normal 8 6 3 5 3" xfId="23764"/>
    <cellStyle name="Normal 8 6 3 5 4" xfId="40218"/>
    <cellStyle name="Normal 8 6 3 6" xfId="8959"/>
    <cellStyle name="Normal 8 6 3 6 2" xfId="25409"/>
    <cellStyle name="Normal 8 6 3 7" xfId="17183"/>
    <cellStyle name="Normal 8 6 3 8" xfId="33637"/>
    <cellStyle name="Normal 8 6 3 9" xfId="41864"/>
    <cellStyle name="Normal 8 6 4" xfId="919"/>
    <cellStyle name="Normal 8 6 4 2" xfId="2614"/>
    <cellStyle name="Normal 8 6 4 2 2" xfId="10839"/>
    <cellStyle name="Normal 8 6 4 2 2 2" xfId="27289"/>
    <cellStyle name="Normal 8 6 4 2 3" xfId="19064"/>
    <cellStyle name="Normal 8 6 4 2 4" xfId="35518"/>
    <cellStyle name="Normal 8 6 4 3" xfId="4259"/>
    <cellStyle name="Normal 8 6 4 3 2" xfId="12484"/>
    <cellStyle name="Normal 8 6 4 3 2 2" xfId="28934"/>
    <cellStyle name="Normal 8 6 4 3 3" xfId="20709"/>
    <cellStyle name="Normal 8 6 4 3 4" xfId="37163"/>
    <cellStyle name="Normal 8 6 4 4" xfId="5904"/>
    <cellStyle name="Normal 8 6 4 4 2" xfId="14129"/>
    <cellStyle name="Normal 8 6 4 4 2 2" xfId="30579"/>
    <cellStyle name="Normal 8 6 4 4 3" xfId="22354"/>
    <cellStyle name="Normal 8 6 4 4 4" xfId="38808"/>
    <cellStyle name="Normal 8 6 4 5" xfId="7549"/>
    <cellStyle name="Normal 8 6 4 5 2" xfId="15774"/>
    <cellStyle name="Normal 8 6 4 5 2 2" xfId="32224"/>
    <cellStyle name="Normal 8 6 4 5 3" xfId="23999"/>
    <cellStyle name="Normal 8 6 4 5 4" xfId="40453"/>
    <cellStyle name="Normal 8 6 4 6" xfId="9194"/>
    <cellStyle name="Normal 8 6 4 6 2" xfId="25644"/>
    <cellStyle name="Normal 8 6 4 7" xfId="17418"/>
    <cellStyle name="Normal 8 6 4 8" xfId="33872"/>
    <cellStyle name="Normal 8 6 4 9" xfId="42099"/>
    <cellStyle name="Normal 8 6 5" xfId="1154"/>
    <cellStyle name="Normal 8 6 5 2" xfId="2849"/>
    <cellStyle name="Normal 8 6 5 2 2" xfId="11074"/>
    <cellStyle name="Normal 8 6 5 2 2 2" xfId="27524"/>
    <cellStyle name="Normal 8 6 5 2 3" xfId="19299"/>
    <cellStyle name="Normal 8 6 5 2 4" xfId="35753"/>
    <cellStyle name="Normal 8 6 5 3" xfId="4494"/>
    <cellStyle name="Normal 8 6 5 3 2" xfId="12719"/>
    <cellStyle name="Normal 8 6 5 3 2 2" xfId="29169"/>
    <cellStyle name="Normal 8 6 5 3 3" xfId="20944"/>
    <cellStyle name="Normal 8 6 5 3 4" xfId="37398"/>
    <cellStyle name="Normal 8 6 5 4" xfId="6139"/>
    <cellStyle name="Normal 8 6 5 4 2" xfId="14364"/>
    <cellStyle name="Normal 8 6 5 4 2 2" xfId="30814"/>
    <cellStyle name="Normal 8 6 5 4 3" xfId="22589"/>
    <cellStyle name="Normal 8 6 5 4 4" xfId="39043"/>
    <cellStyle name="Normal 8 6 5 5" xfId="7784"/>
    <cellStyle name="Normal 8 6 5 5 2" xfId="16009"/>
    <cellStyle name="Normal 8 6 5 5 2 2" xfId="32459"/>
    <cellStyle name="Normal 8 6 5 5 3" xfId="24234"/>
    <cellStyle name="Normal 8 6 5 5 4" xfId="40688"/>
    <cellStyle name="Normal 8 6 5 6" xfId="9429"/>
    <cellStyle name="Normal 8 6 5 6 2" xfId="25879"/>
    <cellStyle name="Normal 8 6 5 7" xfId="17653"/>
    <cellStyle name="Normal 8 6 5 8" xfId="34107"/>
    <cellStyle name="Normal 8 6 5 9" xfId="42334"/>
    <cellStyle name="Normal 8 6 6" xfId="1434"/>
    <cellStyle name="Normal 8 6 6 2" xfId="3084"/>
    <cellStyle name="Normal 8 6 6 2 2" xfId="11309"/>
    <cellStyle name="Normal 8 6 6 2 2 2" xfId="27759"/>
    <cellStyle name="Normal 8 6 6 2 3" xfId="19534"/>
    <cellStyle name="Normal 8 6 6 2 4" xfId="35988"/>
    <cellStyle name="Normal 8 6 6 3" xfId="4729"/>
    <cellStyle name="Normal 8 6 6 3 2" xfId="12954"/>
    <cellStyle name="Normal 8 6 6 3 2 2" xfId="29404"/>
    <cellStyle name="Normal 8 6 6 3 3" xfId="21179"/>
    <cellStyle name="Normal 8 6 6 3 4" xfId="37633"/>
    <cellStyle name="Normal 8 6 6 4" xfId="6374"/>
    <cellStyle name="Normal 8 6 6 4 2" xfId="14599"/>
    <cellStyle name="Normal 8 6 6 4 2 2" xfId="31049"/>
    <cellStyle name="Normal 8 6 6 4 3" xfId="22824"/>
    <cellStyle name="Normal 8 6 6 4 4" xfId="39278"/>
    <cellStyle name="Normal 8 6 6 5" xfId="8019"/>
    <cellStyle name="Normal 8 6 6 5 2" xfId="16244"/>
    <cellStyle name="Normal 8 6 6 5 2 2" xfId="32694"/>
    <cellStyle name="Normal 8 6 6 5 3" xfId="24469"/>
    <cellStyle name="Normal 8 6 6 5 4" xfId="40923"/>
    <cellStyle name="Normal 8 6 6 6" xfId="9664"/>
    <cellStyle name="Normal 8 6 6 6 2" xfId="26114"/>
    <cellStyle name="Normal 8 6 6 7" xfId="17888"/>
    <cellStyle name="Normal 8 6 6 8" xfId="34342"/>
    <cellStyle name="Normal 8 6 7" xfId="1669"/>
    <cellStyle name="Normal 8 6 7 2" xfId="3319"/>
    <cellStyle name="Normal 8 6 7 2 2" xfId="11544"/>
    <cellStyle name="Normal 8 6 7 2 2 2" xfId="27994"/>
    <cellStyle name="Normal 8 6 7 2 3" xfId="19769"/>
    <cellStyle name="Normal 8 6 7 2 4" xfId="36223"/>
    <cellStyle name="Normal 8 6 7 3" xfId="4964"/>
    <cellStyle name="Normal 8 6 7 3 2" xfId="13189"/>
    <cellStyle name="Normal 8 6 7 3 2 2" xfId="29639"/>
    <cellStyle name="Normal 8 6 7 3 3" xfId="21414"/>
    <cellStyle name="Normal 8 6 7 3 4" xfId="37868"/>
    <cellStyle name="Normal 8 6 7 4" xfId="6609"/>
    <cellStyle name="Normal 8 6 7 4 2" xfId="14834"/>
    <cellStyle name="Normal 8 6 7 4 2 2" xfId="31284"/>
    <cellStyle name="Normal 8 6 7 4 3" xfId="23059"/>
    <cellStyle name="Normal 8 6 7 4 4" xfId="39513"/>
    <cellStyle name="Normal 8 6 7 5" xfId="8254"/>
    <cellStyle name="Normal 8 6 7 5 2" xfId="16479"/>
    <cellStyle name="Normal 8 6 7 5 2 2" xfId="32929"/>
    <cellStyle name="Normal 8 6 7 5 3" xfId="24704"/>
    <cellStyle name="Normal 8 6 7 5 4" xfId="41158"/>
    <cellStyle name="Normal 8 6 7 6" xfId="9899"/>
    <cellStyle name="Normal 8 6 7 6 2" xfId="26349"/>
    <cellStyle name="Normal 8 6 7 7" xfId="18123"/>
    <cellStyle name="Normal 8 6 7 8" xfId="34577"/>
    <cellStyle name="Normal 8 6 8" xfId="1904"/>
    <cellStyle name="Normal 8 6 8 2" xfId="10134"/>
    <cellStyle name="Normal 8 6 8 2 2" xfId="26584"/>
    <cellStyle name="Normal 8 6 8 3" xfId="18358"/>
    <cellStyle name="Normal 8 6 8 4" xfId="34812"/>
    <cellStyle name="Normal 8 6 9" xfId="3554"/>
    <cellStyle name="Normal 8 6 9 2" xfId="11779"/>
    <cellStyle name="Normal 8 6 9 2 2" xfId="28229"/>
    <cellStyle name="Normal 8 6 9 3" xfId="20004"/>
    <cellStyle name="Normal 8 6 9 4" xfId="36458"/>
    <cellStyle name="Normal 8 7" xfId="229"/>
    <cellStyle name="Normal 8 7 10" xfId="5226"/>
    <cellStyle name="Normal 8 7 10 2" xfId="13451"/>
    <cellStyle name="Normal 8 7 10 2 2" xfId="29901"/>
    <cellStyle name="Normal 8 7 10 3" xfId="21676"/>
    <cellStyle name="Normal 8 7 10 4" xfId="38130"/>
    <cellStyle name="Normal 8 7 11" xfId="6871"/>
    <cellStyle name="Normal 8 7 11 2" xfId="15096"/>
    <cellStyle name="Normal 8 7 11 2 2" xfId="31546"/>
    <cellStyle name="Normal 8 7 11 3" xfId="23321"/>
    <cellStyle name="Normal 8 7 11 4" xfId="39775"/>
    <cellStyle name="Normal 8 7 12" xfId="8516"/>
    <cellStyle name="Normal 8 7 12 2" xfId="24966"/>
    <cellStyle name="Normal 8 7 13" xfId="16740"/>
    <cellStyle name="Normal 8 7 14" xfId="33193"/>
    <cellStyle name="Normal 8 7 15" xfId="41421"/>
    <cellStyle name="Normal 8 7 2" xfId="472"/>
    <cellStyle name="Normal 8 7 2 2" xfId="2169"/>
    <cellStyle name="Normal 8 7 2 2 2" xfId="10396"/>
    <cellStyle name="Normal 8 7 2 2 2 2" xfId="26846"/>
    <cellStyle name="Normal 8 7 2 2 3" xfId="18621"/>
    <cellStyle name="Normal 8 7 2 2 4" xfId="35075"/>
    <cellStyle name="Normal 8 7 2 3" xfId="3816"/>
    <cellStyle name="Normal 8 7 2 3 2" xfId="12041"/>
    <cellStyle name="Normal 8 7 2 3 2 2" xfId="28491"/>
    <cellStyle name="Normal 8 7 2 3 3" xfId="20266"/>
    <cellStyle name="Normal 8 7 2 3 4" xfId="36720"/>
    <cellStyle name="Normal 8 7 2 4" xfId="5461"/>
    <cellStyle name="Normal 8 7 2 4 2" xfId="13686"/>
    <cellStyle name="Normal 8 7 2 4 2 2" xfId="30136"/>
    <cellStyle name="Normal 8 7 2 4 3" xfId="21911"/>
    <cellStyle name="Normal 8 7 2 4 4" xfId="38365"/>
    <cellStyle name="Normal 8 7 2 5" xfId="7106"/>
    <cellStyle name="Normal 8 7 2 5 2" xfId="15331"/>
    <cellStyle name="Normal 8 7 2 5 2 2" xfId="31781"/>
    <cellStyle name="Normal 8 7 2 5 3" xfId="23556"/>
    <cellStyle name="Normal 8 7 2 5 4" xfId="40010"/>
    <cellStyle name="Normal 8 7 2 6" xfId="8751"/>
    <cellStyle name="Normal 8 7 2 6 2" xfId="25201"/>
    <cellStyle name="Normal 8 7 2 7" xfId="16975"/>
    <cellStyle name="Normal 8 7 2 8" xfId="33429"/>
    <cellStyle name="Normal 8 7 2 9" xfId="41656"/>
    <cellStyle name="Normal 8 7 3" xfId="711"/>
    <cellStyle name="Normal 8 7 3 2" xfId="2406"/>
    <cellStyle name="Normal 8 7 3 2 2" xfId="10631"/>
    <cellStyle name="Normal 8 7 3 2 2 2" xfId="27081"/>
    <cellStyle name="Normal 8 7 3 2 3" xfId="18856"/>
    <cellStyle name="Normal 8 7 3 2 4" xfId="35310"/>
    <cellStyle name="Normal 8 7 3 3" xfId="4051"/>
    <cellStyle name="Normal 8 7 3 3 2" xfId="12276"/>
    <cellStyle name="Normal 8 7 3 3 2 2" xfId="28726"/>
    <cellStyle name="Normal 8 7 3 3 3" xfId="20501"/>
    <cellStyle name="Normal 8 7 3 3 4" xfId="36955"/>
    <cellStyle name="Normal 8 7 3 4" xfId="5696"/>
    <cellStyle name="Normal 8 7 3 4 2" xfId="13921"/>
    <cellStyle name="Normal 8 7 3 4 2 2" xfId="30371"/>
    <cellStyle name="Normal 8 7 3 4 3" xfId="22146"/>
    <cellStyle name="Normal 8 7 3 4 4" xfId="38600"/>
    <cellStyle name="Normal 8 7 3 5" xfId="7341"/>
    <cellStyle name="Normal 8 7 3 5 2" xfId="15566"/>
    <cellStyle name="Normal 8 7 3 5 2 2" xfId="32016"/>
    <cellStyle name="Normal 8 7 3 5 3" xfId="23791"/>
    <cellStyle name="Normal 8 7 3 5 4" xfId="40245"/>
    <cellStyle name="Normal 8 7 3 6" xfId="8986"/>
    <cellStyle name="Normal 8 7 3 6 2" xfId="25436"/>
    <cellStyle name="Normal 8 7 3 7" xfId="17210"/>
    <cellStyle name="Normal 8 7 3 8" xfId="33664"/>
    <cellStyle name="Normal 8 7 3 9" xfId="41891"/>
    <cellStyle name="Normal 8 7 4" xfId="946"/>
    <cellStyle name="Normal 8 7 4 2" xfId="2641"/>
    <cellStyle name="Normal 8 7 4 2 2" xfId="10866"/>
    <cellStyle name="Normal 8 7 4 2 2 2" xfId="27316"/>
    <cellStyle name="Normal 8 7 4 2 3" xfId="19091"/>
    <cellStyle name="Normal 8 7 4 2 4" xfId="35545"/>
    <cellStyle name="Normal 8 7 4 3" xfId="4286"/>
    <cellStyle name="Normal 8 7 4 3 2" xfId="12511"/>
    <cellStyle name="Normal 8 7 4 3 2 2" xfId="28961"/>
    <cellStyle name="Normal 8 7 4 3 3" xfId="20736"/>
    <cellStyle name="Normal 8 7 4 3 4" xfId="37190"/>
    <cellStyle name="Normal 8 7 4 4" xfId="5931"/>
    <cellStyle name="Normal 8 7 4 4 2" xfId="14156"/>
    <cellStyle name="Normal 8 7 4 4 2 2" xfId="30606"/>
    <cellStyle name="Normal 8 7 4 4 3" xfId="22381"/>
    <cellStyle name="Normal 8 7 4 4 4" xfId="38835"/>
    <cellStyle name="Normal 8 7 4 5" xfId="7576"/>
    <cellStyle name="Normal 8 7 4 5 2" xfId="15801"/>
    <cellStyle name="Normal 8 7 4 5 2 2" xfId="32251"/>
    <cellStyle name="Normal 8 7 4 5 3" xfId="24026"/>
    <cellStyle name="Normal 8 7 4 5 4" xfId="40480"/>
    <cellStyle name="Normal 8 7 4 6" xfId="9221"/>
    <cellStyle name="Normal 8 7 4 6 2" xfId="25671"/>
    <cellStyle name="Normal 8 7 4 7" xfId="17445"/>
    <cellStyle name="Normal 8 7 4 8" xfId="33899"/>
    <cellStyle name="Normal 8 7 4 9" xfId="42126"/>
    <cellStyle name="Normal 8 7 5" xfId="1181"/>
    <cellStyle name="Normal 8 7 5 2" xfId="2876"/>
    <cellStyle name="Normal 8 7 5 2 2" xfId="11101"/>
    <cellStyle name="Normal 8 7 5 2 2 2" xfId="27551"/>
    <cellStyle name="Normal 8 7 5 2 3" xfId="19326"/>
    <cellStyle name="Normal 8 7 5 2 4" xfId="35780"/>
    <cellStyle name="Normal 8 7 5 3" xfId="4521"/>
    <cellStyle name="Normal 8 7 5 3 2" xfId="12746"/>
    <cellStyle name="Normal 8 7 5 3 2 2" xfId="29196"/>
    <cellStyle name="Normal 8 7 5 3 3" xfId="20971"/>
    <cellStyle name="Normal 8 7 5 3 4" xfId="37425"/>
    <cellStyle name="Normal 8 7 5 4" xfId="6166"/>
    <cellStyle name="Normal 8 7 5 4 2" xfId="14391"/>
    <cellStyle name="Normal 8 7 5 4 2 2" xfId="30841"/>
    <cellStyle name="Normal 8 7 5 4 3" xfId="22616"/>
    <cellStyle name="Normal 8 7 5 4 4" xfId="39070"/>
    <cellStyle name="Normal 8 7 5 5" xfId="7811"/>
    <cellStyle name="Normal 8 7 5 5 2" xfId="16036"/>
    <cellStyle name="Normal 8 7 5 5 2 2" xfId="32486"/>
    <cellStyle name="Normal 8 7 5 5 3" xfId="24261"/>
    <cellStyle name="Normal 8 7 5 5 4" xfId="40715"/>
    <cellStyle name="Normal 8 7 5 6" xfId="9456"/>
    <cellStyle name="Normal 8 7 5 6 2" xfId="25906"/>
    <cellStyle name="Normal 8 7 5 7" xfId="17680"/>
    <cellStyle name="Normal 8 7 5 8" xfId="34134"/>
    <cellStyle name="Normal 8 7 5 9" xfId="42361"/>
    <cellStyle name="Normal 8 7 6" xfId="1461"/>
    <cellStyle name="Normal 8 7 6 2" xfId="3111"/>
    <cellStyle name="Normal 8 7 6 2 2" xfId="11336"/>
    <cellStyle name="Normal 8 7 6 2 2 2" xfId="27786"/>
    <cellStyle name="Normal 8 7 6 2 3" xfId="19561"/>
    <cellStyle name="Normal 8 7 6 2 4" xfId="36015"/>
    <cellStyle name="Normal 8 7 6 3" xfId="4756"/>
    <cellStyle name="Normal 8 7 6 3 2" xfId="12981"/>
    <cellStyle name="Normal 8 7 6 3 2 2" xfId="29431"/>
    <cellStyle name="Normal 8 7 6 3 3" xfId="21206"/>
    <cellStyle name="Normal 8 7 6 3 4" xfId="37660"/>
    <cellStyle name="Normal 8 7 6 4" xfId="6401"/>
    <cellStyle name="Normal 8 7 6 4 2" xfId="14626"/>
    <cellStyle name="Normal 8 7 6 4 2 2" xfId="31076"/>
    <cellStyle name="Normal 8 7 6 4 3" xfId="22851"/>
    <cellStyle name="Normal 8 7 6 4 4" xfId="39305"/>
    <cellStyle name="Normal 8 7 6 5" xfId="8046"/>
    <cellStyle name="Normal 8 7 6 5 2" xfId="16271"/>
    <cellStyle name="Normal 8 7 6 5 2 2" xfId="32721"/>
    <cellStyle name="Normal 8 7 6 5 3" xfId="24496"/>
    <cellStyle name="Normal 8 7 6 5 4" xfId="40950"/>
    <cellStyle name="Normal 8 7 6 6" xfId="9691"/>
    <cellStyle name="Normal 8 7 6 6 2" xfId="26141"/>
    <cellStyle name="Normal 8 7 6 7" xfId="17915"/>
    <cellStyle name="Normal 8 7 6 8" xfId="34369"/>
    <cellStyle name="Normal 8 7 7" xfId="1696"/>
    <cellStyle name="Normal 8 7 7 2" xfId="3346"/>
    <cellStyle name="Normal 8 7 7 2 2" xfId="11571"/>
    <cellStyle name="Normal 8 7 7 2 2 2" xfId="28021"/>
    <cellStyle name="Normal 8 7 7 2 3" xfId="19796"/>
    <cellStyle name="Normal 8 7 7 2 4" xfId="36250"/>
    <cellStyle name="Normal 8 7 7 3" xfId="4991"/>
    <cellStyle name="Normal 8 7 7 3 2" xfId="13216"/>
    <cellStyle name="Normal 8 7 7 3 2 2" xfId="29666"/>
    <cellStyle name="Normal 8 7 7 3 3" xfId="21441"/>
    <cellStyle name="Normal 8 7 7 3 4" xfId="37895"/>
    <cellStyle name="Normal 8 7 7 4" xfId="6636"/>
    <cellStyle name="Normal 8 7 7 4 2" xfId="14861"/>
    <cellStyle name="Normal 8 7 7 4 2 2" xfId="31311"/>
    <cellStyle name="Normal 8 7 7 4 3" xfId="23086"/>
    <cellStyle name="Normal 8 7 7 4 4" xfId="39540"/>
    <cellStyle name="Normal 8 7 7 5" xfId="8281"/>
    <cellStyle name="Normal 8 7 7 5 2" xfId="16506"/>
    <cellStyle name="Normal 8 7 7 5 2 2" xfId="32956"/>
    <cellStyle name="Normal 8 7 7 5 3" xfId="24731"/>
    <cellStyle name="Normal 8 7 7 5 4" xfId="41185"/>
    <cellStyle name="Normal 8 7 7 6" xfId="9926"/>
    <cellStyle name="Normal 8 7 7 6 2" xfId="26376"/>
    <cellStyle name="Normal 8 7 7 7" xfId="18150"/>
    <cellStyle name="Normal 8 7 7 8" xfId="34604"/>
    <cellStyle name="Normal 8 7 8" xfId="1931"/>
    <cellStyle name="Normal 8 7 8 2" xfId="10161"/>
    <cellStyle name="Normal 8 7 8 2 2" xfId="26611"/>
    <cellStyle name="Normal 8 7 8 3" xfId="18385"/>
    <cellStyle name="Normal 8 7 8 4" xfId="34839"/>
    <cellStyle name="Normal 8 7 9" xfId="3581"/>
    <cellStyle name="Normal 8 7 9 2" xfId="11806"/>
    <cellStyle name="Normal 8 7 9 2 2" xfId="28256"/>
    <cellStyle name="Normal 8 7 9 3" xfId="20031"/>
    <cellStyle name="Normal 8 7 9 4" xfId="36485"/>
    <cellStyle name="Normal 8 8" xfId="258"/>
    <cellStyle name="Normal 8 8 10" xfId="5253"/>
    <cellStyle name="Normal 8 8 10 2" xfId="13478"/>
    <cellStyle name="Normal 8 8 10 2 2" xfId="29928"/>
    <cellStyle name="Normal 8 8 10 3" xfId="21703"/>
    <cellStyle name="Normal 8 8 10 4" xfId="38157"/>
    <cellStyle name="Normal 8 8 11" xfId="6898"/>
    <cellStyle name="Normal 8 8 11 2" xfId="15123"/>
    <cellStyle name="Normal 8 8 11 2 2" xfId="31573"/>
    <cellStyle name="Normal 8 8 11 3" xfId="23348"/>
    <cellStyle name="Normal 8 8 11 4" xfId="39802"/>
    <cellStyle name="Normal 8 8 12" xfId="8543"/>
    <cellStyle name="Normal 8 8 12 2" xfId="24993"/>
    <cellStyle name="Normal 8 8 13" xfId="16767"/>
    <cellStyle name="Normal 8 8 14" xfId="33220"/>
    <cellStyle name="Normal 8 8 15" xfId="41448"/>
    <cellStyle name="Normal 8 8 2" xfId="501"/>
    <cellStyle name="Normal 8 8 2 2" xfId="2196"/>
    <cellStyle name="Normal 8 8 2 2 2" xfId="10423"/>
    <cellStyle name="Normal 8 8 2 2 2 2" xfId="26873"/>
    <cellStyle name="Normal 8 8 2 2 3" xfId="18648"/>
    <cellStyle name="Normal 8 8 2 2 4" xfId="35102"/>
    <cellStyle name="Normal 8 8 2 3" xfId="3843"/>
    <cellStyle name="Normal 8 8 2 3 2" xfId="12068"/>
    <cellStyle name="Normal 8 8 2 3 2 2" xfId="28518"/>
    <cellStyle name="Normal 8 8 2 3 3" xfId="20293"/>
    <cellStyle name="Normal 8 8 2 3 4" xfId="36747"/>
    <cellStyle name="Normal 8 8 2 4" xfId="5488"/>
    <cellStyle name="Normal 8 8 2 4 2" xfId="13713"/>
    <cellStyle name="Normal 8 8 2 4 2 2" xfId="30163"/>
    <cellStyle name="Normal 8 8 2 4 3" xfId="21938"/>
    <cellStyle name="Normal 8 8 2 4 4" xfId="38392"/>
    <cellStyle name="Normal 8 8 2 5" xfId="7133"/>
    <cellStyle name="Normal 8 8 2 5 2" xfId="15358"/>
    <cellStyle name="Normal 8 8 2 5 2 2" xfId="31808"/>
    <cellStyle name="Normal 8 8 2 5 3" xfId="23583"/>
    <cellStyle name="Normal 8 8 2 5 4" xfId="40037"/>
    <cellStyle name="Normal 8 8 2 6" xfId="8778"/>
    <cellStyle name="Normal 8 8 2 6 2" xfId="25228"/>
    <cellStyle name="Normal 8 8 2 7" xfId="17002"/>
    <cellStyle name="Normal 8 8 2 8" xfId="33456"/>
    <cellStyle name="Normal 8 8 2 9" xfId="41683"/>
    <cellStyle name="Normal 8 8 3" xfId="738"/>
    <cellStyle name="Normal 8 8 3 2" xfId="2433"/>
    <cellStyle name="Normal 8 8 3 2 2" xfId="10658"/>
    <cellStyle name="Normal 8 8 3 2 2 2" xfId="27108"/>
    <cellStyle name="Normal 8 8 3 2 3" xfId="18883"/>
    <cellStyle name="Normal 8 8 3 2 4" xfId="35337"/>
    <cellStyle name="Normal 8 8 3 3" xfId="4078"/>
    <cellStyle name="Normal 8 8 3 3 2" xfId="12303"/>
    <cellStyle name="Normal 8 8 3 3 2 2" xfId="28753"/>
    <cellStyle name="Normal 8 8 3 3 3" xfId="20528"/>
    <cellStyle name="Normal 8 8 3 3 4" xfId="36982"/>
    <cellStyle name="Normal 8 8 3 4" xfId="5723"/>
    <cellStyle name="Normal 8 8 3 4 2" xfId="13948"/>
    <cellStyle name="Normal 8 8 3 4 2 2" xfId="30398"/>
    <cellStyle name="Normal 8 8 3 4 3" xfId="22173"/>
    <cellStyle name="Normal 8 8 3 4 4" xfId="38627"/>
    <cellStyle name="Normal 8 8 3 5" xfId="7368"/>
    <cellStyle name="Normal 8 8 3 5 2" xfId="15593"/>
    <cellStyle name="Normal 8 8 3 5 2 2" xfId="32043"/>
    <cellStyle name="Normal 8 8 3 5 3" xfId="23818"/>
    <cellStyle name="Normal 8 8 3 5 4" xfId="40272"/>
    <cellStyle name="Normal 8 8 3 6" xfId="9013"/>
    <cellStyle name="Normal 8 8 3 6 2" xfId="25463"/>
    <cellStyle name="Normal 8 8 3 7" xfId="17237"/>
    <cellStyle name="Normal 8 8 3 8" xfId="33691"/>
    <cellStyle name="Normal 8 8 3 9" xfId="41918"/>
    <cellStyle name="Normal 8 8 4" xfId="973"/>
    <cellStyle name="Normal 8 8 4 2" xfId="2668"/>
    <cellStyle name="Normal 8 8 4 2 2" xfId="10893"/>
    <cellStyle name="Normal 8 8 4 2 2 2" xfId="27343"/>
    <cellStyle name="Normal 8 8 4 2 3" xfId="19118"/>
    <cellStyle name="Normal 8 8 4 2 4" xfId="35572"/>
    <cellStyle name="Normal 8 8 4 3" xfId="4313"/>
    <cellStyle name="Normal 8 8 4 3 2" xfId="12538"/>
    <cellStyle name="Normal 8 8 4 3 2 2" xfId="28988"/>
    <cellStyle name="Normal 8 8 4 3 3" xfId="20763"/>
    <cellStyle name="Normal 8 8 4 3 4" xfId="37217"/>
    <cellStyle name="Normal 8 8 4 4" xfId="5958"/>
    <cellStyle name="Normal 8 8 4 4 2" xfId="14183"/>
    <cellStyle name="Normal 8 8 4 4 2 2" xfId="30633"/>
    <cellStyle name="Normal 8 8 4 4 3" xfId="22408"/>
    <cellStyle name="Normal 8 8 4 4 4" xfId="38862"/>
    <cellStyle name="Normal 8 8 4 5" xfId="7603"/>
    <cellStyle name="Normal 8 8 4 5 2" xfId="15828"/>
    <cellStyle name="Normal 8 8 4 5 2 2" xfId="32278"/>
    <cellStyle name="Normal 8 8 4 5 3" xfId="24053"/>
    <cellStyle name="Normal 8 8 4 5 4" xfId="40507"/>
    <cellStyle name="Normal 8 8 4 6" xfId="9248"/>
    <cellStyle name="Normal 8 8 4 6 2" xfId="25698"/>
    <cellStyle name="Normal 8 8 4 7" xfId="17472"/>
    <cellStyle name="Normal 8 8 4 8" xfId="33926"/>
    <cellStyle name="Normal 8 8 4 9" xfId="42153"/>
    <cellStyle name="Normal 8 8 5" xfId="1208"/>
    <cellStyle name="Normal 8 8 5 2" xfId="2903"/>
    <cellStyle name="Normal 8 8 5 2 2" xfId="11128"/>
    <cellStyle name="Normal 8 8 5 2 2 2" xfId="27578"/>
    <cellStyle name="Normal 8 8 5 2 3" xfId="19353"/>
    <cellStyle name="Normal 8 8 5 2 4" xfId="35807"/>
    <cellStyle name="Normal 8 8 5 3" xfId="4548"/>
    <cellStyle name="Normal 8 8 5 3 2" xfId="12773"/>
    <cellStyle name="Normal 8 8 5 3 2 2" xfId="29223"/>
    <cellStyle name="Normal 8 8 5 3 3" xfId="20998"/>
    <cellStyle name="Normal 8 8 5 3 4" xfId="37452"/>
    <cellStyle name="Normal 8 8 5 4" xfId="6193"/>
    <cellStyle name="Normal 8 8 5 4 2" xfId="14418"/>
    <cellStyle name="Normal 8 8 5 4 2 2" xfId="30868"/>
    <cellStyle name="Normal 8 8 5 4 3" xfId="22643"/>
    <cellStyle name="Normal 8 8 5 4 4" xfId="39097"/>
    <cellStyle name="Normal 8 8 5 5" xfId="7838"/>
    <cellStyle name="Normal 8 8 5 5 2" xfId="16063"/>
    <cellStyle name="Normal 8 8 5 5 2 2" xfId="32513"/>
    <cellStyle name="Normal 8 8 5 5 3" xfId="24288"/>
    <cellStyle name="Normal 8 8 5 5 4" xfId="40742"/>
    <cellStyle name="Normal 8 8 5 6" xfId="9483"/>
    <cellStyle name="Normal 8 8 5 6 2" xfId="25933"/>
    <cellStyle name="Normal 8 8 5 7" xfId="17707"/>
    <cellStyle name="Normal 8 8 5 8" xfId="34161"/>
    <cellStyle name="Normal 8 8 5 9" xfId="42388"/>
    <cellStyle name="Normal 8 8 6" xfId="1488"/>
    <cellStyle name="Normal 8 8 6 2" xfId="3138"/>
    <cellStyle name="Normal 8 8 6 2 2" xfId="11363"/>
    <cellStyle name="Normal 8 8 6 2 2 2" xfId="27813"/>
    <cellStyle name="Normal 8 8 6 2 3" xfId="19588"/>
    <cellStyle name="Normal 8 8 6 2 4" xfId="36042"/>
    <cellStyle name="Normal 8 8 6 3" xfId="4783"/>
    <cellStyle name="Normal 8 8 6 3 2" xfId="13008"/>
    <cellStyle name="Normal 8 8 6 3 2 2" xfId="29458"/>
    <cellStyle name="Normal 8 8 6 3 3" xfId="21233"/>
    <cellStyle name="Normal 8 8 6 3 4" xfId="37687"/>
    <cellStyle name="Normal 8 8 6 4" xfId="6428"/>
    <cellStyle name="Normal 8 8 6 4 2" xfId="14653"/>
    <cellStyle name="Normal 8 8 6 4 2 2" xfId="31103"/>
    <cellStyle name="Normal 8 8 6 4 3" xfId="22878"/>
    <cellStyle name="Normal 8 8 6 4 4" xfId="39332"/>
    <cellStyle name="Normal 8 8 6 5" xfId="8073"/>
    <cellStyle name="Normal 8 8 6 5 2" xfId="16298"/>
    <cellStyle name="Normal 8 8 6 5 2 2" xfId="32748"/>
    <cellStyle name="Normal 8 8 6 5 3" xfId="24523"/>
    <cellStyle name="Normal 8 8 6 5 4" xfId="40977"/>
    <cellStyle name="Normal 8 8 6 6" xfId="9718"/>
    <cellStyle name="Normal 8 8 6 6 2" xfId="26168"/>
    <cellStyle name="Normal 8 8 6 7" xfId="17942"/>
    <cellStyle name="Normal 8 8 6 8" xfId="34396"/>
    <cellStyle name="Normal 8 8 7" xfId="1723"/>
    <cellStyle name="Normal 8 8 7 2" xfId="3373"/>
    <cellStyle name="Normal 8 8 7 2 2" xfId="11598"/>
    <cellStyle name="Normal 8 8 7 2 2 2" xfId="28048"/>
    <cellStyle name="Normal 8 8 7 2 3" xfId="19823"/>
    <cellStyle name="Normal 8 8 7 2 4" xfId="36277"/>
    <cellStyle name="Normal 8 8 7 3" xfId="5018"/>
    <cellStyle name="Normal 8 8 7 3 2" xfId="13243"/>
    <cellStyle name="Normal 8 8 7 3 2 2" xfId="29693"/>
    <cellStyle name="Normal 8 8 7 3 3" xfId="21468"/>
    <cellStyle name="Normal 8 8 7 3 4" xfId="37922"/>
    <cellStyle name="Normal 8 8 7 4" xfId="6663"/>
    <cellStyle name="Normal 8 8 7 4 2" xfId="14888"/>
    <cellStyle name="Normal 8 8 7 4 2 2" xfId="31338"/>
    <cellStyle name="Normal 8 8 7 4 3" xfId="23113"/>
    <cellStyle name="Normal 8 8 7 4 4" xfId="39567"/>
    <cellStyle name="Normal 8 8 7 5" xfId="8308"/>
    <cellStyle name="Normal 8 8 7 5 2" xfId="16533"/>
    <cellStyle name="Normal 8 8 7 5 2 2" xfId="32983"/>
    <cellStyle name="Normal 8 8 7 5 3" xfId="24758"/>
    <cellStyle name="Normal 8 8 7 5 4" xfId="41212"/>
    <cellStyle name="Normal 8 8 7 6" xfId="9953"/>
    <cellStyle name="Normal 8 8 7 6 2" xfId="26403"/>
    <cellStyle name="Normal 8 8 7 7" xfId="18177"/>
    <cellStyle name="Normal 8 8 7 8" xfId="34631"/>
    <cellStyle name="Normal 8 8 8" xfId="1958"/>
    <cellStyle name="Normal 8 8 8 2" xfId="10188"/>
    <cellStyle name="Normal 8 8 8 2 2" xfId="26638"/>
    <cellStyle name="Normal 8 8 8 3" xfId="18412"/>
    <cellStyle name="Normal 8 8 8 4" xfId="34866"/>
    <cellStyle name="Normal 8 8 9" xfId="3608"/>
    <cellStyle name="Normal 8 8 9 2" xfId="11833"/>
    <cellStyle name="Normal 8 8 9 2 2" xfId="28283"/>
    <cellStyle name="Normal 8 8 9 3" xfId="20058"/>
    <cellStyle name="Normal 8 8 9 4" xfId="36512"/>
    <cellStyle name="Normal 8 9" xfId="287"/>
    <cellStyle name="Normal 8 9 2" xfId="1988"/>
    <cellStyle name="Normal 8 9 2 2" xfId="10215"/>
    <cellStyle name="Normal 8 9 2 2 2" xfId="26665"/>
    <cellStyle name="Normal 8 9 2 3" xfId="18440"/>
    <cellStyle name="Normal 8 9 2 4" xfId="34894"/>
    <cellStyle name="Normal 8 9 3" xfId="3635"/>
    <cellStyle name="Normal 8 9 3 2" xfId="11860"/>
    <cellStyle name="Normal 8 9 3 2 2" xfId="28310"/>
    <cellStyle name="Normal 8 9 3 3" xfId="20085"/>
    <cellStyle name="Normal 8 9 3 4" xfId="36539"/>
    <cellStyle name="Normal 8 9 4" xfId="5280"/>
    <cellStyle name="Normal 8 9 4 2" xfId="13505"/>
    <cellStyle name="Normal 8 9 4 2 2" xfId="29955"/>
    <cellStyle name="Normal 8 9 4 3" xfId="21730"/>
    <cellStyle name="Normal 8 9 4 4" xfId="38184"/>
    <cellStyle name="Normal 8 9 5" xfId="6925"/>
    <cellStyle name="Normal 8 9 5 2" xfId="15150"/>
    <cellStyle name="Normal 8 9 5 2 2" xfId="31600"/>
    <cellStyle name="Normal 8 9 5 3" xfId="23375"/>
    <cellStyle name="Normal 8 9 5 4" xfId="39829"/>
    <cellStyle name="Normal 8 9 6" xfId="8570"/>
    <cellStyle name="Normal 8 9 6 2" xfId="25020"/>
    <cellStyle name="Normal 8 9 7" xfId="16794"/>
    <cellStyle name="Normal 8 9 8" xfId="33248"/>
    <cellStyle name="Normal 8 9 9" xfId="41475"/>
    <cellStyle name="Normal 9" xfId="46"/>
    <cellStyle name="Normal 9 10" xfId="532"/>
    <cellStyle name="Normal 9 10 2" xfId="2227"/>
    <cellStyle name="Normal 9 10 2 2" xfId="10452"/>
    <cellStyle name="Normal 9 10 2 2 2" xfId="26902"/>
    <cellStyle name="Normal 9 10 2 3" xfId="18677"/>
    <cellStyle name="Normal 9 10 2 4" xfId="35131"/>
    <cellStyle name="Normal 9 10 3" xfId="3872"/>
    <cellStyle name="Normal 9 10 3 2" xfId="12097"/>
    <cellStyle name="Normal 9 10 3 2 2" xfId="28547"/>
    <cellStyle name="Normal 9 10 3 3" xfId="20322"/>
    <cellStyle name="Normal 9 10 3 4" xfId="36776"/>
    <cellStyle name="Normal 9 10 4" xfId="5517"/>
    <cellStyle name="Normal 9 10 4 2" xfId="13742"/>
    <cellStyle name="Normal 9 10 4 2 2" xfId="30192"/>
    <cellStyle name="Normal 9 10 4 3" xfId="21967"/>
    <cellStyle name="Normal 9 10 4 4" xfId="38421"/>
    <cellStyle name="Normal 9 10 5" xfId="7162"/>
    <cellStyle name="Normal 9 10 5 2" xfId="15387"/>
    <cellStyle name="Normal 9 10 5 2 2" xfId="31837"/>
    <cellStyle name="Normal 9 10 5 3" xfId="23612"/>
    <cellStyle name="Normal 9 10 5 4" xfId="40066"/>
    <cellStyle name="Normal 9 10 6" xfId="8807"/>
    <cellStyle name="Normal 9 10 6 2" xfId="25257"/>
    <cellStyle name="Normal 9 10 7" xfId="17031"/>
    <cellStyle name="Normal 9 10 8" xfId="33485"/>
    <cellStyle name="Normal 9 10 9" xfId="41712"/>
    <cellStyle name="Normal 9 11" xfId="767"/>
    <cellStyle name="Normal 9 11 2" xfId="2462"/>
    <cellStyle name="Normal 9 11 2 2" xfId="10687"/>
    <cellStyle name="Normal 9 11 2 2 2" xfId="27137"/>
    <cellStyle name="Normal 9 11 2 3" xfId="18912"/>
    <cellStyle name="Normal 9 11 2 4" xfId="35366"/>
    <cellStyle name="Normal 9 11 3" xfId="4107"/>
    <cellStyle name="Normal 9 11 3 2" xfId="12332"/>
    <cellStyle name="Normal 9 11 3 2 2" xfId="28782"/>
    <cellStyle name="Normal 9 11 3 3" xfId="20557"/>
    <cellStyle name="Normal 9 11 3 4" xfId="37011"/>
    <cellStyle name="Normal 9 11 4" xfId="5752"/>
    <cellStyle name="Normal 9 11 4 2" xfId="13977"/>
    <cellStyle name="Normal 9 11 4 2 2" xfId="30427"/>
    <cellStyle name="Normal 9 11 4 3" xfId="22202"/>
    <cellStyle name="Normal 9 11 4 4" xfId="38656"/>
    <cellStyle name="Normal 9 11 5" xfId="7397"/>
    <cellStyle name="Normal 9 11 5 2" xfId="15622"/>
    <cellStyle name="Normal 9 11 5 2 2" xfId="32072"/>
    <cellStyle name="Normal 9 11 5 3" xfId="23847"/>
    <cellStyle name="Normal 9 11 5 4" xfId="40301"/>
    <cellStyle name="Normal 9 11 6" xfId="9042"/>
    <cellStyle name="Normal 9 11 6 2" xfId="25492"/>
    <cellStyle name="Normal 9 11 7" xfId="17266"/>
    <cellStyle name="Normal 9 11 8" xfId="33720"/>
    <cellStyle name="Normal 9 11 9" xfId="41947"/>
    <cellStyle name="Normal 9 12" xfId="1002"/>
    <cellStyle name="Normal 9 12 2" xfId="2697"/>
    <cellStyle name="Normal 9 12 2 2" xfId="10922"/>
    <cellStyle name="Normal 9 12 2 2 2" xfId="27372"/>
    <cellStyle name="Normal 9 12 2 3" xfId="19147"/>
    <cellStyle name="Normal 9 12 2 4" xfId="35601"/>
    <cellStyle name="Normal 9 12 3" xfId="4342"/>
    <cellStyle name="Normal 9 12 3 2" xfId="12567"/>
    <cellStyle name="Normal 9 12 3 2 2" xfId="29017"/>
    <cellStyle name="Normal 9 12 3 3" xfId="20792"/>
    <cellStyle name="Normal 9 12 3 4" xfId="37246"/>
    <cellStyle name="Normal 9 12 4" xfId="5987"/>
    <cellStyle name="Normal 9 12 4 2" xfId="14212"/>
    <cellStyle name="Normal 9 12 4 2 2" xfId="30662"/>
    <cellStyle name="Normal 9 12 4 3" xfId="22437"/>
    <cellStyle name="Normal 9 12 4 4" xfId="38891"/>
    <cellStyle name="Normal 9 12 5" xfId="7632"/>
    <cellStyle name="Normal 9 12 5 2" xfId="15857"/>
    <cellStyle name="Normal 9 12 5 2 2" xfId="32307"/>
    <cellStyle name="Normal 9 12 5 3" xfId="24082"/>
    <cellStyle name="Normal 9 12 5 4" xfId="40536"/>
    <cellStyle name="Normal 9 12 6" xfId="9277"/>
    <cellStyle name="Normal 9 12 6 2" xfId="25727"/>
    <cellStyle name="Normal 9 12 7" xfId="17501"/>
    <cellStyle name="Normal 9 12 8" xfId="33955"/>
    <cellStyle name="Normal 9 12 9" xfId="42182"/>
    <cellStyle name="Normal 9 13" xfId="1282"/>
    <cellStyle name="Normal 9 13 2" xfId="2932"/>
    <cellStyle name="Normal 9 13 2 2" xfId="11157"/>
    <cellStyle name="Normal 9 13 2 2 2" xfId="27607"/>
    <cellStyle name="Normal 9 13 2 3" xfId="19382"/>
    <cellStyle name="Normal 9 13 2 4" xfId="35836"/>
    <cellStyle name="Normal 9 13 3" xfId="4577"/>
    <cellStyle name="Normal 9 13 3 2" xfId="12802"/>
    <cellStyle name="Normal 9 13 3 2 2" xfId="29252"/>
    <cellStyle name="Normal 9 13 3 3" xfId="21027"/>
    <cellStyle name="Normal 9 13 3 4" xfId="37481"/>
    <cellStyle name="Normal 9 13 4" xfId="6222"/>
    <cellStyle name="Normal 9 13 4 2" xfId="14447"/>
    <cellStyle name="Normal 9 13 4 2 2" xfId="30897"/>
    <cellStyle name="Normal 9 13 4 3" xfId="22672"/>
    <cellStyle name="Normal 9 13 4 4" xfId="39126"/>
    <cellStyle name="Normal 9 13 5" xfId="7867"/>
    <cellStyle name="Normal 9 13 5 2" xfId="16092"/>
    <cellStyle name="Normal 9 13 5 2 2" xfId="32542"/>
    <cellStyle name="Normal 9 13 5 3" xfId="24317"/>
    <cellStyle name="Normal 9 13 5 4" xfId="40771"/>
    <cellStyle name="Normal 9 13 6" xfId="9512"/>
    <cellStyle name="Normal 9 13 6 2" xfId="25962"/>
    <cellStyle name="Normal 9 13 7" xfId="17736"/>
    <cellStyle name="Normal 9 13 8" xfId="34190"/>
    <cellStyle name="Normal 9 14" xfId="1517"/>
    <cellStyle name="Normal 9 14 2" xfId="3167"/>
    <cellStyle name="Normal 9 14 2 2" xfId="11392"/>
    <cellStyle name="Normal 9 14 2 2 2" xfId="27842"/>
    <cellStyle name="Normal 9 14 2 3" xfId="19617"/>
    <cellStyle name="Normal 9 14 2 4" xfId="36071"/>
    <cellStyle name="Normal 9 14 3" xfId="4812"/>
    <cellStyle name="Normal 9 14 3 2" xfId="13037"/>
    <cellStyle name="Normal 9 14 3 2 2" xfId="29487"/>
    <cellStyle name="Normal 9 14 3 3" xfId="21262"/>
    <cellStyle name="Normal 9 14 3 4" xfId="37716"/>
    <cellStyle name="Normal 9 14 4" xfId="6457"/>
    <cellStyle name="Normal 9 14 4 2" xfId="14682"/>
    <cellStyle name="Normal 9 14 4 2 2" xfId="31132"/>
    <cellStyle name="Normal 9 14 4 3" xfId="22907"/>
    <cellStyle name="Normal 9 14 4 4" xfId="39361"/>
    <cellStyle name="Normal 9 14 5" xfId="8102"/>
    <cellStyle name="Normal 9 14 5 2" xfId="16327"/>
    <cellStyle name="Normal 9 14 5 2 2" xfId="32777"/>
    <cellStyle name="Normal 9 14 5 3" xfId="24552"/>
    <cellStyle name="Normal 9 14 5 4" xfId="41006"/>
    <cellStyle name="Normal 9 14 6" xfId="9747"/>
    <cellStyle name="Normal 9 14 6 2" xfId="26197"/>
    <cellStyle name="Normal 9 14 7" xfId="17971"/>
    <cellStyle name="Normal 9 14 8" xfId="34425"/>
    <cellStyle name="Normal 9 15" xfId="1752"/>
    <cellStyle name="Normal 9 15 2" xfId="9982"/>
    <cellStyle name="Normal 9 15 2 2" xfId="26432"/>
    <cellStyle name="Normal 9 15 3" xfId="18206"/>
    <cellStyle name="Normal 9 15 4" xfId="34660"/>
    <cellStyle name="Normal 9 16" xfId="3402"/>
    <cellStyle name="Normal 9 16 2" xfId="11627"/>
    <cellStyle name="Normal 9 16 2 2" xfId="28077"/>
    <cellStyle name="Normal 9 16 3" xfId="19852"/>
    <cellStyle name="Normal 9 16 4" xfId="36306"/>
    <cellStyle name="Normal 9 17" xfId="5047"/>
    <cellStyle name="Normal 9 17 2" xfId="13272"/>
    <cellStyle name="Normal 9 17 2 2" xfId="29722"/>
    <cellStyle name="Normal 9 17 3" xfId="21497"/>
    <cellStyle name="Normal 9 17 4" xfId="37951"/>
    <cellStyle name="Normal 9 18" xfId="6692"/>
    <cellStyle name="Normal 9 18 2" xfId="14917"/>
    <cellStyle name="Normal 9 18 2 2" xfId="31367"/>
    <cellStyle name="Normal 9 18 3" xfId="23142"/>
    <cellStyle name="Normal 9 18 4" xfId="39596"/>
    <cellStyle name="Normal 9 19" xfId="8337"/>
    <cellStyle name="Normal 9 19 2" xfId="24787"/>
    <cellStyle name="Normal 9 2" xfId="73"/>
    <cellStyle name="Normal 9 2 10" xfId="3427"/>
    <cellStyle name="Normal 9 2 10 2" xfId="11652"/>
    <cellStyle name="Normal 9 2 10 2 2" xfId="28102"/>
    <cellStyle name="Normal 9 2 10 3" xfId="19877"/>
    <cellStyle name="Normal 9 2 10 4" xfId="36331"/>
    <cellStyle name="Normal 9 2 11" xfId="5072"/>
    <cellStyle name="Normal 9 2 11 2" xfId="13297"/>
    <cellStyle name="Normal 9 2 11 2 2" xfId="29747"/>
    <cellStyle name="Normal 9 2 11 3" xfId="21522"/>
    <cellStyle name="Normal 9 2 11 4" xfId="37976"/>
    <cellStyle name="Normal 9 2 12" xfId="6717"/>
    <cellStyle name="Normal 9 2 12 2" xfId="14942"/>
    <cellStyle name="Normal 9 2 12 2 2" xfId="31392"/>
    <cellStyle name="Normal 9 2 12 3" xfId="23167"/>
    <cellStyle name="Normal 9 2 12 4" xfId="39621"/>
    <cellStyle name="Normal 9 2 13" xfId="8362"/>
    <cellStyle name="Normal 9 2 13 2" xfId="24812"/>
    <cellStyle name="Normal 9 2 14" xfId="16586"/>
    <cellStyle name="Normal 9 2 15" xfId="33039"/>
    <cellStyle name="Normal 9 2 16" xfId="41267"/>
    <cellStyle name="Normal 9 2 2" xfId="123"/>
    <cellStyle name="Normal 9 2 2 10" xfId="5122"/>
    <cellStyle name="Normal 9 2 2 10 2" xfId="13347"/>
    <cellStyle name="Normal 9 2 2 10 2 2" xfId="29797"/>
    <cellStyle name="Normal 9 2 2 10 3" xfId="21572"/>
    <cellStyle name="Normal 9 2 2 10 4" xfId="38026"/>
    <cellStyle name="Normal 9 2 2 11" xfId="6767"/>
    <cellStyle name="Normal 9 2 2 11 2" xfId="14992"/>
    <cellStyle name="Normal 9 2 2 11 2 2" xfId="31442"/>
    <cellStyle name="Normal 9 2 2 11 3" xfId="23217"/>
    <cellStyle name="Normal 9 2 2 11 4" xfId="39671"/>
    <cellStyle name="Normal 9 2 2 12" xfId="8412"/>
    <cellStyle name="Normal 9 2 2 12 2" xfId="24862"/>
    <cellStyle name="Normal 9 2 2 13" xfId="16636"/>
    <cellStyle name="Normal 9 2 2 14" xfId="33089"/>
    <cellStyle name="Normal 9 2 2 15" xfId="41317"/>
    <cellStyle name="Normal 9 2 2 2" xfId="366"/>
    <cellStyle name="Normal 9 2 2 2 2" xfId="2065"/>
    <cellStyle name="Normal 9 2 2 2 2 2" xfId="10292"/>
    <cellStyle name="Normal 9 2 2 2 2 2 2" xfId="26742"/>
    <cellStyle name="Normal 9 2 2 2 2 3" xfId="18517"/>
    <cellStyle name="Normal 9 2 2 2 2 4" xfId="34971"/>
    <cellStyle name="Normal 9 2 2 2 3" xfId="3712"/>
    <cellStyle name="Normal 9 2 2 2 3 2" xfId="11937"/>
    <cellStyle name="Normal 9 2 2 2 3 2 2" xfId="28387"/>
    <cellStyle name="Normal 9 2 2 2 3 3" xfId="20162"/>
    <cellStyle name="Normal 9 2 2 2 3 4" xfId="36616"/>
    <cellStyle name="Normal 9 2 2 2 4" xfId="5357"/>
    <cellStyle name="Normal 9 2 2 2 4 2" xfId="13582"/>
    <cellStyle name="Normal 9 2 2 2 4 2 2" xfId="30032"/>
    <cellStyle name="Normal 9 2 2 2 4 3" xfId="21807"/>
    <cellStyle name="Normal 9 2 2 2 4 4" xfId="38261"/>
    <cellStyle name="Normal 9 2 2 2 5" xfId="7002"/>
    <cellStyle name="Normal 9 2 2 2 5 2" xfId="15227"/>
    <cellStyle name="Normal 9 2 2 2 5 2 2" xfId="31677"/>
    <cellStyle name="Normal 9 2 2 2 5 3" xfId="23452"/>
    <cellStyle name="Normal 9 2 2 2 5 4" xfId="39906"/>
    <cellStyle name="Normal 9 2 2 2 6" xfId="8647"/>
    <cellStyle name="Normal 9 2 2 2 6 2" xfId="25097"/>
    <cellStyle name="Normal 9 2 2 2 7" xfId="16871"/>
    <cellStyle name="Normal 9 2 2 2 8" xfId="33325"/>
    <cellStyle name="Normal 9 2 2 2 9" xfId="41552"/>
    <cellStyle name="Normal 9 2 2 3" xfId="607"/>
    <cellStyle name="Normal 9 2 2 3 2" xfId="2302"/>
    <cellStyle name="Normal 9 2 2 3 2 2" xfId="10527"/>
    <cellStyle name="Normal 9 2 2 3 2 2 2" xfId="26977"/>
    <cellStyle name="Normal 9 2 2 3 2 3" xfId="18752"/>
    <cellStyle name="Normal 9 2 2 3 2 4" xfId="35206"/>
    <cellStyle name="Normal 9 2 2 3 3" xfId="3947"/>
    <cellStyle name="Normal 9 2 2 3 3 2" xfId="12172"/>
    <cellStyle name="Normal 9 2 2 3 3 2 2" xfId="28622"/>
    <cellStyle name="Normal 9 2 2 3 3 3" xfId="20397"/>
    <cellStyle name="Normal 9 2 2 3 3 4" xfId="36851"/>
    <cellStyle name="Normal 9 2 2 3 4" xfId="5592"/>
    <cellStyle name="Normal 9 2 2 3 4 2" xfId="13817"/>
    <cellStyle name="Normal 9 2 2 3 4 2 2" xfId="30267"/>
    <cellStyle name="Normal 9 2 2 3 4 3" xfId="22042"/>
    <cellStyle name="Normal 9 2 2 3 4 4" xfId="38496"/>
    <cellStyle name="Normal 9 2 2 3 5" xfId="7237"/>
    <cellStyle name="Normal 9 2 2 3 5 2" xfId="15462"/>
    <cellStyle name="Normal 9 2 2 3 5 2 2" xfId="31912"/>
    <cellStyle name="Normal 9 2 2 3 5 3" xfId="23687"/>
    <cellStyle name="Normal 9 2 2 3 5 4" xfId="40141"/>
    <cellStyle name="Normal 9 2 2 3 6" xfId="8882"/>
    <cellStyle name="Normal 9 2 2 3 6 2" xfId="25332"/>
    <cellStyle name="Normal 9 2 2 3 7" xfId="17106"/>
    <cellStyle name="Normal 9 2 2 3 8" xfId="33560"/>
    <cellStyle name="Normal 9 2 2 3 9" xfId="41787"/>
    <cellStyle name="Normal 9 2 2 4" xfId="842"/>
    <cellStyle name="Normal 9 2 2 4 2" xfId="2537"/>
    <cellStyle name="Normal 9 2 2 4 2 2" xfId="10762"/>
    <cellStyle name="Normal 9 2 2 4 2 2 2" xfId="27212"/>
    <cellStyle name="Normal 9 2 2 4 2 3" xfId="18987"/>
    <cellStyle name="Normal 9 2 2 4 2 4" xfId="35441"/>
    <cellStyle name="Normal 9 2 2 4 3" xfId="4182"/>
    <cellStyle name="Normal 9 2 2 4 3 2" xfId="12407"/>
    <cellStyle name="Normal 9 2 2 4 3 2 2" xfId="28857"/>
    <cellStyle name="Normal 9 2 2 4 3 3" xfId="20632"/>
    <cellStyle name="Normal 9 2 2 4 3 4" xfId="37086"/>
    <cellStyle name="Normal 9 2 2 4 4" xfId="5827"/>
    <cellStyle name="Normal 9 2 2 4 4 2" xfId="14052"/>
    <cellStyle name="Normal 9 2 2 4 4 2 2" xfId="30502"/>
    <cellStyle name="Normal 9 2 2 4 4 3" xfId="22277"/>
    <cellStyle name="Normal 9 2 2 4 4 4" xfId="38731"/>
    <cellStyle name="Normal 9 2 2 4 5" xfId="7472"/>
    <cellStyle name="Normal 9 2 2 4 5 2" xfId="15697"/>
    <cellStyle name="Normal 9 2 2 4 5 2 2" xfId="32147"/>
    <cellStyle name="Normal 9 2 2 4 5 3" xfId="23922"/>
    <cellStyle name="Normal 9 2 2 4 5 4" xfId="40376"/>
    <cellStyle name="Normal 9 2 2 4 6" xfId="9117"/>
    <cellStyle name="Normal 9 2 2 4 6 2" xfId="25567"/>
    <cellStyle name="Normal 9 2 2 4 7" xfId="17341"/>
    <cellStyle name="Normal 9 2 2 4 8" xfId="33795"/>
    <cellStyle name="Normal 9 2 2 4 9" xfId="42022"/>
    <cellStyle name="Normal 9 2 2 5" xfId="1077"/>
    <cellStyle name="Normal 9 2 2 5 2" xfId="2772"/>
    <cellStyle name="Normal 9 2 2 5 2 2" xfId="10997"/>
    <cellStyle name="Normal 9 2 2 5 2 2 2" xfId="27447"/>
    <cellStyle name="Normal 9 2 2 5 2 3" xfId="19222"/>
    <cellStyle name="Normal 9 2 2 5 2 4" xfId="35676"/>
    <cellStyle name="Normal 9 2 2 5 3" xfId="4417"/>
    <cellStyle name="Normal 9 2 2 5 3 2" xfId="12642"/>
    <cellStyle name="Normal 9 2 2 5 3 2 2" xfId="29092"/>
    <cellStyle name="Normal 9 2 2 5 3 3" xfId="20867"/>
    <cellStyle name="Normal 9 2 2 5 3 4" xfId="37321"/>
    <cellStyle name="Normal 9 2 2 5 4" xfId="6062"/>
    <cellStyle name="Normal 9 2 2 5 4 2" xfId="14287"/>
    <cellStyle name="Normal 9 2 2 5 4 2 2" xfId="30737"/>
    <cellStyle name="Normal 9 2 2 5 4 3" xfId="22512"/>
    <cellStyle name="Normal 9 2 2 5 4 4" xfId="38966"/>
    <cellStyle name="Normal 9 2 2 5 5" xfId="7707"/>
    <cellStyle name="Normal 9 2 2 5 5 2" xfId="15932"/>
    <cellStyle name="Normal 9 2 2 5 5 2 2" xfId="32382"/>
    <cellStyle name="Normal 9 2 2 5 5 3" xfId="24157"/>
    <cellStyle name="Normal 9 2 2 5 5 4" xfId="40611"/>
    <cellStyle name="Normal 9 2 2 5 6" xfId="9352"/>
    <cellStyle name="Normal 9 2 2 5 6 2" xfId="25802"/>
    <cellStyle name="Normal 9 2 2 5 7" xfId="17576"/>
    <cellStyle name="Normal 9 2 2 5 8" xfId="34030"/>
    <cellStyle name="Normal 9 2 2 5 9" xfId="42257"/>
    <cellStyle name="Normal 9 2 2 6" xfId="1357"/>
    <cellStyle name="Normal 9 2 2 6 2" xfId="3007"/>
    <cellStyle name="Normal 9 2 2 6 2 2" xfId="11232"/>
    <cellStyle name="Normal 9 2 2 6 2 2 2" xfId="27682"/>
    <cellStyle name="Normal 9 2 2 6 2 3" xfId="19457"/>
    <cellStyle name="Normal 9 2 2 6 2 4" xfId="35911"/>
    <cellStyle name="Normal 9 2 2 6 3" xfId="4652"/>
    <cellStyle name="Normal 9 2 2 6 3 2" xfId="12877"/>
    <cellStyle name="Normal 9 2 2 6 3 2 2" xfId="29327"/>
    <cellStyle name="Normal 9 2 2 6 3 3" xfId="21102"/>
    <cellStyle name="Normal 9 2 2 6 3 4" xfId="37556"/>
    <cellStyle name="Normal 9 2 2 6 4" xfId="6297"/>
    <cellStyle name="Normal 9 2 2 6 4 2" xfId="14522"/>
    <cellStyle name="Normal 9 2 2 6 4 2 2" xfId="30972"/>
    <cellStyle name="Normal 9 2 2 6 4 3" xfId="22747"/>
    <cellStyle name="Normal 9 2 2 6 4 4" xfId="39201"/>
    <cellStyle name="Normal 9 2 2 6 5" xfId="7942"/>
    <cellStyle name="Normal 9 2 2 6 5 2" xfId="16167"/>
    <cellStyle name="Normal 9 2 2 6 5 2 2" xfId="32617"/>
    <cellStyle name="Normal 9 2 2 6 5 3" xfId="24392"/>
    <cellStyle name="Normal 9 2 2 6 5 4" xfId="40846"/>
    <cellStyle name="Normal 9 2 2 6 6" xfId="9587"/>
    <cellStyle name="Normal 9 2 2 6 6 2" xfId="26037"/>
    <cellStyle name="Normal 9 2 2 6 7" xfId="17811"/>
    <cellStyle name="Normal 9 2 2 6 8" xfId="34265"/>
    <cellStyle name="Normal 9 2 2 7" xfId="1592"/>
    <cellStyle name="Normal 9 2 2 7 2" xfId="3242"/>
    <cellStyle name="Normal 9 2 2 7 2 2" xfId="11467"/>
    <cellStyle name="Normal 9 2 2 7 2 2 2" xfId="27917"/>
    <cellStyle name="Normal 9 2 2 7 2 3" xfId="19692"/>
    <cellStyle name="Normal 9 2 2 7 2 4" xfId="36146"/>
    <cellStyle name="Normal 9 2 2 7 3" xfId="4887"/>
    <cellStyle name="Normal 9 2 2 7 3 2" xfId="13112"/>
    <cellStyle name="Normal 9 2 2 7 3 2 2" xfId="29562"/>
    <cellStyle name="Normal 9 2 2 7 3 3" xfId="21337"/>
    <cellStyle name="Normal 9 2 2 7 3 4" xfId="37791"/>
    <cellStyle name="Normal 9 2 2 7 4" xfId="6532"/>
    <cellStyle name="Normal 9 2 2 7 4 2" xfId="14757"/>
    <cellStyle name="Normal 9 2 2 7 4 2 2" xfId="31207"/>
    <cellStyle name="Normal 9 2 2 7 4 3" xfId="22982"/>
    <cellStyle name="Normal 9 2 2 7 4 4" xfId="39436"/>
    <cellStyle name="Normal 9 2 2 7 5" xfId="8177"/>
    <cellStyle name="Normal 9 2 2 7 5 2" xfId="16402"/>
    <cellStyle name="Normal 9 2 2 7 5 2 2" xfId="32852"/>
    <cellStyle name="Normal 9 2 2 7 5 3" xfId="24627"/>
    <cellStyle name="Normal 9 2 2 7 5 4" xfId="41081"/>
    <cellStyle name="Normal 9 2 2 7 6" xfId="9822"/>
    <cellStyle name="Normal 9 2 2 7 6 2" xfId="26272"/>
    <cellStyle name="Normal 9 2 2 7 7" xfId="18046"/>
    <cellStyle name="Normal 9 2 2 7 8" xfId="34500"/>
    <cellStyle name="Normal 9 2 2 8" xfId="1827"/>
    <cellStyle name="Normal 9 2 2 8 2" xfId="10057"/>
    <cellStyle name="Normal 9 2 2 8 2 2" xfId="26507"/>
    <cellStyle name="Normal 9 2 2 8 3" xfId="18281"/>
    <cellStyle name="Normal 9 2 2 8 4" xfId="34735"/>
    <cellStyle name="Normal 9 2 2 9" xfId="3477"/>
    <cellStyle name="Normal 9 2 2 9 2" xfId="11702"/>
    <cellStyle name="Normal 9 2 2 9 2 2" xfId="28152"/>
    <cellStyle name="Normal 9 2 2 9 3" xfId="19927"/>
    <cellStyle name="Normal 9 2 2 9 4" xfId="36381"/>
    <cellStyle name="Normal 9 2 3" xfId="316"/>
    <cellStyle name="Normal 9 2 3 2" xfId="2015"/>
    <cellStyle name="Normal 9 2 3 2 2" xfId="10242"/>
    <cellStyle name="Normal 9 2 3 2 2 2" xfId="26692"/>
    <cellStyle name="Normal 9 2 3 2 3" xfId="18467"/>
    <cellStyle name="Normal 9 2 3 2 4" xfId="34921"/>
    <cellStyle name="Normal 9 2 3 3" xfId="3662"/>
    <cellStyle name="Normal 9 2 3 3 2" xfId="11887"/>
    <cellStyle name="Normal 9 2 3 3 2 2" xfId="28337"/>
    <cellStyle name="Normal 9 2 3 3 3" xfId="20112"/>
    <cellStyle name="Normal 9 2 3 3 4" xfId="36566"/>
    <cellStyle name="Normal 9 2 3 4" xfId="5307"/>
    <cellStyle name="Normal 9 2 3 4 2" xfId="13532"/>
    <cellStyle name="Normal 9 2 3 4 2 2" xfId="29982"/>
    <cellStyle name="Normal 9 2 3 4 3" xfId="21757"/>
    <cellStyle name="Normal 9 2 3 4 4" xfId="38211"/>
    <cellStyle name="Normal 9 2 3 5" xfId="6952"/>
    <cellStyle name="Normal 9 2 3 5 2" xfId="15177"/>
    <cellStyle name="Normal 9 2 3 5 2 2" xfId="31627"/>
    <cellStyle name="Normal 9 2 3 5 3" xfId="23402"/>
    <cellStyle name="Normal 9 2 3 5 4" xfId="39856"/>
    <cellStyle name="Normal 9 2 3 6" xfId="8597"/>
    <cellStyle name="Normal 9 2 3 6 2" xfId="25047"/>
    <cellStyle name="Normal 9 2 3 7" xfId="16821"/>
    <cellStyle name="Normal 9 2 3 8" xfId="33275"/>
    <cellStyle name="Normal 9 2 3 9" xfId="41502"/>
    <cellStyle name="Normal 9 2 4" xfId="557"/>
    <cellStyle name="Normal 9 2 4 2" xfId="2252"/>
    <cellStyle name="Normal 9 2 4 2 2" xfId="10477"/>
    <cellStyle name="Normal 9 2 4 2 2 2" xfId="26927"/>
    <cellStyle name="Normal 9 2 4 2 3" xfId="18702"/>
    <cellStyle name="Normal 9 2 4 2 4" xfId="35156"/>
    <cellStyle name="Normal 9 2 4 3" xfId="3897"/>
    <cellStyle name="Normal 9 2 4 3 2" xfId="12122"/>
    <cellStyle name="Normal 9 2 4 3 2 2" xfId="28572"/>
    <cellStyle name="Normal 9 2 4 3 3" xfId="20347"/>
    <cellStyle name="Normal 9 2 4 3 4" xfId="36801"/>
    <cellStyle name="Normal 9 2 4 4" xfId="5542"/>
    <cellStyle name="Normal 9 2 4 4 2" xfId="13767"/>
    <cellStyle name="Normal 9 2 4 4 2 2" xfId="30217"/>
    <cellStyle name="Normal 9 2 4 4 3" xfId="21992"/>
    <cellStyle name="Normal 9 2 4 4 4" xfId="38446"/>
    <cellStyle name="Normal 9 2 4 5" xfId="7187"/>
    <cellStyle name="Normal 9 2 4 5 2" xfId="15412"/>
    <cellStyle name="Normal 9 2 4 5 2 2" xfId="31862"/>
    <cellStyle name="Normal 9 2 4 5 3" xfId="23637"/>
    <cellStyle name="Normal 9 2 4 5 4" xfId="40091"/>
    <cellStyle name="Normal 9 2 4 6" xfId="8832"/>
    <cellStyle name="Normal 9 2 4 6 2" xfId="25282"/>
    <cellStyle name="Normal 9 2 4 7" xfId="17056"/>
    <cellStyle name="Normal 9 2 4 8" xfId="33510"/>
    <cellStyle name="Normal 9 2 4 9" xfId="41737"/>
    <cellStyle name="Normal 9 2 5" xfId="792"/>
    <cellStyle name="Normal 9 2 5 2" xfId="2487"/>
    <cellStyle name="Normal 9 2 5 2 2" xfId="10712"/>
    <cellStyle name="Normal 9 2 5 2 2 2" xfId="27162"/>
    <cellStyle name="Normal 9 2 5 2 3" xfId="18937"/>
    <cellStyle name="Normal 9 2 5 2 4" xfId="35391"/>
    <cellStyle name="Normal 9 2 5 3" xfId="4132"/>
    <cellStyle name="Normal 9 2 5 3 2" xfId="12357"/>
    <cellStyle name="Normal 9 2 5 3 2 2" xfId="28807"/>
    <cellStyle name="Normal 9 2 5 3 3" xfId="20582"/>
    <cellStyle name="Normal 9 2 5 3 4" xfId="37036"/>
    <cellStyle name="Normal 9 2 5 4" xfId="5777"/>
    <cellStyle name="Normal 9 2 5 4 2" xfId="14002"/>
    <cellStyle name="Normal 9 2 5 4 2 2" xfId="30452"/>
    <cellStyle name="Normal 9 2 5 4 3" xfId="22227"/>
    <cellStyle name="Normal 9 2 5 4 4" xfId="38681"/>
    <cellStyle name="Normal 9 2 5 5" xfId="7422"/>
    <cellStyle name="Normal 9 2 5 5 2" xfId="15647"/>
    <cellStyle name="Normal 9 2 5 5 2 2" xfId="32097"/>
    <cellStyle name="Normal 9 2 5 5 3" xfId="23872"/>
    <cellStyle name="Normal 9 2 5 5 4" xfId="40326"/>
    <cellStyle name="Normal 9 2 5 6" xfId="9067"/>
    <cellStyle name="Normal 9 2 5 6 2" xfId="25517"/>
    <cellStyle name="Normal 9 2 5 7" xfId="17291"/>
    <cellStyle name="Normal 9 2 5 8" xfId="33745"/>
    <cellStyle name="Normal 9 2 5 9" xfId="41972"/>
    <cellStyle name="Normal 9 2 6" xfId="1027"/>
    <cellStyle name="Normal 9 2 6 2" xfId="2722"/>
    <cellStyle name="Normal 9 2 6 2 2" xfId="10947"/>
    <cellStyle name="Normal 9 2 6 2 2 2" xfId="27397"/>
    <cellStyle name="Normal 9 2 6 2 3" xfId="19172"/>
    <cellStyle name="Normal 9 2 6 2 4" xfId="35626"/>
    <cellStyle name="Normal 9 2 6 3" xfId="4367"/>
    <cellStyle name="Normal 9 2 6 3 2" xfId="12592"/>
    <cellStyle name="Normal 9 2 6 3 2 2" xfId="29042"/>
    <cellStyle name="Normal 9 2 6 3 3" xfId="20817"/>
    <cellStyle name="Normal 9 2 6 3 4" xfId="37271"/>
    <cellStyle name="Normal 9 2 6 4" xfId="6012"/>
    <cellStyle name="Normal 9 2 6 4 2" xfId="14237"/>
    <cellStyle name="Normal 9 2 6 4 2 2" xfId="30687"/>
    <cellStyle name="Normal 9 2 6 4 3" xfId="22462"/>
    <cellStyle name="Normal 9 2 6 4 4" xfId="38916"/>
    <cellStyle name="Normal 9 2 6 5" xfId="7657"/>
    <cellStyle name="Normal 9 2 6 5 2" xfId="15882"/>
    <cellStyle name="Normal 9 2 6 5 2 2" xfId="32332"/>
    <cellStyle name="Normal 9 2 6 5 3" xfId="24107"/>
    <cellStyle name="Normal 9 2 6 5 4" xfId="40561"/>
    <cellStyle name="Normal 9 2 6 6" xfId="9302"/>
    <cellStyle name="Normal 9 2 6 6 2" xfId="25752"/>
    <cellStyle name="Normal 9 2 6 7" xfId="17526"/>
    <cellStyle name="Normal 9 2 6 8" xfId="33980"/>
    <cellStyle name="Normal 9 2 6 9" xfId="42207"/>
    <cellStyle name="Normal 9 2 7" xfId="1307"/>
    <cellStyle name="Normal 9 2 7 2" xfId="2957"/>
    <cellStyle name="Normal 9 2 7 2 2" xfId="11182"/>
    <cellStyle name="Normal 9 2 7 2 2 2" xfId="27632"/>
    <cellStyle name="Normal 9 2 7 2 3" xfId="19407"/>
    <cellStyle name="Normal 9 2 7 2 4" xfId="35861"/>
    <cellStyle name="Normal 9 2 7 3" xfId="4602"/>
    <cellStyle name="Normal 9 2 7 3 2" xfId="12827"/>
    <cellStyle name="Normal 9 2 7 3 2 2" xfId="29277"/>
    <cellStyle name="Normal 9 2 7 3 3" xfId="21052"/>
    <cellStyle name="Normal 9 2 7 3 4" xfId="37506"/>
    <cellStyle name="Normal 9 2 7 4" xfId="6247"/>
    <cellStyle name="Normal 9 2 7 4 2" xfId="14472"/>
    <cellStyle name="Normal 9 2 7 4 2 2" xfId="30922"/>
    <cellStyle name="Normal 9 2 7 4 3" xfId="22697"/>
    <cellStyle name="Normal 9 2 7 4 4" xfId="39151"/>
    <cellStyle name="Normal 9 2 7 5" xfId="7892"/>
    <cellStyle name="Normal 9 2 7 5 2" xfId="16117"/>
    <cellStyle name="Normal 9 2 7 5 2 2" xfId="32567"/>
    <cellStyle name="Normal 9 2 7 5 3" xfId="24342"/>
    <cellStyle name="Normal 9 2 7 5 4" xfId="40796"/>
    <cellStyle name="Normal 9 2 7 6" xfId="9537"/>
    <cellStyle name="Normal 9 2 7 6 2" xfId="25987"/>
    <cellStyle name="Normal 9 2 7 7" xfId="17761"/>
    <cellStyle name="Normal 9 2 7 8" xfId="34215"/>
    <cellStyle name="Normal 9 2 8" xfId="1542"/>
    <cellStyle name="Normal 9 2 8 2" xfId="3192"/>
    <cellStyle name="Normal 9 2 8 2 2" xfId="11417"/>
    <cellStyle name="Normal 9 2 8 2 2 2" xfId="27867"/>
    <cellStyle name="Normal 9 2 8 2 3" xfId="19642"/>
    <cellStyle name="Normal 9 2 8 2 4" xfId="36096"/>
    <cellStyle name="Normal 9 2 8 3" xfId="4837"/>
    <cellStyle name="Normal 9 2 8 3 2" xfId="13062"/>
    <cellStyle name="Normal 9 2 8 3 2 2" xfId="29512"/>
    <cellStyle name="Normal 9 2 8 3 3" xfId="21287"/>
    <cellStyle name="Normal 9 2 8 3 4" xfId="37741"/>
    <cellStyle name="Normal 9 2 8 4" xfId="6482"/>
    <cellStyle name="Normal 9 2 8 4 2" xfId="14707"/>
    <cellStyle name="Normal 9 2 8 4 2 2" xfId="31157"/>
    <cellStyle name="Normal 9 2 8 4 3" xfId="22932"/>
    <cellStyle name="Normal 9 2 8 4 4" xfId="39386"/>
    <cellStyle name="Normal 9 2 8 5" xfId="8127"/>
    <cellStyle name="Normal 9 2 8 5 2" xfId="16352"/>
    <cellStyle name="Normal 9 2 8 5 2 2" xfId="32802"/>
    <cellStyle name="Normal 9 2 8 5 3" xfId="24577"/>
    <cellStyle name="Normal 9 2 8 5 4" xfId="41031"/>
    <cellStyle name="Normal 9 2 8 6" xfId="9772"/>
    <cellStyle name="Normal 9 2 8 6 2" xfId="26222"/>
    <cellStyle name="Normal 9 2 8 7" xfId="17996"/>
    <cellStyle name="Normal 9 2 8 8" xfId="34450"/>
    <cellStyle name="Normal 9 2 9" xfId="1777"/>
    <cellStyle name="Normal 9 2 9 2" xfId="10007"/>
    <cellStyle name="Normal 9 2 9 2 2" xfId="26457"/>
    <cellStyle name="Normal 9 2 9 3" xfId="18231"/>
    <cellStyle name="Normal 9 2 9 4" xfId="34685"/>
    <cellStyle name="Normal 9 20" xfId="16561"/>
    <cellStyle name="Normal 9 21" xfId="33014"/>
    <cellStyle name="Normal 9 22" xfId="41242"/>
    <cellStyle name="Normal 9 3" xfId="98"/>
    <cellStyle name="Normal 9 3 10" xfId="5097"/>
    <cellStyle name="Normal 9 3 10 2" xfId="13322"/>
    <cellStyle name="Normal 9 3 10 2 2" xfId="29772"/>
    <cellStyle name="Normal 9 3 10 3" xfId="21547"/>
    <cellStyle name="Normal 9 3 10 4" xfId="38001"/>
    <cellStyle name="Normal 9 3 11" xfId="6742"/>
    <cellStyle name="Normal 9 3 11 2" xfId="14967"/>
    <cellStyle name="Normal 9 3 11 2 2" xfId="31417"/>
    <cellStyle name="Normal 9 3 11 3" xfId="23192"/>
    <cellStyle name="Normal 9 3 11 4" xfId="39646"/>
    <cellStyle name="Normal 9 3 12" xfId="8387"/>
    <cellStyle name="Normal 9 3 12 2" xfId="24837"/>
    <cellStyle name="Normal 9 3 13" xfId="16611"/>
    <cellStyle name="Normal 9 3 14" xfId="33064"/>
    <cellStyle name="Normal 9 3 15" xfId="41292"/>
    <cellStyle name="Normal 9 3 2" xfId="341"/>
    <cellStyle name="Normal 9 3 2 2" xfId="2040"/>
    <cellStyle name="Normal 9 3 2 2 2" xfId="10267"/>
    <cellStyle name="Normal 9 3 2 2 2 2" xfId="26717"/>
    <cellStyle name="Normal 9 3 2 2 3" xfId="18492"/>
    <cellStyle name="Normal 9 3 2 2 4" xfId="34946"/>
    <cellStyle name="Normal 9 3 2 3" xfId="3687"/>
    <cellStyle name="Normal 9 3 2 3 2" xfId="11912"/>
    <cellStyle name="Normal 9 3 2 3 2 2" xfId="28362"/>
    <cellStyle name="Normal 9 3 2 3 3" xfId="20137"/>
    <cellStyle name="Normal 9 3 2 3 4" xfId="36591"/>
    <cellStyle name="Normal 9 3 2 4" xfId="5332"/>
    <cellStyle name="Normal 9 3 2 4 2" xfId="13557"/>
    <cellStyle name="Normal 9 3 2 4 2 2" xfId="30007"/>
    <cellStyle name="Normal 9 3 2 4 3" xfId="21782"/>
    <cellStyle name="Normal 9 3 2 4 4" xfId="38236"/>
    <cellStyle name="Normal 9 3 2 5" xfId="6977"/>
    <cellStyle name="Normal 9 3 2 5 2" xfId="15202"/>
    <cellStyle name="Normal 9 3 2 5 2 2" xfId="31652"/>
    <cellStyle name="Normal 9 3 2 5 3" xfId="23427"/>
    <cellStyle name="Normal 9 3 2 5 4" xfId="39881"/>
    <cellStyle name="Normal 9 3 2 6" xfId="8622"/>
    <cellStyle name="Normal 9 3 2 6 2" xfId="25072"/>
    <cellStyle name="Normal 9 3 2 7" xfId="16846"/>
    <cellStyle name="Normal 9 3 2 8" xfId="33300"/>
    <cellStyle name="Normal 9 3 2 9" xfId="41527"/>
    <cellStyle name="Normal 9 3 3" xfId="582"/>
    <cellStyle name="Normal 9 3 3 2" xfId="2277"/>
    <cellStyle name="Normal 9 3 3 2 2" xfId="10502"/>
    <cellStyle name="Normal 9 3 3 2 2 2" xfId="26952"/>
    <cellStyle name="Normal 9 3 3 2 3" xfId="18727"/>
    <cellStyle name="Normal 9 3 3 2 4" xfId="35181"/>
    <cellStyle name="Normal 9 3 3 3" xfId="3922"/>
    <cellStyle name="Normal 9 3 3 3 2" xfId="12147"/>
    <cellStyle name="Normal 9 3 3 3 2 2" xfId="28597"/>
    <cellStyle name="Normal 9 3 3 3 3" xfId="20372"/>
    <cellStyle name="Normal 9 3 3 3 4" xfId="36826"/>
    <cellStyle name="Normal 9 3 3 4" xfId="5567"/>
    <cellStyle name="Normal 9 3 3 4 2" xfId="13792"/>
    <cellStyle name="Normal 9 3 3 4 2 2" xfId="30242"/>
    <cellStyle name="Normal 9 3 3 4 3" xfId="22017"/>
    <cellStyle name="Normal 9 3 3 4 4" xfId="38471"/>
    <cellStyle name="Normal 9 3 3 5" xfId="7212"/>
    <cellStyle name="Normal 9 3 3 5 2" xfId="15437"/>
    <cellStyle name="Normal 9 3 3 5 2 2" xfId="31887"/>
    <cellStyle name="Normal 9 3 3 5 3" xfId="23662"/>
    <cellStyle name="Normal 9 3 3 5 4" xfId="40116"/>
    <cellStyle name="Normal 9 3 3 6" xfId="8857"/>
    <cellStyle name="Normal 9 3 3 6 2" xfId="25307"/>
    <cellStyle name="Normal 9 3 3 7" xfId="17081"/>
    <cellStyle name="Normal 9 3 3 8" xfId="33535"/>
    <cellStyle name="Normal 9 3 3 9" xfId="41762"/>
    <cellStyle name="Normal 9 3 4" xfId="817"/>
    <cellStyle name="Normal 9 3 4 2" xfId="2512"/>
    <cellStyle name="Normal 9 3 4 2 2" xfId="10737"/>
    <cellStyle name="Normal 9 3 4 2 2 2" xfId="27187"/>
    <cellStyle name="Normal 9 3 4 2 3" xfId="18962"/>
    <cellStyle name="Normal 9 3 4 2 4" xfId="35416"/>
    <cellStyle name="Normal 9 3 4 3" xfId="4157"/>
    <cellStyle name="Normal 9 3 4 3 2" xfId="12382"/>
    <cellStyle name="Normal 9 3 4 3 2 2" xfId="28832"/>
    <cellStyle name="Normal 9 3 4 3 3" xfId="20607"/>
    <cellStyle name="Normal 9 3 4 3 4" xfId="37061"/>
    <cellStyle name="Normal 9 3 4 4" xfId="5802"/>
    <cellStyle name="Normal 9 3 4 4 2" xfId="14027"/>
    <cellStyle name="Normal 9 3 4 4 2 2" xfId="30477"/>
    <cellStyle name="Normal 9 3 4 4 3" xfId="22252"/>
    <cellStyle name="Normal 9 3 4 4 4" xfId="38706"/>
    <cellStyle name="Normal 9 3 4 5" xfId="7447"/>
    <cellStyle name="Normal 9 3 4 5 2" xfId="15672"/>
    <cellStyle name="Normal 9 3 4 5 2 2" xfId="32122"/>
    <cellStyle name="Normal 9 3 4 5 3" xfId="23897"/>
    <cellStyle name="Normal 9 3 4 5 4" xfId="40351"/>
    <cellStyle name="Normal 9 3 4 6" xfId="9092"/>
    <cellStyle name="Normal 9 3 4 6 2" xfId="25542"/>
    <cellStyle name="Normal 9 3 4 7" xfId="17316"/>
    <cellStyle name="Normal 9 3 4 8" xfId="33770"/>
    <cellStyle name="Normal 9 3 4 9" xfId="41997"/>
    <cellStyle name="Normal 9 3 5" xfId="1052"/>
    <cellStyle name="Normal 9 3 5 2" xfId="2747"/>
    <cellStyle name="Normal 9 3 5 2 2" xfId="10972"/>
    <cellStyle name="Normal 9 3 5 2 2 2" xfId="27422"/>
    <cellStyle name="Normal 9 3 5 2 3" xfId="19197"/>
    <cellStyle name="Normal 9 3 5 2 4" xfId="35651"/>
    <cellStyle name="Normal 9 3 5 3" xfId="4392"/>
    <cellStyle name="Normal 9 3 5 3 2" xfId="12617"/>
    <cellStyle name="Normal 9 3 5 3 2 2" xfId="29067"/>
    <cellStyle name="Normal 9 3 5 3 3" xfId="20842"/>
    <cellStyle name="Normal 9 3 5 3 4" xfId="37296"/>
    <cellStyle name="Normal 9 3 5 4" xfId="6037"/>
    <cellStyle name="Normal 9 3 5 4 2" xfId="14262"/>
    <cellStyle name="Normal 9 3 5 4 2 2" xfId="30712"/>
    <cellStyle name="Normal 9 3 5 4 3" xfId="22487"/>
    <cellStyle name="Normal 9 3 5 4 4" xfId="38941"/>
    <cellStyle name="Normal 9 3 5 5" xfId="7682"/>
    <cellStyle name="Normal 9 3 5 5 2" xfId="15907"/>
    <cellStyle name="Normal 9 3 5 5 2 2" xfId="32357"/>
    <cellStyle name="Normal 9 3 5 5 3" xfId="24132"/>
    <cellStyle name="Normal 9 3 5 5 4" xfId="40586"/>
    <cellStyle name="Normal 9 3 5 6" xfId="9327"/>
    <cellStyle name="Normal 9 3 5 6 2" xfId="25777"/>
    <cellStyle name="Normal 9 3 5 7" xfId="17551"/>
    <cellStyle name="Normal 9 3 5 8" xfId="34005"/>
    <cellStyle name="Normal 9 3 5 9" xfId="42232"/>
    <cellStyle name="Normal 9 3 6" xfId="1332"/>
    <cellStyle name="Normal 9 3 6 2" xfId="2982"/>
    <cellStyle name="Normal 9 3 6 2 2" xfId="11207"/>
    <cellStyle name="Normal 9 3 6 2 2 2" xfId="27657"/>
    <cellStyle name="Normal 9 3 6 2 3" xfId="19432"/>
    <cellStyle name="Normal 9 3 6 2 4" xfId="35886"/>
    <cellStyle name="Normal 9 3 6 3" xfId="4627"/>
    <cellStyle name="Normal 9 3 6 3 2" xfId="12852"/>
    <cellStyle name="Normal 9 3 6 3 2 2" xfId="29302"/>
    <cellStyle name="Normal 9 3 6 3 3" xfId="21077"/>
    <cellStyle name="Normal 9 3 6 3 4" xfId="37531"/>
    <cellStyle name="Normal 9 3 6 4" xfId="6272"/>
    <cellStyle name="Normal 9 3 6 4 2" xfId="14497"/>
    <cellStyle name="Normal 9 3 6 4 2 2" xfId="30947"/>
    <cellStyle name="Normal 9 3 6 4 3" xfId="22722"/>
    <cellStyle name="Normal 9 3 6 4 4" xfId="39176"/>
    <cellStyle name="Normal 9 3 6 5" xfId="7917"/>
    <cellStyle name="Normal 9 3 6 5 2" xfId="16142"/>
    <cellStyle name="Normal 9 3 6 5 2 2" xfId="32592"/>
    <cellStyle name="Normal 9 3 6 5 3" xfId="24367"/>
    <cellStyle name="Normal 9 3 6 5 4" xfId="40821"/>
    <cellStyle name="Normal 9 3 6 6" xfId="9562"/>
    <cellStyle name="Normal 9 3 6 6 2" xfId="26012"/>
    <cellStyle name="Normal 9 3 6 7" xfId="17786"/>
    <cellStyle name="Normal 9 3 6 8" xfId="34240"/>
    <cellStyle name="Normal 9 3 7" xfId="1567"/>
    <cellStyle name="Normal 9 3 7 2" xfId="3217"/>
    <cellStyle name="Normal 9 3 7 2 2" xfId="11442"/>
    <cellStyle name="Normal 9 3 7 2 2 2" xfId="27892"/>
    <cellStyle name="Normal 9 3 7 2 3" xfId="19667"/>
    <cellStyle name="Normal 9 3 7 2 4" xfId="36121"/>
    <cellStyle name="Normal 9 3 7 3" xfId="4862"/>
    <cellStyle name="Normal 9 3 7 3 2" xfId="13087"/>
    <cellStyle name="Normal 9 3 7 3 2 2" xfId="29537"/>
    <cellStyle name="Normal 9 3 7 3 3" xfId="21312"/>
    <cellStyle name="Normal 9 3 7 3 4" xfId="37766"/>
    <cellStyle name="Normal 9 3 7 4" xfId="6507"/>
    <cellStyle name="Normal 9 3 7 4 2" xfId="14732"/>
    <cellStyle name="Normal 9 3 7 4 2 2" xfId="31182"/>
    <cellStyle name="Normal 9 3 7 4 3" xfId="22957"/>
    <cellStyle name="Normal 9 3 7 4 4" xfId="39411"/>
    <cellStyle name="Normal 9 3 7 5" xfId="8152"/>
    <cellStyle name="Normal 9 3 7 5 2" xfId="16377"/>
    <cellStyle name="Normal 9 3 7 5 2 2" xfId="32827"/>
    <cellStyle name="Normal 9 3 7 5 3" xfId="24602"/>
    <cellStyle name="Normal 9 3 7 5 4" xfId="41056"/>
    <cellStyle name="Normal 9 3 7 6" xfId="9797"/>
    <cellStyle name="Normal 9 3 7 6 2" xfId="26247"/>
    <cellStyle name="Normal 9 3 7 7" xfId="18021"/>
    <cellStyle name="Normal 9 3 7 8" xfId="34475"/>
    <cellStyle name="Normal 9 3 8" xfId="1802"/>
    <cellStyle name="Normal 9 3 8 2" xfId="10032"/>
    <cellStyle name="Normal 9 3 8 2 2" xfId="26482"/>
    <cellStyle name="Normal 9 3 8 3" xfId="18256"/>
    <cellStyle name="Normal 9 3 8 4" xfId="34710"/>
    <cellStyle name="Normal 9 3 9" xfId="3452"/>
    <cellStyle name="Normal 9 3 9 2" xfId="11677"/>
    <cellStyle name="Normal 9 3 9 2 2" xfId="28127"/>
    <cellStyle name="Normal 9 3 9 3" xfId="19902"/>
    <cellStyle name="Normal 9 3 9 4" xfId="36356"/>
    <cellStyle name="Normal 9 4" xfId="148"/>
    <cellStyle name="Normal 9 4 10" xfId="5147"/>
    <cellStyle name="Normal 9 4 10 2" xfId="13372"/>
    <cellStyle name="Normal 9 4 10 2 2" xfId="29822"/>
    <cellStyle name="Normal 9 4 10 3" xfId="21597"/>
    <cellStyle name="Normal 9 4 10 4" xfId="38051"/>
    <cellStyle name="Normal 9 4 11" xfId="6792"/>
    <cellStyle name="Normal 9 4 11 2" xfId="15017"/>
    <cellStyle name="Normal 9 4 11 2 2" xfId="31467"/>
    <cellStyle name="Normal 9 4 11 3" xfId="23242"/>
    <cellStyle name="Normal 9 4 11 4" xfId="39696"/>
    <cellStyle name="Normal 9 4 12" xfId="8437"/>
    <cellStyle name="Normal 9 4 12 2" xfId="24887"/>
    <cellStyle name="Normal 9 4 13" xfId="16661"/>
    <cellStyle name="Normal 9 4 14" xfId="33114"/>
    <cellStyle name="Normal 9 4 15" xfId="41342"/>
    <cellStyle name="Normal 9 4 2" xfId="391"/>
    <cellStyle name="Normal 9 4 2 2" xfId="2090"/>
    <cellStyle name="Normal 9 4 2 2 2" xfId="10317"/>
    <cellStyle name="Normal 9 4 2 2 2 2" xfId="26767"/>
    <cellStyle name="Normal 9 4 2 2 3" xfId="18542"/>
    <cellStyle name="Normal 9 4 2 2 4" xfId="34996"/>
    <cellStyle name="Normal 9 4 2 3" xfId="3737"/>
    <cellStyle name="Normal 9 4 2 3 2" xfId="11962"/>
    <cellStyle name="Normal 9 4 2 3 2 2" xfId="28412"/>
    <cellStyle name="Normal 9 4 2 3 3" xfId="20187"/>
    <cellStyle name="Normal 9 4 2 3 4" xfId="36641"/>
    <cellStyle name="Normal 9 4 2 4" xfId="5382"/>
    <cellStyle name="Normal 9 4 2 4 2" xfId="13607"/>
    <cellStyle name="Normal 9 4 2 4 2 2" xfId="30057"/>
    <cellStyle name="Normal 9 4 2 4 3" xfId="21832"/>
    <cellStyle name="Normal 9 4 2 4 4" xfId="38286"/>
    <cellStyle name="Normal 9 4 2 5" xfId="7027"/>
    <cellStyle name="Normal 9 4 2 5 2" xfId="15252"/>
    <cellStyle name="Normal 9 4 2 5 2 2" xfId="31702"/>
    <cellStyle name="Normal 9 4 2 5 3" xfId="23477"/>
    <cellStyle name="Normal 9 4 2 5 4" xfId="39931"/>
    <cellStyle name="Normal 9 4 2 6" xfId="8672"/>
    <cellStyle name="Normal 9 4 2 6 2" xfId="25122"/>
    <cellStyle name="Normal 9 4 2 7" xfId="16896"/>
    <cellStyle name="Normal 9 4 2 8" xfId="33350"/>
    <cellStyle name="Normal 9 4 2 9" xfId="41577"/>
    <cellStyle name="Normal 9 4 3" xfId="632"/>
    <cellStyle name="Normal 9 4 3 2" xfId="2327"/>
    <cellStyle name="Normal 9 4 3 2 2" xfId="10552"/>
    <cellStyle name="Normal 9 4 3 2 2 2" xfId="27002"/>
    <cellStyle name="Normal 9 4 3 2 3" xfId="18777"/>
    <cellStyle name="Normal 9 4 3 2 4" xfId="35231"/>
    <cellStyle name="Normal 9 4 3 3" xfId="3972"/>
    <cellStyle name="Normal 9 4 3 3 2" xfId="12197"/>
    <cellStyle name="Normal 9 4 3 3 2 2" xfId="28647"/>
    <cellStyle name="Normal 9 4 3 3 3" xfId="20422"/>
    <cellStyle name="Normal 9 4 3 3 4" xfId="36876"/>
    <cellStyle name="Normal 9 4 3 4" xfId="5617"/>
    <cellStyle name="Normal 9 4 3 4 2" xfId="13842"/>
    <cellStyle name="Normal 9 4 3 4 2 2" xfId="30292"/>
    <cellStyle name="Normal 9 4 3 4 3" xfId="22067"/>
    <cellStyle name="Normal 9 4 3 4 4" xfId="38521"/>
    <cellStyle name="Normal 9 4 3 5" xfId="7262"/>
    <cellStyle name="Normal 9 4 3 5 2" xfId="15487"/>
    <cellStyle name="Normal 9 4 3 5 2 2" xfId="31937"/>
    <cellStyle name="Normal 9 4 3 5 3" xfId="23712"/>
    <cellStyle name="Normal 9 4 3 5 4" xfId="40166"/>
    <cellStyle name="Normal 9 4 3 6" xfId="8907"/>
    <cellStyle name="Normal 9 4 3 6 2" xfId="25357"/>
    <cellStyle name="Normal 9 4 3 7" xfId="17131"/>
    <cellStyle name="Normal 9 4 3 8" xfId="33585"/>
    <cellStyle name="Normal 9 4 3 9" xfId="41812"/>
    <cellStyle name="Normal 9 4 4" xfId="867"/>
    <cellStyle name="Normal 9 4 4 2" xfId="2562"/>
    <cellStyle name="Normal 9 4 4 2 2" xfId="10787"/>
    <cellStyle name="Normal 9 4 4 2 2 2" xfId="27237"/>
    <cellStyle name="Normal 9 4 4 2 3" xfId="19012"/>
    <cellStyle name="Normal 9 4 4 2 4" xfId="35466"/>
    <cellStyle name="Normal 9 4 4 3" xfId="4207"/>
    <cellStyle name="Normal 9 4 4 3 2" xfId="12432"/>
    <cellStyle name="Normal 9 4 4 3 2 2" xfId="28882"/>
    <cellStyle name="Normal 9 4 4 3 3" xfId="20657"/>
    <cellStyle name="Normal 9 4 4 3 4" xfId="37111"/>
    <cellStyle name="Normal 9 4 4 4" xfId="5852"/>
    <cellStyle name="Normal 9 4 4 4 2" xfId="14077"/>
    <cellStyle name="Normal 9 4 4 4 2 2" xfId="30527"/>
    <cellStyle name="Normal 9 4 4 4 3" xfId="22302"/>
    <cellStyle name="Normal 9 4 4 4 4" xfId="38756"/>
    <cellStyle name="Normal 9 4 4 5" xfId="7497"/>
    <cellStyle name="Normal 9 4 4 5 2" xfId="15722"/>
    <cellStyle name="Normal 9 4 4 5 2 2" xfId="32172"/>
    <cellStyle name="Normal 9 4 4 5 3" xfId="23947"/>
    <cellStyle name="Normal 9 4 4 5 4" xfId="40401"/>
    <cellStyle name="Normal 9 4 4 6" xfId="9142"/>
    <cellStyle name="Normal 9 4 4 6 2" xfId="25592"/>
    <cellStyle name="Normal 9 4 4 7" xfId="17366"/>
    <cellStyle name="Normal 9 4 4 8" xfId="33820"/>
    <cellStyle name="Normal 9 4 4 9" xfId="42047"/>
    <cellStyle name="Normal 9 4 5" xfId="1102"/>
    <cellStyle name="Normal 9 4 5 2" xfId="2797"/>
    <cellStyle name="Normal 9 4 5 2 2" xfId="11022"/>
    <cellStyle name="Normal 9 4 5 2 2 2" xfId="27472"/>
    <cellStyle name="Normal 9 4 5 2 3" xfId="19247"/>
    <cellStyle name="Normal 9 4 5 2 4" xfId="35701"/>
    <cellStyle name="Normal 9 4 5 3" xfId="4442"/>
    <cellStyle name="Normal 9 4 5 3 2" xfId="12667"/>
    <cellStyle name="Normal 9 4 5 3 2 2" xfId="29117"/>
    <cellStyle name="Normal 9 4 5 3 3" xfId="20892"/>
    <cellStyle name="Normal 9 4 5 3 4" xfId="37346"/>
    <cellStyle name="Normal 9 4 5 4" xfId="6087"/>
    <cellStyle name="Normal 9 4 5 4 2" xfId="14312"/>
    <cellStyle name="Normal 9 4 5 4 2 2" xfId="30762"/>
    <cellStyle name="Normal 9 4 5 4 3" xfId="22537"/>
    <cellStyle name="Normal 9 4 5 4 4" xfId="38991"/>
    <cellStyle name="Normal 9 4 5 5" xfId="7732"/>
    <cellStyle name="Normal 9 4 5 5 2" xfId="15957"/>
    <cellStyle name="Normal 9 4 5 5 2 2" xfId="32407"/>
    <cellStyle name="Normal 9 4 5 5 3" xfId="24182"/>
    <cellStyle name="Normal 9 4 5 5 4" xfId="40636"/>
    <cellStyle name="Normal 9 4 5 6" xfId="9377"/>
    <cellStyle name="Normal 9 4 5 6 2" xfId="25827"/>
    <cellStyle name="Normal 9 4 5 7" xfId="17601"/>
    <cellStyle name="Normal 9 4 5 8" xfId="34055"/>
    <cellStyle name="Normal 9 4 5 9" xfId="42282"/>
    <cellStyle name="Normal 9 4 6" xfId="1382"/>
    <cellStyle name="Normal 9 4 6 2" xfId="3032"/>
    <cellStyle name="Normal 9 4 6 2 2" xfId="11257"/>
    <cellStyle name="Normal 9 4 6 2 2 2" xfId="27707"/>
    <cellStyle name="Normal 9 4 6 2 3" xfId="19482"/>
    <cellStyle name="Normal 9 4 6 2 4" xfId="35936"/>
    <cellStyle name="Normal 9 4 6 3" xfId="4677"/>
    <cellStyle name="Normal 9 4 6 3 2" xfId="12902"/>
    <cellStyle name="Normal 9 4 6 3 2 2" xfId="29352"/>
    <cellStyle name="Normal 9 4 6 3 3" xfId="21127"/>
    <cellStyle name="Normal 9 4 6 3 4" xfId="37581"/>
    <cellStyle name="Normal 9 4 6 4" xfId="6322"/>
    <cellStyle name="Normal 9 4 6 4 2" xfId="14547"/>
    <cellStyle name="Normal 9 4 6 4 2 2" xfId="30997"/>
    <cellStyle name="Normal 9 4 6 4 3" xfId="22772"/>
    <cellStyle name="Normal 9 4 6 4 4" xfId="39226"/>
    <cellStyle name="Normal 9 4 6 5" xfId="7967"/>
    <cellStyle name="Normal 9 4 6 5 2" xfId="16192"/>
    <cellStyle name="Normal 9 4 6 5 2 2" xfId="32642"/>
    <cellStyle name="Normal 9 4 6 5 3" xfId="24417"/>
    <cellStyle name="Normal 9 4 6 5 4" xfId="40871"/>
    <cellStyle name="Normal 9 4 6 6" xfId="9612"/>
    <cellStyle name="Normal 9 4 6 6 2" xfId="26062"/>
    <cellStyle name="Normal 9 4 6 7" xfId="17836"/>
    <cellStyle name="Normal 9 4 6 8" xfId="34290"/>
    <cellStyle name="Normal 9 4 7" xfId="1617"/>
    <cellStyle name="Normal 9 4 7 2" xfId="3267"/>
    <cellStyle name="Normal 9 4 7 2 2" xfId="11492"/>
    <cellStyle name="Normal 9 4 7 2 2 2" xfId="27942"/>
    <cellStyle name="Normal 9 4 7 2 3" xfId="19717"/>
    <cellStyle name="Normal 9 4 7 2 4" xfId="36171"/>
    <cellStyle name="Normal 9 4 7 3" xfId="4912"/>
    <cellStyle name="Normal 9 4 7 3 2" xfId="13137"/>
    <cellStyle name="Normal 9 4 7 3 2 2" xfId="29587"/>
    <cellStyle name="Normal 9 4 7 3 3" xfId="21362"/>
    <cellStyle name="Normal 9 4 7 3 4" xfId="37816"/>
    <cellStyle name="Normal 9 4 7 4" xfId="6557"/>
    <cellStyle name="Normal 9 4 7 4 2" xfId="14782"/>
    <cellStyle name="Normal 9 4 7 4 2 2" xfId="31232"/>
    <cellStyle name="Normal 9 4 7 4 3" xfId="23007"/>
    <cellStyle name="Normal 9 4 7 4 4" xfId="39461"/>
    <cellStyle name="Normal 9 4 7 5" xfId="8202"/>
    <cellStyle name="Normal 9 4 7 5 2" xfId="16427"/>
    <cellStyle name="Normal 9 4 7 5 2 2" xfId="32877"/>
    <cellStyle name="Normal 9 4 7 5 3" xfId="24652"/>
    <cellStyle name="Normal 9 4 7 5 4" xfId="41106"/>
    <cellStyle name="Normal 9 4 7 6" xfId="9847"/>
    <cellStyle name="Normal 9 4 7 6 2" xfId="26297"/>
    <cellStyle name="Normal 9 4 7 7" xfId="18071"/>
    <cellStyle name="Normal 9 4 7 8" xfId="34525"/>
    <cellStyle name="Normal 9 4 8" xfId="1852"/>
    <cellStyle name="Normal 9 4 8 2" xfId="10082"/>
    <cellStyle name="Normal 9 4 8 2 2" xfId="26532"/>
    <cellStyle name="Normal 9 4 8 3" xfId="18306"/>
    <cellStyle name="Normal 9 4 8 4" xfId="34760"/>
    <cellStyle name="Normal 9 4 9" xfId="3502"/>
    <cellStyle name="Normal 9 4 9 2" xfId="11727"/>
    <cellStyle name="Normal 9 4 9 2 2" xfId="28177"/>
    <cellStyle name="Normal 9 4 9 3" xfId="19952"/>
    <cellStyle name="Normal 9 4 9 4" xfId="36406"/>
    <cellStyle name="Normal 9 5" xfId="175"/>
    <cellStyle name="Normal 9 5 10" xfId="5174"/>
    <cellStyle name="Normal 9 5 10 2" xfId="13399"/>
    <cellStyle name="Normal 9 5 10 2 2" xfId="29849"/>
    <cellStyle name="Normal 9 5 10 3" xfId="21624"/>
    <cellStyle name="Normal 9 5 10 4" xfId="38078"/>
    <cellStyle name="Normal 9 5 11" xfId="6819"/>
    <cellStyle name="Normal 9 5 11 2" xfId="15044"/>
    <cellStyle name="Normal 9 5 11 2 2" xfId="31494"/>
    <cellStyle name="Normal 9 5 11 3" xfId="23269"/>
    <cellStyle name="Normal 9 5 11 4" xfId="39723"/>
    <cellStyle name="Normal 9 5 12" xfId="8464"/>
    <cellStyle name="Normal 9 5 12 2" xfId="24914"/>
    <cellStyle name="Normal 9 5 13" xfId="16688"/>
    <cellStyle name="Normal 9 5 14" xfId="33141"/>
    <cellStyle name="Normal 9 5 15" xfId="41369"/>
    <cellStyle name="Normal 9 5 2" xfId="418"/>
    <cellStyle name="Normal 9 5 2 2" xfId="2117"/>
    <cellStyle name="Normal 9 5 2 2 2" xfId="10344"/>
    <cellStyle name="Normal 9 5 2 2 2 2" xfId="26794"/>
    <cellStyle name="Normal 9 5 2 2 3" xfId="18569"/>
    <cellStyle name="Normal 9 5 2 2 4" xfId="35023"/>
    <cellStyle name="Normal 9 5 2 3" xfId="3764"/>
    <cellStyle name="Normal 9 5 2 3 2" xfId="11989"/>
    <cellStyle name="Normal 9 5 2 3 2 2" xfId="28439"/>
    <cellStyle name="Normal 9 5 2 3 3" xfId="20214"/>
    <cellStyle name="Normal 9 5 2 3 4" xfId="36668"/>
    <cellStyle name="Normal 9 5 2 4" xfId="5409"/>
    <cellStyle name="Normal 9 5 2 4 2" xfId="13634"/>
    <cellStyle name="Normal 9 5 2 4 2 2" xfId="30084"/>
    <cellStyle name="Normal 9 5 2 4 3" xfId="21859"/>
    <cellStyle name="Normal 9 5 2 4 4" xfId="38313"/>
    <cellStyle name="Normal 9 5 2 5" xfId="7054"/>
    <cellStyle name="Normal 9 5 2 5 2" xfId="15279"/>
    <cellStyle name="Normal 9 5 2 5 2 2" xfId="31729"/>
    <cellStyle name="Normal 9 5 2 5 3" xfId="23504"/>
    <cellStyle name="Normal 9 5 2 5 4" xfId="39958"/>
    <cellStyle name="Normal 9 5 2 6" xfId="8699"/>
    <cellStyle name="Normal 9 5 2 6 2" xfId="25149"/>
    <cellStyle name="Normal 9 5 2 7" xfId="16923"/>
    <cellStyle name="Normal 9 5 2 8" xfId="33377"/>
    <cellStyle name="Normal 9 5 2 9" xfId="41604"/>
    <cellStyle name="Normal 9 5 3" xfId="659"/>
    <cellStyle name="Normal 9 5 3 2" xfId="2354"/>
    <cellStyle name="Normal 9 5 3 2 2" xfId="10579"/>
    <cellStyle name="Normal 9 5 3 2 2 2" xfId="27029"/>
    <cellStyle name="Normal 9 5 3 2 3" xfId="18804"/>
    <cellStyle name="Normal 9 5 3 2 4" xfId="35258"/>
    <cellStyle name="Normal 9 5 3 3" xfId="3999"/>
    <cellStyle name="Normal 9 5 3 3 2" xfId="12224"/>
    <cellStyle name="Normal 9 5 3 3 2 2" xfId="28674"/>
    <cellStyle name="Normal 9 5 3 3 3" xfId="20449"/>
    <cellStyle name="Normal 9 5 3 3 4" xfId="36903"/>
    <cellStyle name="Normal 9 5 3 4" xfId="5644"/>
    <cellStyle name="Normal 9 5 3 4 2" xfId="13869"/>
    <cellStyle name="Normal 9 5 3 4 2 2" xfId="30319"/>
    <cellStyle name="Normal 9 5 3 4 3" xfId="22094"/>
    <cellStyle name="Normal 9 5 3 4 4" xfId="38548"/>
    <cellStyle name="Normal 9 5 3 5" xfId="7289"/>
    <cellStyle name="Normal 9 5 3 5 2" xfId="15514"/>
    <cellStyle name="Normal 9 5 3 5 2 2" xfId="31964"/>
    <cellStyle name="Normal 9 5 3 5 3" xfId="23739"/>
    <cellStyle name="Normal 9 5 3 5 4" xfId="40193"/>
    <cellStyle name="Normal 9 5 3 6" xfId="8934"/>
    <cellStyle name="Normal 9 5 3 6 2" xfId="25384"/>
    <cellStyle name="Normal 9 5 3 7" xfId="17158"/>
    <cellStyle name="Normal 9 5 3 8" xfId="33612"/>
    <cellStyle name="Normal 9 5 3 9" xfId="41839"/>
    <cellStyle name="Normal 9 5 4" xfId="894"/>
    <cellStyle name="Normal 9 5 4 2" xfId="2589"/>
    <cellStyle name="Normal 9 5 4 2 2" xfId="10814"/>
    <cellStyle name="Normal 9 5 4 2 2 2" xfId="27264"/>
    <cellStyle name="Normal 9 5 4 2 3" xfId="19039"/>
    <cellStyle name="Normal 9 5 4 2 4" xfId="35493"/>
    <cellStyle name="Normal 9 5 4 3" xfId="4234"/>
    <cellStyle name="Normal 9 5 4 3 2" xfId="12459"/>
    <cellStyle name="Normal 9 5 4 3 2 2" xfId="28909"/>
    <cellStyle name="Normal 9 5 4 3 3" xfId="20684"/>
    <cellStyle name="Normal 9 5 4 3 4" xfId="37138"/>
    <cellStyle name="Normal 9 5 4 4" xfId="5879"/>
    <cellStyle name="Normal 9 5 4 4 2" xfId="14104"/>
    <cellStyle name="Normal 9 5 4 4 2 2" xfId="30554"/>
    <cellStyle name="Normal 9 5 4 4 3" xfId="22329"/>
    <cellStyle name="Normal 9 5 4 4 4" xfId="38783"/>
    <cellStyle name="Normal 9 5 4 5" xfId="7524"/>
    <cellStyle name="Normal 9 5 4 5 2" xfId="15749"/>
    <cellStyle name="Normal 9 5 4 5 2 2" xfId="32199"/>
    <cellStyle name="Normal 9 5 4 5 3" xfId="23974"/>
    <cellStyle name="Normal 9 5 4 5 4" xfId="40428"/>
    <cellStyle name="Normal 9 5 4 6" xfId="9169"/>
    <cellStyle name="Normal 9 5 4 6 2" xfId="25619"/>
    <cellStyle name="Normal 9 5 4 7" xfId="17393"/>
    <cellStyle name="Normal 9 5 4 8" xfId="33847"/>
    <cellStyle name="Normal 9 5 4 9" xfId="42074"/>
    <cellStyle name="Normal 9 5 5" xfId="1129"/>
    <cellStyle name="Normal 9 5 5 2" xfId="2824"/>
    <cellStyle name="Normal 9 5 5 2 2" xfId="11049"/>
    <cellStyle name="Normal 9 5 5 2 2 2" xfId="27499"/>
    <cellStyle name="Normal 9 5 5 2 3" xfId="19274"/>
    <cellStyle name="Normal 9 5 5 2 4" xfId="35728"/>
    <cellStyle name="Normal 9 5 5 3" xfId="4469"/>
    <cellStyle name="Normal 9 5 5 3 2" xfId="12694"/>
    <cellStyle name="Normal 9 5 5 3 2 2" xfId="29144"/>
    <cellStyle name="Normal 9 5 5 3 3" xfId="20919"/>
    <cellStyle name="Normal 9 5 5 3 4" xfId="37373"/>
    <cellStyle name="Normal 9 5 5 4" xfId="6114"/>
    <cellStyle name="Normal 9 5 5 4 2" xfId="14339"/>
    <cellStyle name="Normal 9 5 5 4 2 2" xfId="30789"/>
    <cellStyle name="Normal 9 5 5 4 3" xfId="22564"/>
    <cellStyle name="Normal 9 5 5 4 4" xfId="39018"/>
    <cellStyle name="Normal 9 5 5 5" xfId="7759"/>
    <cellStyle name="Normal 9 5 5 5 2" xfId="15984"/>
    <cellStyle name="Normal 9 5 5 5 2 2" xfId="32434"/>
    <cellStyle name="Normal 9 5 5 5 3" xfId="24209"/>
    <cellStyle name="Normal 9 5 5 5 4" xfId="40663"/>
    <cellStyle name="Normal 9 5 5 6" xfId="9404"/>
    <cellStyle name="Normal 9 5 5 6 2" xfId="25854"/>
    <cellStyle name="Normal 9 5 5 7" xfId="17628"/>
    <cellStyle name="Normal 9 5 5 8" xfId="34082"/>
    <cellStyle name="Normal 9 5 5 9" xfId="42309"/>
    <cellStyle name="Normal 9 5 6" xfId="1409"/>
    <cellStyle name="Normal 9 5 6 2" xfId="3059"/>
    <cellStyle name="Normal 9 5 6 2 2" xfId="11284"/>
    <cellStyle name="Normal 9 5 6 2 2 2" xfId="27734"/>
    <cellStyle name="Normal 9 5 6 2 3" xfId="19509"/>
    <cellStyle name="Normal 9 5 6 2 4" xfId="35963"/>
    <cellStyle name="Normal 9 5 6 3" xfId="4704"/>
    <cellStyle name="Normal 9 5 6 3 2" xfId="12929"/>
    <cellStyle name="Normal 9 5 6 3 2 2" xfId="29379"/>
    <cellStyle name="Normal 9 5 6 3 3" xfId="21154"/>
    <cellStyle name="Normal 9 5 6 3 4" xfId="37608"/>
    <cellStyle name="Normal 9 5 6 4" xfId="6349"/>
    <cellStyle name="Normal 9 5 6 4 2" xfId="14574"/>
    <cellStyle name="Normal 9 5 6 4 2 2" xfId="31024"/>
    <cellStyle name="Normal 9 5 6 4 3" xfId="22799"/>
    <cellStyle name="Normal 9 5 6 4 4" xfId="39253"/>
    <cellStyle name="Normal 9 5 6 5" xfId="7994"/>
    <cellStyle name="Normal 9 5 6 5 2" xfId="16219"/>
    <cellStyle name="Normal 9 5 6 5 2 2" xfId="32669"/>
    <cellStyle name="Normal 9 5 6 5 3" xfId="24444"/>
    <cellStyle name="Normal 9 5 6 5 4" xfId="40898"/>
    <cellStyle name="Normal 9 5 6 6" xfId="9639"/>
    <cellStyle name="Normal 9 5 6 6 2" xfId="26089"/>
    <cellStyle name="Normal 9 5 6 7" xfId="17863"/>
    <cellStyle name="Normal 9 5 6 8" xfId="34317"/>
    <cellStyle name="Normal 9 5 7" xfId="1644"/>
    <cellStyle name="Normal 9 5 7 2" xfId="3294"/>
    <cellStyle name="Normal 9 5 7 2 2" xfId="11519"/>
    <cellStyle name="Normal 9 5 7 2 2 2" xfId="27969"/>
    <cellStyle name="Normal 9 5 7 2 3" xfId="19744"/>
    <cellStyle name="Normal 9 5 7 2 4" xfId="36198"/>
    <cellStyle name="Normal 9 5 7 3" xfId="4939"/>
    <cellStyle name="Normal 9 5 7 3 2" xfId="13164"/>
    <cellStyle name="Normal 9 5 7 3 2 2" xfId="29614"/>
    <cellStyle name="Normal 9 5 7 3 3" xfId="21389"/>
    <cellStyle name="Normal 9 5 7 3 4" xfId="37843"/>
    <cellStyle name="Normal 9 5 7 4" xfId="6584"/>
    <cellStyle name="Normal 9 5 7 4 2" xfId="14809"/>
    <cellStyle name="Normal 9 5 7 4 2 2" xfId="31259"/>
    <cellStyle name="Normal 9 5 7 4 3" xfId="23034"/>
    <cellStyle name="Normal 9 5 7 4 4" xfId="39488"/>
    <cellStyle name="Normal 9 5 7 5" xfId="8229"/>
    <cellStyle name="Normal 9 5 7 5 2" xfId="16454"/>
    <cellStyle name="Normal 9 5 7 5 2 2" xfId="32904"/>
    <cellStyle name="Normal 9 5 7 5 3" xfId="24679"/>
    <cellStyle name="Normal 9 5 7 5 4" xfId="41133"/>
    <cellStyle name="Normal 9 5 7 6" xfId="9874"/>
    <cellStyle name="Normal 9 5 7 6 2" xfId="26324"/>
    <cellStyle name="Normal 9 5 7 7" xfId="18098"/>
    <cellStyle name="Normal 9 5 7 8" xfId="34552"/>
    <cellStyle name="Normal 9 5 8" xfId="1879"/>
    <cellStyle name="Normal 9 5 8 2" xfId="10109"/>
    <cellStyle name="Normal 9 5 8 2 2" xfId="26559"/>
    <cellStyle name="Normal 9 5 8 3" xfId="18333"/>
    <cellStyle name="Normal 9 5 8 4" xfId="34787"/>
    <cellStyle name="Normal 9 5 9" xfId="3529"/>
    <cellStyle name="Normal 9 5 9 2" xfId="11754"/>
    <cellStyle name="Normal 9 5 9 2 2" xfId="28204"/>
    <cellStyle name="Normal 9 5 9 3" xfId="19979"/>
    <cellStyle name="Normal 9 5 9 4" xfId="36433"/>
    <cellStyle name="Normal 9 6" xfId="204"/>
    <cellStyle name="Normal 9 6 10" xfId="5201"/>
    <cellStyle name="Normal 9 6 10 2" xfId="13426"/>
    <cellStyle name="Normal 9 6 10 2 2" xfId="29876"/>
    <cellStyle name="Normal 9 6 10 3" xfId="21651"/>
    <cellStyle name="Normal 9 6 10 4" xfId="38105"/>
    <cellStyle name="Normal 9 6 11" xfId="6846"/>
    <cellStyle name="Normal 9 6 11 2" xfId="15071"/>
    <cellStyle name="Normal 9 6 11 2 2" xfId="31521"/>
    <cellStyle name="Normal 9 6 11 3" xfId="23296"/>
    <cellStyle name="Normal 9 6 11 4" xfId="39750"/>
    <cellStyle name="Normal 9 6 12" xfId="8491"/>
    <cellStyle name="Normal 9 6 12 2" xfId="24941"/>
    <cellStyle name="Normal 9 6 13" xfId="16715"/>
    <cellStyle name="Normal 9 6 14" xfId="33168"/>
    <cellStyle name="Normal 9 6 15" xfId="41396"/>
    <cellStyle name="Normal 9 6 2" xfId="447"/>
    <cellStyle name="Normal 9 6 2 2" xfId="2144"/>
    <cellStyle name="Normal 9 6 2 2 2" xfId="10371"/>
    <cellStyle name="Normal 9 6 2 2 2 2" xfId="26821"/>
    <cellStyle name="Normal 9 6 2 2 3" xfId="18596"/>
    <cellStyle name="Normal 9 6 2 2 4" xfId="35050"/>
    <cellStyle name="Normal 9 6 2 3" xfId="3791"/>
    <cellStyle name="Normal 9 6 2 3 2" xfId="12016"/>
    <cellStyle name="Normal 9 6 2 3 2 2" xfId="28466"/>
    <cellStyle name="Normal 9 6 2 3 3" xfId="20241"/>
    <cellStyle name="Normal 9 6 2 3 4" xfId="36695"/>
    <cellStyle name="Normal 9 6 2 4" xfId="5436"/>
    <cellStyle name="Normal 9 6 2 4 2" xfId="13661"/>
    <cellStyle name="Normal 9 6 2 4 2 2" xfId="30111"/>
    <cellStyle name="Normal 9 6 2 4 3" xfId="21886"/>
    <cellStyle name="Normal 9 6 2 4 4" xfId="38340"/>
    <cellStyle name="Normal 9 6 2 5" xfId="7081"/>
    <cellStyle name="Normal 9 6 2 5 2" xfId="15306"/>
    <cellStyle name="Normal 9 6 2 5 2 2" xfId="31756"/>
    <cellStyle name="Normal 9 6 2 5 3" xfId="23531"/>
    <cellStyle name="Normal 9 6 2 5 4" xfId="39985"/>
    <cellStyle name="Normal 9 6 2 6" xfId="8726"/>
    <cellStyle name="Normal 9 6 2 6 2" xfId="25176"/>
    <cellStyle name="Normal 9 6 2 7" xfId="16950"/>
    <cellStyle name="Normal 9 6 2 8" xfId="33404"/>
    <cellStyle name="Normal 9 6 2 9" xfId="41631"/>
    <cellStyle name="Normal 9 6 3" xfId="686"/>
    <cellStyle name="Normal 9 6 3 2" xfId="2381"/>
    <cellStyle name="Normal 9 6 3 2 2" xfId="10606"/>
    <cellStyle name="Normal 9 6 3 2 2 2" xfId="27056"/>
    <cellStyle name="Normal 9 6 3 2 3" xfId="18831"/>
    <cellStyle name="Normal 9 6 3 2 4" xfId="35285"/>
    <cellStyle name="Normal 9 6 3 3" xfId="4026"/>
    <cellStyle name="Normal 9 6 3 3 2" xfId="12251"/>
    <cellStyle name="Normal 9 6 3 3 2 2" xfId="28701"/>
    <cellStyle name="Normal 9 6 3 3 3" xfId="20476"/>
    <cellStyle name="Normal 9 6 3 3 4" xfId="36930"/>
    <cellStyle name="Normal 9 6 3 4" xfId="5671"/>
    <cellStyle name="Normal 9 6 3 4 2" xfId="13896"/>
    <cellStyle name="Normal 9 6 3 4 2 2" xfId="30346"/>
    <cellStyle name="Normal 9 6 3 4 3" xfId="22121"/>
    <cellStyle name="Normal 9 6 3 4 4" xfId="38575"/>
    <cellStyle name="Normal 9 6 3 5" xfId="7316"/>
    <cellStyle name="Normal 9 6 3 5 2" xfId="15541"/>
    <cellStyle name="Normal 9 6 3 5 2 2" xfId="31991"/>
    <cellStyle name="Normal 9 6 3 5 3" xfId="23766"/>
    <cellStyle name="Normal 9 6 3 5 4" xfId="40220"/>
    <cellStyle name="Normal 9 6 3 6" xfId="8961"/>
    <cellStyle name="Normal 9 6 3 6 2" xfId="25411"/>
    <cellStyle name="Normal 9 6 3 7" xfId="17185"/>
    <cellStyle name="Normal 9 6 3 8" xfId="33639"/>
    <cellStyle name="Normal 9 6 3 9" xfId="41866"/>
    <cellStyle name="Normal 9 6 4" xfId="921"/>
    <cellStyle name="Normal 9 6 4 2" xfId="2616"/>
    <cellStyle name="Normal 9 6 4 2 2" xfId="10841"/>
    <cellStyle name="Normal 9 6 4 2 2 2" xfId="27291"/>
    <cellStyle name="Normal 9 6 4 2 3" xfId="19066"/>
    <cellStyle name="Normal 9 6 4 2 4" xfId="35520"/>
    <cellStyle name="Normal 9 6 4 3" xfId="4261"/>
    <cellStyle name="Normal 9 6 4 3 2" xfId="12486"/>
    <cellStyle name="Normal 9 6 4 3 2 2" xfId="28936"/>
    <cellStyle name="Normal 9 6 4 3 3" xfId="20711"/>
    <cellStyle name="Normal 9 6 4 3 4" xfId="37165"/>
    <cellStyle name="Normal 9 6 4 4" xfId="5906"/>
    <cellStyle name="Normal 9 6 4 4 2" xfId="14131"/>
    <cellStyle name="Normal 9 6 4 4 2 2" xfId="30581"/>
    <cellStyle name="Normal 9 6 4 4 3" xfId="22356"/>
    <cellStyle name="Normal 9 6 4 4 4" xfId="38810"/>
    <cellStyle name="Normal 9 6 4 5" xfId="7551"/>
    <cellStyle name="Normal 9 6 4 5 2" xfId="15776"/>
    <cellStyle name="Normal 9 6 4 5 2 2" xfId="32226"/>
    <cellStyle name="Normal 9 6 4 5 3" xfId="24001"/>
    <cellStyle name="Normal 9 6 4 5 4" xfId="40455"/>
    <cellStyle name="Normal 9 6 4 6" xfId="9196"/>
    <cellStyle name="Normal 9 6 4 6 2" xfId="25646"/>
    <cellStyle name="Normal 9 6 4 7" xfId="17420"/>
    <cellStyle name="Normal 9 6 4 8" xfId="33874"/>
    <cellStyle name="Normal 9 6 4 9" xfId="42101"/>
    <cellStyle name="Normal 9 6 5" xfId="1156"/>
    <cellStyle name="Normal 9 6 5 2" xfId="2851"/>
    <cellStyle name="Normal 9 6 5 2 2" xfId="11076"/>
    <cellStyle name="Normal 9 6 5 2 2 2" xfId="27526"/>
    <cellStyle name="Normal 9 6 5 2 3" xfId="19301"/>
    <cellStyle name="Normal 9 6 5 2 4" xfId="35755"/>
    <cellStyle name="Normal 9 6 5 3" xfId="4496"/>
    <cellStyle name="Normal 9 6 5 3 2" xfId="12721"/>
    <cellStyle name="Normal 9 6 5 3 2 2" xfId="29171"/>
    <cellStyle name="Normal 9 6 5 3 3" xfId="20946"/>
    <cellStyle name="Normal 9 6 5 3 4" xfId="37400"/>
    <cellStyle name="Normal 9 6 5 4" xfId="6141"/>
    <cellStyle name="Normal 9 6 5 4 2" xfId="14366"/>
    <cellStyle name="Normal 9 6 5 4 2 2" xfId="30816"/>
    <cellStyle name="Normal 9 6 5 4 3" xfId="22591"/>
    <cellStyle name="Normal 9 6 5 4 4" xfId="39045"/>
    <cellStyle name="Normal 9 6 5 5" xfId="7786"/>
    <cellStyle name="Normal 9 6 5 5 2" xfId="16011"/>
    <cellStyle name="Normal 9 6 5 5 2 2" xfId="32461"/>
    <cellStyle name="Normal 9 6 5 5 3" xfId="24236"/>
    <cellStyle name="Normal 9 6 5 5 4" xfId="40690"/>
    <cellStyle name="Normal 9 6 5 6" xfId="9431"/>
    <cellStyle name="Normal 9 6 5 6 2" xfId="25881"/>
    <cellStyle name="Normal 9 6 5 7" xfId="17655"/>
    <cellStyle name="Normal 9 6 5 8" xfId="34109"/>
    <cellStyle name="Normal 9 6 5 9" xfId="42336"/>
    <cellStyle name="Normal 9 6 6" xfId="1436"/>
    <cellStyle name="Normal 9 6 6 2" xfId="3086"/>
    <cellStyle name="Normal 9 6 6 2 2" xfId="11311"/>
    <cellStyle name="Normal 9 6 6 2 2 2" xfId="27761"/>
    <cellStyle name="Normal 9 6 6 2 3" xfId="19536"/>
    <cellStyle name="Normal 9 6 6 2 4" xfId="35990"/>
    <cellStyle name="Normal 9 6 6 3" xfId="4731"/>
    <cellStyle name="Normal 9 6 6 3 2" xfId="12956"/>
    <cellStyle name="Normal 9 6 6 3 2 2" xfId="29406"/>
    <cellStyle name="Normal 9 6 6 3 3" xfId="21181"/>
    <cellStyle name="Normal 9 6 6 3 4" xfId="37635"/>
    <cellStyle name="Normal 9 6 6 4" xfId="6376"/>
    <cellStyle name="Normal 9 6 6 4 2" xfId="14601"/>
    <cellStyle name="Normal 9 6 6 4 2 2" xfId="31051"/>
    <cellStyle name="Normal 9 6 6 4 3" xfId="22826"/>
    <cellStyle name="Normal 9 6 6 4 4" xfId="39280"/>
    <cellStyle name="Normal 9 6 6 5" xfId="8021"/>
    <cellStyle name="Normal 9 6 6 5 2" xfId="16246"/>
    <cellStyle name="Normal 9 6 6 5 2 2" xfId="32696"/>
    <cellStyle name="Normal 9 6 6 5 3" xfId="24471"/>
    <cellStyle name="Normal 9 6 6 5 4" xfId="40925"/>
    <cellStyle name="Normal 9 6 6 6" xfId="9666"/>
    <cellStyle name="Normal 9 6 6 6 2" xfId="26116"/>
    <cellStyle name="Normal 9 6 6 7" xfId="17890"/>
    <cellStyle name="Normal 9 6 6 8" xfId="34344"/>
    <cellStyle name="Normal 9 6 7" xfId="1671"/>
    <cellStyle name="Normal 9 6 7 2" xfId="3321"/>
    <cellStyle name="Normal 9 6 7 2 2" xfId="11546"/>
    <cellStyle name="Normal 9 6 7 2 2 2" xfId="27996"/>
    <cellStyle name="Normal 9 6 7 2 3" xfId="19771"/>
    <cellStyle name="Normal 9 6 7 2 4" xfId="36225"/>
    <cellStyle name="Normal 9 6 7 3" xfId="4966"/>
    <cellStyle name="Normal 9 6 7 3 2" xfId="13191"/>
    <cellStyle name="Normal 9 6 7 3 2 2" xfId="29641"/>
    <cellStyle name="Normal 9 6 7 3 3" xfId="21416"/>
    <cellStyle name="Normal 9 6 7 3 4" xfId="37870"/>
    <cellStyle name="Normal 9 6 7 4" xfId="6611"/>
    <cellStyle name="Normal 9 6 7 4 2" xfId="14836"/>
    <cellStyle name="Normal 9 6 7 4 2 2" xfId="31286"/>
    <cellStyle name="Normal 9 6 7 4 3" xfId="23061"/>
    <cellStyle name="Normal 9 6 7 4 4" xfId="39515"/>
    <cellStyle name="Normal 9 6 7 5" xfId="8256"/>
    <cellStyle name="Normal 9 6 7 5 2" xfId="16481"/>
    <cellStyle name="Normal 9 6 7 5 2 2" xfId="32931"/>
    <cellStyle name="Normal 9 6 7 5 3" xfId="24706"/>
    <cellStyle name="Normal 9 6 7 5 4" xfId="41160"/>
    <cellStyle name="Normal 9 6 7 6" xfId="9901"/>
    <cellStyle name="Normal 9 6 7 6 2" xfId="26351"/>
    <cellStyle name="Normal 9 6 7 7" xfId="18125"/>
    <cellStyle name="Normal 9 6 7 8" xfId="34579"/>
    <cellStyle name="Normal 9 6 8" xfId="1906"/>
    <cellStyle name="Normal 9 6 8 2" xfId="10136"/>
    <cellStyle name="Normal 9 6 8 2 2" xfId="26586"/>
    <cellStyle name="Normal 9 6 8 3" xfId="18360"/>
    <cellStyle name="Normal 9 6 8 4" xfId="34814"/>
    <cellStyle name="Normal 9 6 9" xfId="3556"/>
    <cellStyle name="Normal 9 6 9 2" xfId="11781"/>
    <cellStyle name="Normal 9 6 9 2 2" xfId="28231"/>
    <cellStyle name="Normal 9 6 9 3" xfId="20006"/>
    <cellStyle name="Normal 9 6 9 4" xfId="36460"/>
    <cellStyle name="Normal 9 7" xfId="231"/>
    <cellStyle name="Normal 9 7 10" xfId="5228"/>
    <cellStyle name="Normal 9 7 10 2" xfId="13453"/>
    <cellStyle name="Normal 9 7 10 2 2" xfId="29903"/>
    <cellStyle name="Normal 9 7 10 3" xfId="21678"/>
    <cellStyle name="Normal 9 7 10 4" xfId="38132"/>
    <cellStyle name="Normal 9 7 11" xfId="6873"/>
    <cellStyle name="Normal 9 7 11 2" xfId="15098"/>
    <cellStyle name="Normal 9 7 11 2 2" xfId="31548"/>
    <cellStyle name="Normal 9 7 11 3" xfId="23323"/>
    <cellStyle name="Normal 9 7 11 4" xfId="39777"/>
    <cellStyle name="Normal 9 7 12" xfId="8518"/>
    <cellStyle name="Normal 9 7 12 2" xfId="24968"/>
    <cellStyle name="Normal 9 7 13" xfId="16742"/>
    <cellStyle name="Normal 9 7 14" xfId="33195"/>
    <cellStyle name="Normal 9 7 15" xfId="41423"/>
    <cellStyle name="Normal 9 7 2" xfId="474"/>
    <cellStyle name="Normal 9 7 2 2" xfId="2171"/>
    <cellStyle name="Normal 9 7 2 2 2" xfId="10398"/>
    <cellStyle name="Normal 9 7 2 2 2 2" xfId="26848"/>
    <cellStyle name="Normal 9 7 2 2 3" xfId="18623"/>
    <cellStyle name="Normal 9 7 2 2 4" xfId="35077"/>
    <cellStyle name="Normal 9 7 2 3" xfId="3818"/>
    <cellStyle name="Normal 9 7 2 3 2" xfId="12043"/>
    <cellStyle name="Normal 9 7 2 3 2 2" xfId="28493"/>
    <cellStyle name="Normal 9 7 2 3 3" xfId="20268"/>
    <cellStyle name="Normal 9 7 2 3 4" xfId="36722"/>
    <cellStyle name="Normal 9 7 2 4" xfId="5463"/>
    <cellStyle name="Normal 9 7 2 4 2" xfId="13688"/>
    <cellStyle name="Normal 9 7 2 4 2 2" xfId="30138"/>
    <cellStyle name="Normal 9 7 2 4 3" xfId="21913"/>
    <cellStyle name="Normal 9 7 2 4 4" xfId="38367"/>
    <cellStyle name="Normal 9 7 2 5" xfId="7108"/>
    <cellStyle name="Normal 9 7 2 5 2" xfId="15333"/>
    <cellStyle name="Normal 9 7 2 5 2 2" xfId="31783"/>
    <cellStyle name="Normal 9 7 2 5 3" xfId="23558"/>
    <cellStyle name="Normal 9 7 2 5 4" xfId="40012"/>
    <cellStyle name="Normal 9 7 2 6" xfId="8753"/>
    <cellStyle name="Normal 9 7 2 6 2" xfId="25203"/>
    <cellStyle name="Normal 9 7 2 7" xfId="16977"/>
    <cellStyle name="Normal 9 7 2 8" xfId="33431"/>
    <cellStyle name="Normal 9 7 2 9" xfId="41658"/>
    <cellStyle name="Normal 9 7 3" xfId="713"/>
    <cellStyle name="Normal 9 7 3 2" xfId="2408"/>
    <cellStyle name="Normal 9 7 3 2 2" xfId="10633"/>
    <cellStyle name="Normal 9 7 3 2 2 2" xfId="27083"/>
    <cellStyle name="Normal 9 7 3 2 3" xfId="18858"/>
    <cellStyle name="Normal 9 7 3 2 4" xfId="35312"/>
    <cellStyle name="Normal 9 7 3 3" xfId="4053"/>
    <cellStyle name="Normal 9 7 3 3 2" xfId="12278"/>
    <cellStyle name="Normal 9 7 3 3 2 2" xfId="28728"/>
    <cellStyle name="Normal 9 7 3 3 3" xfId="20503"/>
    <cellStyle name="Normal 9 7 3 3 4" xfId="36957"/>
    <cellStyle name="Normal 9 7 3 4" xfId="5698"/>
    <cellStyle name="Normal 9 7 3 4 2" xfId="13923"/>
    <cellStyle name="Normal 9 7 3 4 2 2" xfId="30373"/>
    <cellStyle name="Normal 9 7 3 4 3" xfId="22148"/>
    <cellStyle name="Normal 9 7 3 4 4" xfId="38602"/>
    <cellStyle name="Normal 9 7 3 5" xfId="7343"/>
    <cellStyle name="Normal 9 7 3 5 2" xfId="15568"/>
    <cellStyle name="Normal 9 7 3 5 2 2" xfId="32018"/>
    <cellStyle name="Normal 9 7 3 5 3" xfId="23793"/>
    <cellStyle name="Normal 9 7 3 5 4" xfId="40247"/>
    <cellStyle name="Normal 9 7 3 6" xfId="8988"/>
    <cellStyle name="Normal 9 7 3 6 2" xfId="25438"/>
    <cellStyle name="Normal 9 7 3 7" xfId="17212"/>
    <cellStyle name="Normal 9 7 3 8" xfId="33666"/>
    <cellStyle name="Normal 9 7 3 9" xfId="41893"/>
    <cellStyle name="Normal 9 7 4" xfId="948"/>
    <cellStyle name="Normal 9 7 4 2" xfId="2643"/>
    <cellStyle name="Normal 9 7 4 2 2" xfId="10868"/>
    <cellStyle name="Normal 9 7 4 2 2 2" xfId="27318"/>
    <cellStyle name="Normal 9 7 4 2 3" xfId="19093"/>
    <cellStyle name="Normal 9 7 4 2 4" xfId="35547"/>
    <cellStyle name="Normal 9 7 4 3" xfId="4288"/>
    <cellStyle name="Normal 9 7 4 3 2" xfId="12513"/>
    <cellStyle name="Normal 9 7 4 3 2 2" xfId="28963"/>
    <cellStyle name="Normal 9 7 4 3 3" xfId="20738"/>
    <cellStyle name="Normal 9 7 4 3 4" xfId="37192"/>
    <cellStyle name="Normal 9 7 4 4" xfId="5933"/>
    <cellStyle name="Normal 9 7 4 4 2" xfId="14158"/>
    <cellStyle name="Normal 9 7 4 4 2 2" xfId="30608"/>
    <cellStyle name="Normal 9 7 4 4 3" xfId="22383"/>
    <cellStyle name="Normal 9 7 4 4 4" xfId="38837"/>
    <cellStyle name="Normal 9 7 4 5" xfId="7578"/>
    <cellStyle name="Normal 9 7 4 5 2" xfId="15803"/>
    <cellStyle name="Normal 9 7 4 5 2 2" xfId="32253"/>
    <cellStyle name="Normal 9 7 4 5 3" xfId="24028"/>
    <cellStyle name="Normal 9 7 4 5 4" xfId="40482"/>
    <cellStyle name="Normal 9 7 4 6" xfId="9223"/>
    <cellStyle name="Normal 9 7 4 6 2" xfId="25673"/>
    <cellStyle name="Normal 9 7 4 7" xfId="17447"/>
    <cellStyle name="Normal 9 7 4 8" xfId="33901"/>
    <cellStyle name="Normal 9 7 4 9" xfId="42128"/>
    <cellStyle name="Normal 9 7 5" xfId="1183"/>
    <cellStyle name="Normal 9 7 5 2" xfId="2878"/>
    <cellStyle name="Normal 9 7 5 2 2" xfId="11103"/>
    <cellStyle name="Normal 9 7 5 2 2 2" xfId="27553"/>
    <cellStyle name="Normal 9 7 5 2 3" xfId="19328"/>
    <cellStyle name="Normal 9 7 5 2 4" xfId="35782"/>
    <cellStyle name="Normal 9 7 5 3" xfId="4523"/>
    <cellStyle name="Normal 9 7 5 3 2" xfId="12748"/>
    <cellStyle name="Normal 9 7 5 3 2 2" xfId="29198"/>
    <cellStyle name="Normal 9 7 5 3 3" xfId="20973"/>
    <cellStyle name="Normal 9 7 5 3 4" xfId="37427"/>
    <cellStyle name="Normal 9 7 5 4" xfId="6168"/>
    <cellStyle name="Normal 9 7 5 4 2" xfId="14393"/>
    <cellStyle name="Normal 9 7 5 4 2 2" xfId="30843"/>
    <cellStyle name="Normal 9 7 5 4 3" xfId="22618"/>
    <cellStyle name="Normal 9 7 5 4 4" xfId="39072"/>
    <cellStyle name="Normal 9 7 5 5" xfId="7813"/>
    <cellStyle name="Normal 9 7 5 5 2" xfId="16038"/>
    <cellStyle name="Normal 9 7 5 5 2 2" xfId="32488"/>
    <cellStyle name="Normal 9 7 5 5 3" xfId="24263"/>
    <cellStyle name="Normal 9 7 5 5 4" xfId="40717"/>
    <cellStyle name="Normal 9 7 5 6" xfId="9458"/>
    <cellStyle name="Normal 9 7 5 6 2" xfId="25908"/>
    <cellStyle name="Normal 9 7 5 7" xfId="17682"/>
    <cellStyle name="Normal 9 7 5 8" xfId="34136"/>
    <cellStyle name="Normal 9 7 5 9" xfId="42363"/>
    <cellStyle name="Normal 9 7 6" xfId="1463"/>
    <cellStyle name="Normal 9 7 6 2" xfId="3113"/>
    <cellStyle name="Normal 9 7 6 2 2" xfId="11338"/>
    <cellStyle name="Normal 9 7 6 2 2 2" xfId="27788"/>
    <cellStyle name="Normal 9 7 6 2 3" xfId="19563"/>
    <cellStyle name="Normal 9 7 6 2 4" xfId="36017"/>
    <cellStyle name="Normal 9 7 6 3" xfId="4758"/>
    <cellStyle name="Normal 9 7 6 3 2" xfId="12983"/>
    <cellStyle name="Normal 9 7 6 3 2 2" xfId="29433"/>
    <cellStyle name="Normal 9 7 6 3 3" xfId="21208"/>
    <cellStyle name="Normal 9 7 6 3 4" xfId="37662"/>
    <cellStyle name="Normal 9 7 6 4" xfId="6403"/>
    <cellStyle name="Normal 9 7 6 4 2" xfId="14628"/>
    <cellStyle name="Normal 9 7 6 4 2 2" xfId="31078"/>
    <cellStyle name="Normal 9 7 6 4 3" xfId="22853"/>
    <cellStyle name="Normal 9 7 6 4 4" xfId="39307"/>
    <cellStyle name="Normal 9 7 6 5" xfId="8048"/>
    <cellStyle name="Normal 9 7 6 5 2" xfId="16273"/>
    <cellStyle name="Normal 9 7 6 5 2 2" xfId="32723"/>
    <cellStyle name="Normal 9 7 6 5 3" xfId="24498"/>
    <cellStyle name="Normal 9 7 6 5 4" xfId="40952"/>
    <cellStyle name="Normal 9 7 6 6" xfId="9693"/>
    <cellStyle name="Normal 9 7 6 6 2" xfId="26143"/>
    <cellStyle name="Normal 9 7 6 7" xfId="17917"/>
    <cellStyle name="Normal 9 7 6 8" xfId="34371"/>
    <cellStyle name="Normal 9 7 7" xfId="1698"/>
    <cellStyle name="Normal 9 7 7 2" xfId="3348"/>
    <cellStyle name="Normal 9 7 7 2 2" xfId="11573"/>
    <cellStyle name="Normal 9 7 7 2 2 2" xfId="28023"/>
    <cellStyle name="Normal 9 7 7 2 3" xfId="19798"/>
    <cellStyle name="Normal 9 7 7 2 4" xfId="36252"/>
    <cellStyle name="Normal 9 7 7 3" xfId="4993"/>
    <cellStyle name="Normal 9 7 7 3 2" xfId="13218"/>
    <cellStyle name="Normal 9 7 7 3 2 2" xfId="29668"/>
    <cellStyle name="Normal 9 7 7 3 3" xfId="21443"/>
    <cellStyle name="Normal 9 7 7 3 4" xfId="37897"/>
    <cellStyle name="Normal 9 7 7 4" xfId="6638"/>
    <cellStyle name="Normal 9 7 7 4 2" xfId="14863"/>
    <cellStyle name="Normal 9 7 7 4 2 2" xfId="31313"/>
    <cellStyle name="Normal 9 7 7 4 3" xfId="23088"/>
    <cellStyle name="Normal 9 7 7 4 4" xfId="39542"/>
    <cellStyle name="Normal 9 7 7 5" xfId="8283"/>
    <cellStyle name="Normal 9 7 7 5 2" xfId="16508"/>
    <cellStyle name="Normal 9 7 7 5 2 2" xfId="32958"/>
    <cellStyle name="Normal 9 7 7 5 3" xfId="24733"/>
    <cellStyle name="Normal 9 7 7 5 4" xfId="41187"/>
    <cellStyle name="Normal 9 7 7 6" xfId="9928"/>
    <cellStyle name="Normal 9 7 7 6 2" xfId="26378"/>
    <cellStyle name="Normal 9 7 7 7" xfId="18152"/>
    <cellStyle name="Normal 9 7 7 8" xfId="34606"/>
    <cellStyle name="Normal 9 7 8" xfId="1933"/>
    <cellStyle name="Normal 9 7 8 2" xfId="10163"/>
    <cellStyle name="Normal 9 7 8 2 2" xfId="26613"/>
    <cellStyle name="Normal 9 7 8 3" xfId="18387"/>
    <cellStyle name="Normal 9 7 8 4" xfId="34841"/>
    <cellStyle name="Normal 9 7 9" xfId="3583"/>
    <cellStyle name="Normal 9 7 9 2" xfId="11808"/>
    <cellStyle name="Normal 9 7 9 2 2" xfId="28258"/>
    <cellStyle name="Normal 9 7 9 3" xfId="20033"/>
    <cellStyle name="Normal 9 7 9 4" xfId="36487"/>
    <cellStyle name="Normal 9 8" xfId="260"/>
    <cellStyle name="Normal 9 8 10" xfId="5255"/>
    <cellStyle name="Normal 9 8 10 2" xfId="13480"/>
    <cellStyle name="Normal 9 8 10 2 2" xfId="29930"/>
    <cellStyle name="Normal 9 8 10 3" xfId="21705"/>
    <cellStyle name="Normal 9 8 10 4" xfId="38159"/>
    <cellStyle name="Normal 9 8 11" xfId="6900"/>
    <cellStyle name="Normal 9 8 11 2" xfId="15125"/>
    <cellStyle name="Normal 9 8 11 2 2" xfId="31575"/>
    <cellStyle name="Normal 9 8 11 3" xfId="23350"/>
    <cellStyle name="Normal 9 8 11 4" xfId="39804"/>
    <cellStyle name="Normal 9 8 12" xfId="8545"/>
    <cellStyle name="Normal 9 8 12 2" xfId="24995"/>
    <cellStyle name="Normal 9 8 13" xfId="16769"/>
    <cellStyle name="Normal 9 8 14" xfId="33222"/>
    <cellStyle name="Normal 9 8 15" xfId="41450"/>
    <cellStyle name="Normal 9 8 2" xfId="503"/>
    <cellStyle name="Normal 9 8 2 2" xfId="2198"/>
    <cellStyle name="Normal 9 8 2 2 2" xfId="10425"/>
    <cellStyle name="Normal 9 8 2 2 2 2" xfId="26875"/>
    <cellStyle name="Normal 9 8 2 2 3" xfId="18650"/>
    <cellStyle name="Normal 9 8 2 2 4" xfId="35104"/>
    <cellStyle name="Normal 9 8 2 3" xfId="3845"/>
    <cellStyle name="Normal 9 8 2 3 2" xfId="12070"/>
    <cellStyle name="Normal 9 8 2 3 2 2" xfId="28520"/>
    <cellStyle name="Normal 9 8 2 3 3" xfId="20295"/>
    <cellStyle name="Normal 9 8 2 3 4" xfId="36749"/>
    <cellStyle name="Normal 9 8 2 4" xfId="5490"/>
    <cellStyle name="Normal 9 8 2 4 2" xfId="13715"/>
    <cellStyle name="Normal 9 8 2 4 2 2" xfId="30165"/>
    <cellStyle name="Normal 9 8 2 4 3" xfId="21940"/>
    <cellStyle name="Normal 9 8 2 4 4" xfId="38394"/>
    <cellStyle name="Normal 9 8 2 5" xfId="7135"/>
    <cellStyle name="Normal 9 8 2 5 2" xfId="15360"/>
    <cellStyle name="Normal 9 8 2 5 2 2" xfId="31810"/>
    <cellStyle name="Normal 9 8 2 5 3" xfId="23585"/>
    <cellStyle name="Normal 9 8 2 5 4" xfId="40039"/>
    <cellStyle name="Normal 9 8 2 6" xfId="8780"/>
    <cellStyle name="Normal 9 8 2 6 2" xfId="25230"/>
    <cellStyle name="Normal 9 8 2 7" xfId="17004"/>
    <cellStyle name="Normal 9 8 2 8" xfId="33458"/>
    <cellStyle name="Normal 9 8 2 9" xfId="41685"/>
    <cellStyle name="Normal 9 8 3" xfId="740"/>
    <cellStyle name="Normal 9 8 3 2" xfId="2435"/>
    <cellStyle name="Normal 9 8 3 2 2" xfId="10660"/>
    <cellStyle name="Normal 9 8 3 2 2 2" xfId="27110"/>
    <cellStyle name="Normal 9 8 3 2 3" xfId="18885"/>
    <cellStyle name="Normal 9 8 3 2 4" xfId="35339"/>
    <cellStyle name="Normal 9 8 3 3" xfId="4080"/>
    <cellStyle name="Normal 9 8 3 3 2" xfId="12305"/>
    <cellStyle name="Normal 9 8 3 3 2 2" xfId="28755"/>
    <cellStyle name="Normal 9 8 3 3 3" xfId="20530"/>
    <cellStyle name="Normal 9 8 3 3 4" xfId="36984"/>
    <cellStyle name="Normal 9 8 3 4" xfId="5725"/>
    <cellStyle name="Normal 9 8 3 4 2" xfId="13950"/>
    <cellStyle name="Normal 9 8 3 4 2 2" xfId="30400"/>
    <cellStyle name="Normal 9 8 3 4 3" xfId="22175"/>
    <cellStyle name="Normal 9 8 3 4 4" xfId="38629"/>
    <cellStyle name="Normal 9 8 3 5" xfId="7370"/>
    <cellStyle name="Normal 9 8 3 5 2" xfId="15595"/>
    <cellStyle name="Normal 9 8 3 5 2 2" xfId="32045"/>
    <cellStyle name="Normal 9 8 3 5 3" xfId="23820"/>
    <cellStyle name="Normal 9 8 3 5 4" xfId="40274"/>
    <cellStyle name="Normal 9 8 3 6" xfId="9015"/>
    <cellStyle name="Normal 9 8 3 6 2" xfId="25465"/>
    <cellStyle name="Normal 9 8 3 7" xfId="17239"/>
    <cellStyle name="Normal 9 8 3 8" xfId="33693"/>
    <cellStyle name="Normal 9 8 3 9" xfId="41920"/>
    <cellStyle name="Normal 9 8 4" xfId="975"/>
    <cellStyle name="Normal 9 8 4 2" xfId="2670"/>
    <cellStyle name="Normal 9 8 4 2 2" xfId="10895"/>
    <cellStyle name="Normal 9 8 4 2 2 2" xfId="27345"/>
    <cellStyle name="Normal 9 8 4 2 3" xfId="19120"/>
    <cellStyle name="Normal 9 8 4 2 4" xfId="35574"/>
    <cellStyle name="Normal 9 8 4 3" xfId="4315"/>
    <cellStyle name="Normal 9 8 4 3 2" xfId="12540"/>
    <cellStyle name="Normal 9 8 4 3 2 2" xfId="28990"/>
    <cellStyle name="Normal 9 8 4 3 3" xfId="20765"/>
    <cellStyle name="Normal 9 8 4 3 4" xfId="37219"/>
    <cellStyle name="Normal 9 8 4 4" xfId="5960"/>
    <cellStyle name="Normal 9 8 4 4 2" xfId="14185"/>
    <cellStyle name="Normal 9 8 4 4 2 2" xfId="30635"/>
    <cellStyle name="Normal 9 8 4 4 3" xfId="22410"/>
    <cellStyle name="Normal 9 8 4 4 4" xfId="38864"/>
    <cellStyle name="Normal 9 8 4 5" xfId="7605"/>
    <cellStyle name="Normal 9 8 4 5 2" xfId="15830"/>
    <cellStyle name="Normal 9 8 4 5 2 2" xfId="32280"/>
    <cellStyle name="Normal 9 8 4 5 3" xfId="24055"/>
    <cellStyle name="Normal 9 8 4 5 4" xfId="40509"/>
    <cellStyle name="Normal 9 8 4 6" xfId="9250"/>
    <cellStyle name="Normal 9 8 4 6 2" xfId="25700"/>
    <cellStyle name="Normal 9 8 4 7" xfId="17474"/>
    <cellStyle name="Normal 9 8 4 8" xfId="33928"/>
    <cellStyle name="Normal 9 8 4 9" xfId="42155"/>
    <cellStyle name="Normal 9 8 5" xfId="1210"/>
    <cellStyle name="Normal 9 8 5 2" xfId="2905"/>
    <cellStyle name="Normal 9 8 5 2 2" xfId="11130"/>
    <cellStyle name="Normal 9 8 5 2 2 2" xfId="27580"/>
    <cellStyle name="Normal 9 8 5 2 3" xfId="19355"/>
    <cellStyle name="Normal 9 8 5 2 4" xfId="35809"/>
    <cellStyle name="Normal 9 8 5 3" xfId="4550"/>
    <cellStyle name="Normal 9 8 5 3 2" xfId="12775"/>
    <cellStyle name="Normal 9 8 5 3 2 2" xfId="29225"/>
    <cellStyle name="Normal 9 8 5 3 3" xfId="21000"/>
    <cellStyle name="Normal 9 8 5 3 4" xfId="37454"/>
    <cellStyle name="Normal 9 8 5 4" xfId="6195"/>
    <cellStyle name="Normal 9 8 5 4 2" xfId="14420"/>
    <cellStyle name="Normal 9 8 5 4 2 2" xfId="30870"/>
    <cellStyle name="Normal 9 8 5 4 3" xfId="22645"/>
    <cellStyle name="Normal 9 8 5 4 4" xfId="39099"/>
    <cellStyle name="Normal 9 8 5 5" xfId="7840"/>
    <cellStyle name="Normal 9 8 5 5 2" xfId="16065"/>
    <cellStyle name="Normal 9 8 5 5 2 2" xfId="32515"/>
    <cellStyle name="Normal 9 8 5 5 3" xfId="24290"/>
    <cellStyle name="Normal 9 8 5 5 4" xfId="40744"/>
    <cellStyle name="Normal 9 8 5 6" xfId="9485"/>
    <cellStyle name="Normal 9 8 5 6 2" xfId="25935"/>
    <cellStyle name="Normal 9 8 5 7" xfId="17709"/>
    <cellStyle name="Normal 9 8 5 8" xfId="34163"/>
    <cellStyle name="Normal 9 8 5 9" xfId="42390"/>
    <cellStyle name="Normal 9 8 6" xfId="1490"/>
    <cellStyle name="Normal 9 8 6 2" xfId="3140"/>
    <cellStyle name="Normal 9 8 6 2 2" xfId="11365"/>
    <cellStyle name="Normal 9 8 6 2 2 2" xfId="27815"/>
    <cellStyle name="Normal 9 8 6 2 3" xfId="19590"/>
    <cellStyle name="Normal 9 8 6 2 4" xfId="36044"/>
    <cellStyle name="Normal 9 8 6 3" xfId="4785"/>
    <cellStyle name="Normal 9 8 6 3 2" xfId="13010"/>
    <cellStyle name="Normal 9 8 6 3 2 2" xfId="29460"/>
    <cellStyle name="Normal 9 8 6 3 3" xfId="21235"/>
    <cellStyle name="Normal 9 8 6 3 4" xfId="37689"/>
    <cellStyle name="Normal 9 8 6 4" xfId="6430"/>
    <cellStyle name="Normal 9 8 6 4 2" xfId="14655"/>
    <cellStyle name="Normal 9 8 6 4 2 2" xfId="31105"/>
    <cellStyle name="Normal 9 8 6 4 3" xfId="22880"/>
    <cellStyle name="Normal 9 8 6 4 4" xfId="39334"/>
    <cellStyle name="Normal 9 8 6 5" xfId="8075"/>
    <cellStyle name="Normal 9 8 6 5 2" xfId="16300"/>
    <cellStyle name="Normal 9 8 6 5 2 2" xfId="32750"/>
    <cellStyle name="Normal 9 8 6 5 3" xfId="24525"/>
    <cellStyle name="Normal 9 8 6 5 4" xfId="40979"/>
    <cellStyle name="Normal 9 8 6 6" xfId="9720"/>
    <cellStyle name="Normal 9 8 6 6 2" xfId="26170"/>
    <cellStyle name="Normal 9 8 6 7" xfId="17944"/>
    <cellStyle name="Normal 9 8 6 8" xfId="34398"/>
    <cellStyle name="Normal 9 8 7" xfId="1725"/>
    <cellStyle name="Normal 9 8 7 2" xfId="3375"/>
    <cellStyle name="Normal 9 8 7 2 2" xfId="11600"/>
    <cellStyle name="Normal 9 8 7 2 2 2" xfId="28050"/>
    <cellStyle name="Normal 9 8 7 2 3" xfId="19825"/>
    <cellStyle name="Normal 9 8 7 2 4" xfId="36279"/>
    <cellStyle name="Normal 9 8 7 3" xfId="5020"/>
    <cellStyle name="Normal 9 8 7 3 2" xfId="13245"/>
    <cellStyle name="Normal 9 8 7 3 2 2" xfId="29695"/>
    <cellStyle name="Normal 9 8 7 3 3" xfId="21470"/>
    <cellStyle name="Normal 9 8 7 3 4" xfId="37924"/>
    <cellStyle name="Normal 9 8 7 4" xfId="6665"/>
    <cellStyle name="Normal 9 8 7 4 2" xfId="14890"/>
    <cellStyle name="Normal 9 8 7 4 2 2" xfId="31340"/>
    <cellStyle name="Normal 9 8 7 4 3" xfId="23115"/>
    <cellStyle name="Normal 9 8 7 4 4" xfId="39569"/>
    <cellStyle name="Normal 9 8 7 5" xfId="8310"/>
    <cellStyle name="Normal 9 8 7 5 2" xfId="16535"/>
    <cellStyle name="Normal 9 8 7 5 2 2" xfId="32985"/>
    <cellStyle name="Normal 9 8 7 5 3" xfId="24760"/>
    <cellStyle name="Normal 9 8 7 5 4" xfId="41214"/>
    <cellStyle name="Normal 9 8 7 6" xfId="9955"/>
    <cellStyle name="Normal 9 8 7 6 2" xfId="26405"/>
    <cellStyle name="Normal 9 8 7 7" xfId="18179"/>
    <cellStyle name="Normal 9 8 7 8" xfId="34633"/>
    <cellStyle name="Normal 9 8 8" xfId="1960"/>
    <cellStyle name="Normal 9 8 8 2" xfId="10190"/>
    <cellStyle name="Normal 9 8 8 2 2" xfId="26640"/>
    <cellStyle name="Normal 9 8 8 3" xfId="18414"/>
    <cellStyle name="Normal 9 8 8 4" xfId="34868"/>
    <cellStyle name="Normal 9 8 9" xfId="3610"/>
    <cellStyle name="Normal 9 8 9 2" xfId="11835"/>
    <cellStyle name="Normal 9 8 9 2 2" xfId="28285"/>
    <cellStyle name="Normal 9 8 9 3" xfId="20060"/>
    <cellStyle name="Normal 9 8 9 4" xfId="36514"/>
    <cellStyle name="Normal 9 9" xfId="289"/>
    <cellStyle name="Normal 9 9 2" xfId="1990"/>
    <cellStyle name="Normal 9 9 2 2" xfId="10217"/>
    <cellStyle name="Normal 9 9 2 2 2" xfId="26667"/>
    <cellStyle name="Normal 9 9 2 3" xfId="18442"/>
    <cellStyle name="Normal 9 9 2 4" xfId="34896"/>
    <cellStyle name="Normal 9 9 3" xfId="3637"/>
    <cellStyle name="Normal 9 9 3 2" xfId="11862"/>
    <cellStyle name="Normal 9 9 3 2 2" xfId="28312"/>
    <cellStyle name="Normal 9 9 3 3" xfId="20087"/>
    <cellStyle name="Normal 9 9 3 4" xfId="36541"/>
    <cellStyle name="Normal 9 9 4" xfId="5282"/>
    <cellStyle name="Normal 9 9 4 2" xfId="13507"/>
    <cellStyle name="Normal 9 9 4 2 2" xfId="29957"/>
    <cellStyle name="Normal 9 9 4 3" xfId="21732"/>
    <cellStyle name="Normal 9 9 4 4" xfId="38186"/>
    <cellStyle name="Normal 9 9 5" xfId="6927"/>
    <cellStyle name="Normal 9 9 5 2" xfId="15152"/>
    <cellStyle name="Normal 9 9 5 2 2" xfId="31602"/>
    <cellStyle name="Normal 9 9 5 3" xfId="23377"/>
    <cellStyle name="Normal 9 9 5 4" xfId="39831"/>
    <cellStyle name="Normal 9 9 6" xfId="8572"/>
    <cellStyle name="Normal 9 9 6 2" xfId="25022"/>
    <cellStyle name="Normal 9 9 7" xfId="16796"/>
    <cellStyle name="Normal 9 9 8" xfId="33250"/>
    <cellStyle name="Normal 9 9 9" xfId="41477"/>
    <cellStyle name="Percent 2" xfId="31"/>
    <cellStyle name="Percent 2 2" xfId="1248"/>
    <cellStyle name="Percent 3" xfId="57"/>
    <cellStyle name="Percent 3 2" xfId="188"/>
    <cellStyle name="Percent 3 2 2" xfId="431"/>
    <cellStyle name="Percent 3 2 2 2" xfId="1260"/>
    <cellStyle name="Percent 3 2 3" xfId="1252"/>
    <cellStyle name="Percent 3 3" xfId="244"/>
    <cellStyle name="Percent 3 3 2" xfId="487"/>
    <cellStyle name="Percent 3 3 2 2" xfId="1262"/>
    <cellStyle name="Percent 3 3 3" xfId="1254"/>
    <cellStyle name="Percent 3 4" xfId="300"/>
    <cellStyle name="Percent 3 4 2" xfId="1258"/>
    <cellStyle name="Percent 3 5" xfId="273"/>
    <cellStyle name="Percent 3 5 2" xfId="1974"/>
    <cellStyle name="Percent 3 5 3" xfId="1256"/>
    <cellStyle name="Percent 3 6" xfId="516"/>
    <cellStyle name="Percent 3 6 2" xfId="2211"/>
    <cellStyle name="Percent 3 6 3" xfId="1264"/>
    <cellStyle name="Percent 3 7" xfId="1250"/>
    <cellStyle name="Гиперссылка" xfId="42403" builtinId="8"/>
    <cellStyle name="Обычный" xfId="0" builtinId="0"/>
    <cellStyle name="Процентный" xfId="42404" builtinId="5"/>
    <cellStyle name="Финансовый" xfId="42405" builtinId="3"/>
  </cellStyles>
  <dxfs count="341">
    <dxf>
      <font>
        <b/>
        <i val="0"/>
        <color rgb="FF9C0006"/>
      </font>
      <fill>
        <patternFill>
          <bgColor rgb="FFFFC7CE"/>
        </patternFill>
      </fill>
    </dxf>
    <dxf>
      <font>
        <color rgb="FF9C0006"/>
      </font>
      <fill>
        <patternFill>
          <bgColor rgb="FFFFC7CE"/>
        </patternFill>
      </fill>
    </dxf>
    <dxf>
      <font>
        <b/>
        <i val="0"/>
        <color rgb="FF9C0006"/>
      </font>
      <fill>
        <patternFill>
          <bgColor rgb="FFFFC7CE"/>
        </patternFill>
      </fill>
    </dxf>
    <dxf>
      <font>
        <b val="0"/>
        <i val="0"/>
        <strike val="0"/>
        <condense val="0"/>
        <extend val="0"/>
        <outline val="0"/>
        <shadow val="0"/>
        <u val="none"/>
        <vertAlign val="baseline"/>
        <sz val="9"/>
        <color indexed="8"/>
        <name val="Arial"/>
        <scheme val="none"/>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9"/>
        <color indexed="8"/>
        <name val="Arial"/>
        <scheme val="none"/>
      </font>
      <fill>
        <patternFill patternType="solid">
          <fgColor indexed="64"/>
          <bgColor indexed="40"/>
        </patternFill>
      </fill>
      <alignment horizontal="center" vertical="center" textRotation="0" wrapText="0" indent="0" justifyLastLine="0" shrinkToFit="0" readingOrder="0"/>
      <border diagonalUp="0" diagonalDown="0">
        <left/>
        <right style="thin">
          <color indexed="64"/>
        </right>
        <top/>
        <bottom/>
        <vertical/>
        <horizontal/>
      </border>
    </dxf>
    <dxf>
      <border outline="0">
        <left style="thin">
          <color rgb="FF000000"/>
        </left>
        <top style="thin">
          <color rgb="FF000000"/>
        </top>
      </border>
    </dxf>
    <dxf>
      <border outline="0">
        <bottom style="thin">
          <color rgb="FF000000"/>
        </bottom>
      </border>
    </dxf>
    <dxf>
      <font>
        <b/>
        <i val="0"/>
        <strike val="0"/>
        <condense val="0"/>
        <extend val="0"/>
        <outline val="0"/>
        <shadow val="0"/>
        <u val="none"/>
        <vertAlign val="baseline"/>
        <sz val="9"/>
        <color indexed="8"/>
        <name val="Arial"/>
        <scheme val="none"/>
      </font>
      <fill>
        <patternFill patternType="solid">
          <fgColor indexed="64"/>
          <bgColor indexed="44"/>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9"/>
        <color indexed="8"/>
        <name val="Arial"/>
        <scheme val="none"/>
      </font>
      <fill>
        <patternFill patternType="solid">
          <fgColor indexed="64"/>
          <bgColor indexed="4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9"/>
        <color indexed="8"/>
        <name val="Arial"/>
        <scheme val="none"/>
      </font>
      <fill>
        <patternFill patternType="solid">
          <fgColor indexed="64"/>
          <bgColor indexed="40"/>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b/>
        <i val="0"/>
        <strike val="0"/>
        <condense val="0"/>
        <extend val="0"/>
        <outline val="0"/>
        <shadow val="0"/>
        <u val="none"/>
        <vertAlign val="baseline"/>
        <sz val="9"/>
        <color indexed="8"/>
        <name val="Arial"/>
        <scheme val="none"/>
      </font>
      <fill>
        <patternFill patternType="solid">
          <fgColor indexed="64"/>
          <bgColor indexed="44"/>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indexed="64"/>
          <bgColor rgb="FFFF0000"/>
        </patternFill>
      </fill>
    </dxf>
    <dxf>
      <fill>
        <patternFill>
          <fgColor indexed="64"/>
          <bgColor rgb="FFFFC000"/>
        </patternFill>
      </fill>
    </dxf>
    <dxf>
      <font>
        <color rgb="FF9C0006"/>
      </font>
      <fill>
        <patternFill>
          <bgColor rgb="FFFFC7CE"/>
        </patternFill>
      </fill>
    </dxf>
    <dxf>
      <font>
        <color rgb="FF9C0006"/>
      </font>
      <fill>
        <patternFill>
          <bgColor rgb="FFFFC7CE"/>
        </patternFill>
      </fill>
    </dxf>
    <dxf>
      <fill>
        <patternFill>
          <fgColor indexed="64"/>
          <bgColor rgb="FFFF0000"/>
        </patternFill>
      </fill>
    </dxf>
    <dxf>
      <fill>
        <patternFill>
          <fgColor indexed="64"/>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auto="1"/>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indexed="8"/>
        <name val="Cambria"/>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indexed="8"/>
        <name val="Cambria"/>
        <scheme val="none"/>
      </font>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indexed="8"/>
        <name val="Cambria"/>
        <scheme val="none"/>
      </font>
      <alignment horizontal="center" vertical="bottom" textRotation="0" wrapText="0" indent="0" justifyLastLine="0" shrinkToFit="0" readingOrder="0"/>
      <border diagonalUp="0" diagonalDown="0" outline="0">
        <left style="thin">
          <color indexed="64"/>
        </left>
        <right/>
        <top style="thin">
          <color indexed="64"/>
        </top>
        <bottom/>
      </border>
    </dxf>
    <dxf>
      <border diagonalUp="0" diagonalDown="0">
        <left style="thin">
          <color indexed="64"/>
        </left>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indexed="8"/>
        <name val="Cambria"/>
        <scheme val="none"/>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scheme val="minor"/>
      </font>
      <numFmt numFmtId="164" formatCode="_(* #,##0.00_);_(* \(#,##0.00\);_(* &quot;-&quot;??_);_(@_)"/>
      <border diagonalUp="0" diagonalDown="0" outline="0">
        <left style="thin">
          <color indexed="64"/>
        </left>
        <right style="thin">
          <color indexed="64"/>
        </right>
        <top style="thin">
          <color indexed="64"/>
        </top>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indexed="8"/>
        <name val="Cambria"/>
        <scheme val="none"/>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indexed="8"/>
        <name val="Cambria"/>
        <scheme val="none"/>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indexed="8"/>
        <name val="Cambria"/>
        <scheme val="none"/>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indexed="8"/>
        <name val="Cambria"/>
        <scheme val="none"/>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indexed="8"/>
        <name val="Cambria"/>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indexed="8"/>
        <name val="Cambria"/>
        <scheme val="none"/>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indexed="8"/>
        <name val="Cambria"/>
        <scheme val="none"/>
      </font>
      <alignment horizontal="left" vertical="bottom" textRotation="0" wrapText="0" indent="0" justifyLastLine="0" shrinkToFit="0" readingOrder="0"/>
      <border diagonalUp="0" diagonalDown="0" outline="0">
        <left/>
        <right style="thin">
          <color indexed="64"/>
        </right>
        <top style="thin">
          <color indexed="64"/>
        </top>
        <bottom/>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b/>
        <i val="0"/>
        <strike val="0"/>
        <condense val="0"/>
        <extend val="0"/>
        <outline val="0"/>
        <shadow val="0"/>
        <u val="none"/>
        <vertAlign val="baseline"/>
        <sz val="9"/>
        <color indexed="8"/>
        <name val="Arial"/>
        <scheme val="none"/>
      </font>
      <fill>
        <patternFill patternType="solid">
          <fgColor indexed="64"/>
          <bgColor indexed="44"/>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fgColor indexed="64"/>
          <bgColor rgb="FFFF0000"/>
        </patternFill>
      </fill>
    </dxf>
    <dxf>
      <fill>
        <patternFill>
          <fgColor indexed="64"/>
          <bgColor rgb="FFFFC000"/>
        </patternFill>
      </fill>
    </dxf>
    <dxf>
      <fill>
        <patternFill>
          <fgColor indexed="64"/>
          <bgColor rgb="FFFF0000"/>
        </patternFill>
      </fill>
    </dxf>
    <dxf>
      <fill>
        <patternFill>
          <fgColor indexed="64"/>
          <bgColor rgb="FFFFC000"/>
        </patternFill>
      </fill>
    </dxf>
    <dxf>
      <fill>
        <patternFill>
          <fgColor indexed="64"/>
          <bgColor rgb="FFFF0000"/>
        </patternFill>
      </fill>
    </dxf>
    <dxf>
      <fill>
        <patternFill>
          <fgColor indexed="64"/>
          <bgColor rgb="FFFFC000"/>
        </patternFill>
      </fill>
    </dxf>
    <dxf>
      <fill>
        <patternFill>
          <fgColor indexed="64"/>
          <bgColor rgb="FFFF0000"/>
        </patternFill>
      </fill>
    </dxf>
    <dxf>
      <fill>
        <patternFill>
          <fgColor indexed="64"/>
          <bgColor rgb="FFFFC000"/>
        </patternFill>
      </fill>
    </dxf>
    <dxf>
      <fill>
        <patternFill>
          <fgColor indexed="64"/>
          <bgColor rgb="FFFF0000"/>
        </patternFill>
      </fill>
    </dxf>
    <dxf>
      <fill>
        <patternFill>
          <fgColor indexed="64"/>
          <bgColor rgb="FFFFC000"/>
        </patternFill>
      </fill>
    </dxf>
    <dxf>
      <fill>
        <patternFill>
          <fgColor indexed="64"/>
          <bgColor rgb="FFFF0000"/>
        </patternFill>
      </fill>
    </dxf>
    <dxf>
      <fill>
        <patternFill>
          <fgColor indexed="64"/>
          <bgColor rgb="FFFFC000"/>
        </patternFill>
      </fill>
    </dxf>
    <dxf>
      <fill>
        <patternFill>
          <fgColor indexed="64"/>
          <bgColor rgb="FFFFC000"/>
        </patternFill>
      </fill>
    </dxf>
    <dxf>
      <fill>
        <patternFill>
          <fgColor indexed="64"/>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ill>
        <patternFill>
          <fgColor indexed="64"/>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ill>
        <patternFill>
          <fgColor indexed="64"/>
          <bgColor rgb="FFFFC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color rgb="FF9C0006"/>
      </font>
      <fill>
        <patternFill>
          <bgColor rgb="FFFFC7CE"/>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
      <font>
        <b/>
        <i val="0"/>
        <color auto="1"/>
      </font>
      <fill>
        <patternFill>
          <bgColor rgb="FFFF0000"/>
        </patternFill>
      </fill>
    </dxf>
  </dxfs>
  <tableStyles count="0" defaultTableStyle="TableStyleMedium9" defaultPivotStyle="PivotStyleLight16"/>
  <colors>
    <mruColors>
      <color rgb="FFC0C0C0"/>
      <color rgb="FF00CCFF"/>
      <color rgb="FFA28ADE"/>
      <color rgb="FF00FF00"/>
      <color rgb="FFFF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541020</xdr:colOff>
          <xdr:row>0</xdr:row>
          <xdr:rowOff>152400</xdr:rowOff>
        </xdr:from>
        <xdr:to>
          <xdr:col>15</xdr:col>
          <xdr:colOff>114300</xdr:colOff>
          <xdr:row>0</xdr:row>
          <xdr:rowOff>381000</xdr:rowOff>
        </xdr:to>
        <xdr:sp macro="" textlink="">
          <xdr:nvSpPr>
            <xdr:cNvPr id="1186" name="Button 162" hidden="1">
              <a:extLst>
                <a:ext uri="{63B3BB69-23CF-44E3-9099-C40C66FF867C}">
                  <a14:compatExt spid="_x0000_s118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200" b="1" i="0" u="none" strike="noStrike" baseline="0">
                  <a:solidFill>
                    <a:srgbClr val="000080"/>
                  </a:solidFill>
                  <a:latin typeface="Arial"/>
                  <a:cs typeface="Arial"/>
                </a:rPr>
                <a:t>Capacity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15</xdr:col>
          <xdr:colOff>342900</xdr:colOff>
          <xdr:row>0</xdr:row>
          <xdr:rowOff>152400</xdr:rowOff>
        </xdr:from>
        <xdr:to>
          <xdr:col>17</xdr:col>
          <xdr:colOff>342900</xdr:colOff>
          <xdr:row>0</xdr:row>
          <xdr:rowOff>381000</xdr:rowOff>
        </xdr:to>
        <xdr:sp macro="" textlink="">
          <xdr:nvSpPr>
            <xdr:cNvPr id="1187" name="Button 163" hidden="1">
              <a:extLst>
                <a:ext uri="{63B3BB69-23CF-44E3-9099-C40C66FF867C}">
                  <a14:compatExt spid="_x0000_s118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200" b="1" i="0" u="none" strike="noStrike" baseline="0">
                  <a:solidFill>
                    <a:srgbClr val="000080"/>
                  </a:solidFill>
                  <a:latin typeface="Arial"/>
                  <a:cs typeface="Arial"/>
                </a:rPr>
                <a:t>Capacity</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76200</xdr:colOff>
          <xdr:row>0</xdr:row>
          <xdr:rowOff>0</xdr:rowOff>
        </xdr:from>
        <xdr:to>
          <xdr:col>0</xdr:col>
          <xdr:colOff>114300</xdr:colOff>
          <xdr:row>0</xdr:row>
          <xdr:rowOff>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200" b="1" i="0" u="none" strike="noStrike" baseline="0">
                  <a:solidFill>
                    <a:srgbClr val="000080"/>
                  </a:solidFill>
                  <a:latin typeface="Arial"/>
                  <a:cs typeface="Arial"/>
                </a:rPr>
                <a:t>Capacity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114300</xdr:colOff>
          <xdr:row>0</xdr:row>
          <xdr:rowOff>0</xdr:rowOff>
        </xdr:from>
        <xdr:to>
          <xdr:col>0</xdr:col>
          <xdr:colOff>137160</xdr:colOff>
          <xdr:row>0</xdr:row>
          <xdr:rowOff>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200" b="1" i="0" u="none" strike="noStrike" baseline="0">
                  <a:solidFill>
                    <a:srgbClr val="000080"/>
                  </a:solidFill>
                  <a:latin typeface="Arial"/>
                  <a:cs typeface="Arial"/>
                </a:rPr>
                <a:t>Capacity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525780</xdr:colOff>
          <xdr:row>0</xdr:row>
          <xdr:rowOff>38100</xdr:rowOff>
        </xdr:from>
        <xdr:to>
          <xdr:col>15</xdr:col>
          <xdr:colOff>45720</xdr:colOff>
          <xdr:row>0</xdr:row>
          <xdr:rowOff>297180</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200" b="1" i="0" u="none" strike="noStrike" baseline="0">
                  <a:solidFill>
                    <a:srgbClr val="000080"/>
                  </a:solidFill>
                  <a:latin typeface="Arial"/>
                  <a:cs typeface="Arial"/>
                </a:rPr>
                <a:t>Capacity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15</xdr:col>
          <xdr:colOff>137160</xdr:colOff>
          <xdr:row>0</xdr:row>
          <xdr:rowOff>60960</xdr:rowOff>
        </xdr:from>
        <xdr:to>
          <xdr:col>17</xdr:col>
          <xdr:colOff>175260</xdr:colOff>
          <xdr:row>0</xdr:row>
          <xdr:rowOff>274320</xdr:rowOff>
        </xdr:to>
        <xdr:sp macro="" textlink="">
          <xdr:nvSpPr>
            <xdr:cNvPr id="2052" name="Button 4" hidden="1">
              <a:extLst>
                <a:ext uri="{63B3BB69-23CF-44E3-9099-C40C66FF867C}">
                  <a14:compatExt spid="_x0000_s205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200" b="1" i="0" u="none" strike="noStrike" baseline="0">
                  <a:solidFill>
                    <a:srgbClr val="000080"/>
                  </a:solidFill>
                  <a:latin typeface="Arial"/>
                  <a:cs typeface="Arial"/>
                </a:rPr>
                <a:t>Capacity</a:t>
              </a:r>
            </a:p>
          </xdr:txBody>
        </xdr:sp>
        <xdr:clientData fPrintsWithSheet="0"/>
      </xdr:twoCellAnchor>
    </mc:Choice>
    <mc:Fallback/>
  </mc:AlternateContent>
</xdr:wsDr>
</file>

<file path=xl/tables/table1.xml><?xml version="1.0" encoding="utf-8"?>
<table xmlns="http://schemas.openxmlformats.org/spreadsheetml/2006/main" id="1" name="Table1" displayName="Table1" ref="A1:L535" totalsRowCount="1" headerRowDxfId="156" headerRowBorderDxfId="155" tableBorderDxfId="154" totalsRowBorderDxfId="153">
  <autoFilter ref="A1:L534"/>
  <sortState ref="A36:L181">
    <sortCondition ref="A1:A230"/>
  </sortState>
  <tableColumns count="12">
    <tableColumn id="1" name="City" dataDxfId="152" totalsRowDxfId="151"/>
    <tableColumn id="2" name="VPN" dataDxfId="150" totalsRowDxfId="149"/>
    <tableColumn id="3" name="ID" dataDxfId="148" totalsRowDxfId="147"/>
    <tableColumn id="4" name="Network / 30" dataDxfId="146" totalsRowDxfId="145"/>
    <tableColumn id="5" name="IP address KZT" dataDxfId="144" totalsRowDxfId="143"/>
    <tableColumn id="6" name="IP address Kcell" dataDxfId="142" totalsRowDxfId="141"/>
    <tableColumn id="7" name="Vlan " dataDxfId="140" totalsRowDxfId="139"/>
    <tableColumn id="12" name="Capacity, Mbps" totalsRowFunction="sum" dataDxfId="138" totalsRowDxfId="137"/>
    <tableColumn id="10" name="AS KZT" dataDxfId="136" totalsRowDxfId="135"/>
    <tableColumn id="11" name="AS Kcell" dataDxfId="134" totalsRowDxfId="133"/>
    <tableColumn id="14" name="Termination point" totalsRowDxfId="132"/>
    <tableColumn id="8" name="Interface" dataDxfId="131" totalsRowDxfId="130"/>
  </tableColumns>
  <tableStyleInfo showFirstColumn="0" showLastColumn="0" showRowStripes="1" showColumnStripes="0"/>
</table>
</file>

<file path=xl/tables/table2.xml><?xml version="1.0" encoding="utf-8"?>
<table xmlns="http://schemas.openxmlformats.org/spreadsheetml/2006/main" id="2" name="Table2" displayName="Table2" ref="A1:L68" totalsRowShown="0" headerRowDxfId="31" headerRowBorderDxfId="30" tableBorderDxfId="29" totalsRowBorderDxfId="28">
  <autoFilter ref="A1:L68"/>
  <sortState ref="A2:L57">
    <sortCondition ref="A1:A57"/>
  </sortState>
  <tableColumns count="12">
    <tableColumn id="1" name="City" dataDxfId="27"/>
    <tableColumn id="2" name="VPN" dataDxfId="26"/>
    <tableColumn id="3" name="ID" dataDxfId="25"/>
    <tableColumn id="4" name="Network / 30" dataDxfId="24"/>
    <tableColumn id="5" name="IP address KazTransCom" dataDxfId="23"/>
    <tableColumn id="6" name="IP address Kcell" dataDxfId="22"/>
    <tableColumn id="7" name="Vlan " dataDxfId="21"/>
    <tableColumn id="9" name="Capacity, Mbps" dataDxfId="20"/>
    <tableColumn id="10" name="AS KTC" dataDxfId="19"/>
    <tableColumn id="11" name="AS Kcell" dataDxfId="18"/>
    <tableColumn id="13" name="Point Termination" dataDxfId="17"/>
    <tableColumn id="8" name="Interface" dataDxfId="16"/>
  </tableColumns>
  <tableStyleInfo showFirstColumn="0" showLastColumn="0" showRowStripes="1" showColumnStripes="0"/>
</table>
</file>

<file path=xl/tables/table3.xml><?xml version="1.0" encoding="utf-8"?>
<table xmlns="http://schemas.openxmlformats.org/spreadsheetml/2006/main" id="3" name="Table24" displayName="Table24" ref="A1:L48" totalsRowShown="0" headerRowDxfId="7" headerRowBorderDxfId="6" tableBorderDxfId="5">
  <autoFilter ref="A1:L48"/>
  <sortState ref="A2:L48">
    <sortCondition ref="A1:A48"/>
  </sortState>
  <tableColumns count="12">
    <tableColumn id="1" name="City" dataDxfId="4"/>
    <tableColumn id="2" name="VPN"/>
    <tableColumn id="3" name="ID"/>
    <tableColumn id="4" name="Network / 30"/>
    <tableColumn id="5" name="IP address Transtelecom"/>
    <tableColumn id="6" name="IP address Kcell"/>
    <tableColumn id="7" name="Vlan "/>
    <tableColumn id="9" name="Capacity, Mbps"/>
    <tableColumn id="10" name="AS TTK"/>
    <tableColumn id="11" name="AS Kcell"/>
    <tableColumn id="13" name="Point Termination" dataDxfId="3"/>
    <tableColumn id="8" name="Interface"/>
  </tableColumns>
  <tableStyleInfo showFirstColumn="0" showLastColumn="0" showRowStripes="1" showColumnStripes="0"/>
</table>
</file>

<file path=xl/tables/table4.xml><?xml version="1.0" encoding="utf-8"?>
<table xmlns="http://schemas.openxmlformats.org/spreadsheetml/2006/main" id="5" name="Таблица5" displayName="Таблица5" ref="A1:U31" totalsRowShown="0">
  <autoFilter ref="A1:U31"/>
  <tableColumns count="21">
    <tableColumn id="20" name="NUMBER"/>
    <tableColumn id="1" name="AKTAU"/>
    <tableColumn id="2" name="AKTOBE"/>
    <tableColumn id="3" name="ALMATY"/>
    <tableColumn id="4" name="ASTANA"/>
    <tableColumn id="5" name="ATYRAU"/>
    <tableColumn id="6" name="EKIBASTUZ"/>
    <tableColumn id="7" name="KARAGANDA"/>
    <tableColumn id="8" name="KOKSHETAU"/>
    <tableColumn id="9" name="KOSTANAY"/>
    <tableColumn id="10" name="KYZYLORDA"/>
    <tableColumn id="11" name="OSKEMEN"/>
    <tableColumn id="12" name="PAVLODAR"/>
    <tableColumn id="13" name="PETROPAVLOVSK"/>
    <tableColumn id="14" name="SEMEY"/>
    <tableColumn id="15" name="SHYMKENT"/>
    <tableColumn id="16" name="TALDYK"/>
    <tableColumn id="17" name="TARAZ"/>
    <tableColumn id="21" name="TEMIRTAU"/>
    <tableColumn id="18" name="URALSK"/>
    <tableColumn id="22" name="KTC"/>
  </tableColumns>
  <tableStyleInfo name="TableStyleMedium9"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printerSettings" Target="../printerSettings/printerSettings4.bin"/><Relationship Id="rId1" Type="http://schemas.openxmlformats.org/officeDocument/2006/relationships/hyperlink" Target="mailto:ccr@kaztranscom.kz" TargetMode="External"/></Relationships>
</file>

<file path=xl/worksheets/_rels/sheet5.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printerSettings" Target="../printerSettings/printerSettings5.bin"/><Relationship Id="rId1" Type="http://schemas.openxmlformats.org/officeDocument/2006/relationships/hyperlink" Target="mailto:noc@ttc.kz" TargetMode="Externa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E547"/>
  <sheetViews>
    <sheetView tabSelected="1" zoomScaleNormal="100" workbookViewId="0">
      <pane ySplit="1" topLeftCell="A23" activePane="bottomLeft" state="frozen"/>
      <selection activeCell="B1" sqref="B1"/>
      <selection pane="bottomLeft" activeCell="D1" sqref="D1"/>
    </sheetView>
  </sheetViews>
  <sheetFormatPr defaultColWidth="9.44140625" defaultRowHeight="14.4" x14ac:dyDescent="0.3"/>
  <cols>
    <col min="1" max="1" width="20.44140625" style="3" customWidth="1"/>
    <col min="2" max="2" width="17.5546875" style="1" customWidth="1"/>
    <col min="3" max="3" width="24.109375" style="50" customWidth="1"/>
    <col min="4" max="4" width="14.33203125" style="1" customWidth="1"/>
    <col min="5" max="5" width="12.6640625" style="1" customWidth="1"/>
    <col min="6" max="6" width="14.44140625" style="1" customWidth="1"/>
    <col min="7" max="7" width="9.44140625" style="1" customWidth="1"/>
    <col min="8" max="8" width="11.5546875" bestFit="1" customWidth="1"/>
    <col min="9" max="9" width="12.44140625" style="1" customWidth="1"/>
    <col min="10" max="10" width="11.44140625" style="1" bestFit="1" customWidth="1"/>
    <col min="11" max="11" width="12.44140625" style="1" bestFit="1" customWidth="1"/>
    <col min="12" max="12" width="12.44140625" style="1" customWidth="1"/>
    <col min="13" max="13" width="6.44140625" style="1" hidden="1" customWidth="1"/>
    <col min="14" max="15" width="13.5546875" style="1" hidden="1" customWidth="1"/>
    <col min="18" max="18" width="39.33203125" style="1" customWidth="1"/>
    <col min="19" max="19" width="15.6640625" style="1" customWidth="1"/>
    <col min="20" max="16384" width="9.44140625" style="1"/>
  </cols>
  <sheetData>
    <row r="1" spans="1:20" s="2" customFormat="1" ht="41.1" customHeight="1" x14ac:dyDescent="0.3">
      <c r="A1" s="38" t="s">
        <v>140</v>
      </c>
      <c r="B1" s="39" t="s">
        <v>1</v>
      </c>
      <c r="C1" s="39" t="s">
        <v>159</v>
      </c>
      <c r="D1" s="39" t="s">
        <v>9</v>
      </c>
      <c r="E1" s="39" t="s">
        <v>2255</v>
      </c>
      <c r="F1" s="39" t="s">
        <v>2256</v>
      </c>
      <c r="G1" s="39" t="s">
        <v>0</v>
      </c>
      <c r="H1" s="39" t="s">
        <v>5</v>
      </c>
      <c r="I1" s="39" t="s">
        <v>154</v>
      </c>
      <c r="J1" s="40" t="s">
        <v>155</v>
      </c>
      <c r="K1" s="40" t="s">
        <v>1970</v>
      </c>
      <c r="L1" s="39" t="s">
        <v>2</v>
      </c>
      <c r="P1"/>
      <c r="Q1"/>
      <c r="R1" s="2" t="s">
        <v>4763</v>
      </c>
      <c r="S1" s="206">
        <f>300000-(Table1[[#Totals],[Capacity, Mbps]]+'3G_REGIONS'!H1211)/2</f>
        <v>-251255.5</v>
      </c>
    </row>
    <row r="2" spans="1:20" s="2" customFormat="1" ht="15" customHeight="1" x14ac:dyDescent="0.25">
      <c r="A2" s="27" t="s">
        <v>3</v>
      </c>
      <c r="B2" s="20" t="s">
        <v>597</v>
      </c>
      <c r="C2" s="20" t="s">
        <v>1750</v>
      </c>
      <c r="D2" s="20" t="s">
        <v>1720</v>
      </c>
      <c r="E2" s="20" t="s">
        <v>1721</v>
      </c>
      <c r="F2" s="20" t="s">
        <v>1722</v>
      </c>
      <c r="G2" s="20">
        <v>2816</v>
      </c>
      <c r="H2" s="20">
        <v>110</v>
      </c>
      <c r="I2" s="20">
        <v>9198</v>
      </c>
      <c r="J2" s="36">
        <v>29355</v>
      </c>
      <c r="K2" s="20"/>
      <c r="L2" s="20" t="s">
        <v>1972</v>
      </c>
      <c r="P2" s="346">
        <v>19035</v>
      </c>
      <c r="Q2" s="345">
        <f>P2*100%/(20000)</f>
        <v>0.95174999999999998</v>
      </c>
      <c r="R2" s="198" t="s">
        <v>6062</v>
      </c>
      <c r="S2" s="128"/>
      <c r="T2" s="220" t="s">
        <v>4842</v>
      </c>
    </row>
    <row r="3" spans="1:20" ht="15" customHeight="1" x14ac:dyDescent="0.25">
      <c r="A3" s="21" t="s">
        <v>3</v>
      </c>
      <c r="B3" s="18" t="s">
        <v>198</v>
      </c>
      <c r="C3" s="18" t="s">
        <v>686</v>
      </c>
      <c r="D3" s="18" t="s">
        <v>8</v>
      </c>
      <c r="E3" s="18" t="s">
        <v>7</v>
      </c>
      <c r="F3" s="18" t="s">
        <v>6</v>
      </c>
      <c r="G3" s="18">
        <v>3905</v>
      </c>
      <c r="H3" s="18">
        <v>30</v>
      </c>
      <c r="I3" s="18">
        <v>9198</v>
      </c>
      <c r="J3" s="29">
        <v>29355</v>
      </c>
      <c r="K3" s="18"/>
      <c r="L3" s="18" t="s">
        <v>1972</v>
      </c>
      <c r="M3" s="48"/>
      <c r="P3" s="346"/>
      <c r="Q3" s="346"/>
      <c r="R3" s="264" t="s">
        <v>6285</v>
      </c>
      <c r="S3" s="128"/>
      <c r="T3" s="220" t="s">
        <v>4843</v>
      </c>
    </row>
    <row r="4" spans="1:20" ht="15" customHeight="1" x14ac:dyDescent="0.25">
      <c r="A4" s="22" t="s">
        <v>3</v>
      </c>
      <c r="B4" s="16" t="s">
        <v>34</v>
      </c>
      <c r="C4" s="16" t="s">
        <v>687</v>
      </c>
      <c r="D4" s="16" t="s">
        <v>331</v>
      </c>
      <c r="E4" s="16" t="s">
        <v>332</v>
      </c>
      <c r="F4" s="16" t="s">
        <v>330</v>
      </c>
      <c r="G4" s="16">
        <v>3908</v>
      </c>
      <c r="H4" s="16">
        <v>2962</v>
      </c>
      <c r="I4" s="16">
        <v>9198</v>
      </c>
      <c r="J4" s="30">
        <v>29355</v>
      </c>
      <c r="K4" s="16"/>
      <c r="L4" s="16" t="s">
        <v>1972</v>
      </c>
      <c r="M4" s="48"/>
      <c r="P4" s="346"/>
      <c r="Q4" s="346"/>
      <c r="R4" s="3"/>
      <c r="S4" s="128"/>
    </row>
    <row r="5" spans="1:20" ht="15" customHeight="1" x14ac:dyDescent="0.25">
      <c r="A5" s="45" t="s">
        <v>3</v>
      </c>
      <c r="B5" s="46" t="s">
        <v>1014</v>
      </c>
      <c r="C5" s="49" t="s">
        <v>1146</v>
      </c>
      <c r="D5" s="46" t="s">
        <v>1070</v>
      </c>
      <c r="E5" s="46" t="s">
        <v>1069</v>
      </c>
      <c r="F5" s="46" t="s">
        <v>1068</v>
      </c>
      <c r="G5" s="46">
        <v>3912</v>
      </c>
      <c r="H5" s="46">
        <v>110</v>
      </c>
      <c r="I5" s="46">
        <v>9198</v>
      </c>
      <c r="J5" s="47">
        <v>29355</v>
      </c>
      <c r="K5" s="46" t="s">
        <v>428</v>
      </c>
      <c r="L5" s="46" t="s">
        <v>1972</v>
      </c>
      <c r="M5" s="48"/>
      <c r="P5" s="346"/>
      <c r="Q5" s="346"/>
      <c r="R5" s="3"/>
      <c r="S5" s="128"/>
    </row>
    <row r="6" spans="1:20" ht="15" customHeight="1" x14ac:dyDescent="0.25">
      <c r="A6" s="23" t="s">
        <v>3</v>
      </c>
      <c r="B6" s="13" t="s">
        <v>4</v>
      </c>
      <c r="C6" s="13" t="s">
        <v>685</v>
      </c>
      <c r="D6" s="13" t="s">
        <v>10</v>
      </c>
      <c r="E6" s="13" t="s">
        <v>13</v>
      </c>
      <c r="F6" s="13" t="s">
        <v>14</v>
      </c>
      <c r="G6" s="13">
        <v>3904</v>
      </c>
      <c r="H6" s="13">
        <v>350</v>
      </c>
      <c r="I6" s="13">
        <v>9198</v>
      </c>
      <c r="J6" s="31">
        <v>29355</v>
      </c>
      <c r="K6" s="13"/>
      <c r="L6" s="13" t="s">
        <v>1972</v>
      </c>
      <c r="M6" s="48"/>
      <c r="P6" s="346"/>
      <c r="Q6" s="346"/>
      <c r="R6" s="3"/>
      <c r="S6" s="128"/>
    </row>
    <row r="7" spans="1:20" ht="15" customHeight="1" x14ac:dyDescent="0.25">
      <c r="A7" s="66" t="s">
        <v>3</v>
      </c>
      <c r="B7" s="67" t="s">
        <v>35</v>
      </c>
      <c r="C7" s="67" t="s">
        <v>688</v>
      </c>
      <c r="D7" s="67" t="s">
        <v>168</v>
      </c>
      <c r="E7" s="67" t="s">
        <v>166</v>
      </c>
      <c r="F7" s="67" t="s">
        <v>167</v>
      </c>
      <c r="G7" s="67">
        <v>3907</v>
      </c>
      <c r="H7" s="67">
        <v>40</v>
      </c>
      <c r="I7" s="67">
        <v>9198</v>
      </c>
      <c r="J7" s="68">
        <v>29355</v>
      </c>
      <c r="K7" s="67"/>
      <c r="L7" s="67" t="s">
        <v>1972</v>
      </c>
      <c r="M7" s="48"/>
      <c r="P7" s="346"/>
      <c r="Q7" s="346"/>
      <c r="R7" s="3"/>
      <c r="S7" s="128"/>
    </row>
    <row r="8" spans="1:20" ht="15" customHeight="1" x14ac:dyDescent="0.25">
      <c r="A8" s="28" t="s">
        <v>3</v>
      </c>
      <c r="B8" s="9" t="s">
        <v>249</v>
      </c>
      <c r="C8" s="10" t="s">
        <v>2369</v>
      </c>
      <c r="D8" s="9" t="s">
        <v>2357</v>
      </c>
      <c r="E8" s="9" t="s">
        <v>2358</v>
      </c>
      <c r="F8" s="9" t="s">
        <v>2359</v>
      </c>
      <c r="G8" s="9">
        <v>1759</v>
      </c>
      <c r="H8" s="9">
        <v>10</v>
      </c>
      <c r="I8" s="9">
        <v>9198</v>
      </c>
      <c r="J8" s="37">
        <v>29355</v>
      </c>
      <c r="K8" s="9"/>
      <c r="L8" s="9" t="s">
        <v>1972</v>
      </c>
      <c r="M8" s="48"/>
      <c r="P8" s="346"/>
      <c r="Q8" s="346"/>
      <c r="R8" s="3"/>
      <c r="S8" s="128"/>
    </row>
    <row r="9" spans="1:20" ht="15" customHeight="1" x14ac:dyDescent="0.25">
      <c r="A9" s="25" t="s">
        <v>3</v>
      </c>
      <c r="B9" s="7" t="s">
        <v>11</v>
      </c>
      <c r="C9" s="7" t="s">
        <v>1462</v>
      </c>
      <c r="D9" s="7" t="s">
        <v>1425</v>
      </c>
      <c r="E9" s="7" t="s">
        <v>1426</v>
      </c>
      <c r="F9" s="7" t="s">
        <v>1427</v>
      </c>
      <c r="G9" s="7">
        <v>3913</v>
      </c>
      <c r="H9" s="7">
        <v>14350</v>
      </c>
      <c r="I9" s="7">
        <v>9198</v>
      </c>
      <c r="J9" s="34">
        <v>29355</v>
      </c>
      <c r="K9" s="7" t="s">
        <v>654</v>
      </c>
      <c r="L9" s="7" t="s">
        <v>1972</v>
      </c>
      <c r="M9" s="48"/>
      <c r="P9" s="346"/>
      <c r="Q9" s="346"/>
      <c r="R9" s="3"/>
      <c r="S9" s="128"/>
    </row>
    <row r="10" spans="1:20" ht="15" customHeight="1" x14ac:dyDescent="0.25">
      <c r="A10" s="153" t="s">
        <v>3</v>
      </c>
      <c r="B10" s="154" t="s">
        <v>3781</v>
      </c>
      <c r="C10" s="154" t="s">
        <v>5119</v>
      </c>
      <c r="D10" s="154" t="s">
        <v>5060</v>
      </c>
      <c r="E10" s="154" t="s">
        <v>5061</v>
      </c>
      <c r="F10" s="154" t="s">
        <v>5062</v>
      </c>
      <c r="G10" s="154">
        <v>3915</v>
      </c>
      <c r="H10" s="154">
        <v>1</v>
      </c>
      <c r="I10" s="154">
        <v>9198</v>
      </c>
      <c r="J10" s="154">
        <v>29355</v>
      </c>
      <c r="K10" s="154"/>
      <c r="L10" s="154" t="s">
        <v>1972</v>
      </c>
      <c r="M10" s="48"/>
      <c r="P10" s="346"/>
      <c r="Q10" s="346"/>
      <c r="R10" s="3"/>
      <c r="S10" s="128"/>
    </row>
    <row r="11" spans="1:20" ht="15" customHeight="1" x14ac:dyDescent="0.25">
      <c r="A11" s="225" t="s">
        <v>3</v>
      </c>
      <c r="B11" s="226" t="s">
        <v>4946</v>
      </c>
      <c r="C11" s="226" t="s">
        <v>6807</v>
      </c>
      <c r="D11" s="226" t="s">
        <v>6624</v>
      </c>
      <c r="E11" s="226" t="s">
        <v>6625</v>
      </c>
      <c r="F11" s="226" t="s">
        <v>6626</v>
      </c>
      <c r="G11" s="226">
        <v>2570</v>
      </c>
      <c r="H11" s="226">
        <v>1000</v>
      </c>
      <c r="I11" s="226">
        <v>9198</v>
      </c>
      <c r="J11" s="227">
        <v>29355</v>
      </c>
      <c r="K11" s="226"/>
      <c r="L11" s="226" t="s">
        <v>1972</v>
      </c>
      <c r="M11" s="48"/>
      <c r="P11" s="346"/>
      <c r="Q11" s="346"/>
      <c r="R11" s="3"/>
      <c r="S11" s="128"/>
    </row>
    <row r="12" spans="1:20" ht="15" customHeight="1" x14ac:dyDescent="0.25">
      <c r="A12" s="27" t="s">
        <v>5803</v>
      </c>
      <c r="B12" s="20" t="s">
        <v>597</v>
      </c>
      <c r="C12" s="20" t="s">
        <v>5265</v>
      </c>
      <c r="D12" s="20" t="s">
        <v>5804</v>
      </c>
      <c r="E12" s="20" t="s">
        <v>5805</v>
      </c>
      <c r="F12" s="20" t="s">
        <v>5806</v>
      </c>
      <c r="G12" s="20">
        <v>2816</v>
      </c>
      <c r="H12" s="20">
        <v>182</v>
      </c>
      <c r="I12" s="20">
        <v>9198</v>
      </c>
      <c r="J12" s="36">
        <v>29355</v>
      </c>
      <c r="K12" s="20"/>
      <c r="L12" s="20" t="s">
        <v>1972</v>
      </c>
      <c r="M12" s="48"/>
      <c r="P12" s="346">
        <v>17973</v>
      </c>
      <c r="Q12" s="345">
        <f>P12*100%/(20000)</f>
        <v>0.89864999999999995</v>
      </c>
      <c r="R12" s="198" t="s">
        <v>6062</v>
      </c>
      <c r="S12" s="128"/>
    </row>
    <row r="13" spans="1:20" ht="15" customHeight="1" x14ac:dyDescent="0.25">
      <c r="A13" s="21" t="s">
        <v>5803</v>
      </c>
      <c r="B13" s="18" t="s">
        <v>198</v>
      </c>
      <c r="C13" s="18" t="s">
        <v>1507</v>
      </c>
      <c r="D13" s="18" t="s">
        <v>5807</v>
      </c>
      <c r="E13" s="18" t="s">
        <v>5808</v>
      </c>
      <c r="F13" s="18" t="s">
        <v>5809</v>
      </c>
      <c r="G13" s="18">
        <v>3905</v>
      </c>
      <c r="H13" s="18">
        <v>30</v>
      </c>
      <c r="I13" s="18">
        <v>9198</v>
      </c>
      <c r="J13" s="29">
        <v>29355</v>
      </c>
      <c r="K13" s="18"/>
      <c r="L13" s="18" t="s">
        <v>1972</v>
      </c>
      <c r="M13" s="48"/>
      <c r="P13" s="346"/>
      <c r="Q13" s="346"/>
      <c r="R13" s="264" t="s">
        <v>6285</v>
      </c>
      <c r="S13" s="128"/>
    </row>
    <row r="14" spans="1:20" ht="15" customHeight="1" x14ac:dyDescent="0.25">
      <c r="A14" s="22" t="s">
        <v>5803</v>
      </c>
      <c r="B14" s="16" t="s">
        <v>34</v>
      </c>
      <c r="C14" s="16" t="s">
        <v>5265</v>
      </c>
      <c r="D14" s="16" t="s">
        <v>5810</v>
      </c>
      <c r="E14" s="16" t="s">
        <v>5816</v>
      </c>
      <c r="F14" s="16" t="s">
        <v>5822</v>
      </c>
      <c r="G14" s="16">
        <v>3908</v>
      </c>
      <c r="H14" s="16">
        <v>2900</v>
      </c>
      <c r="I14" s="16">
        <v>9198</v>
      </c>
      <c r="J14" s="30">
        <v>29355</v>
      </c>
      <c r="K14" s="16"/>
      <c r="L14" s="16" t="s">
        <v>1972</v>
      </c>
      <c r="M14" s="48"/>
      <c r="P14" s="346"/>
      <c r="Q14" s="346"/>
      <c r="R14" s="3"/>
      <c r="S14" s="128"/>
    </row>
    <row r="15" spans="1:20" ht="15" customHeight="1" x14ac:dyDescent="0.25">
      <c r="A15" s="45" t="s">
        <v>5803</v>
      </c>
      <c r="B15" s="46" t="s">
        <v>1014</v>
      </c>
      <c r="C15" s="49" t="s">
        <v>1507</v>
      </c>
      <c r="D15" s="46" t="s">
        <v>5811</v>
      </c>
      <c r="E15" s="46" t="s">
        <v>5817</v>
      </c>
      <c r="F15" s="46" t="s">
        <v>5823</v>
      </c>
      <c r="G15" s="46">
        <v>3912</v>
      </c>
      <c r="H15" s="46">
        <v>110</v>
      </c>
      <c r="I15" s="46">
        <v>9198</v>
      </c>
      <c r="J15" s="47">
        <v>29355</v>
      </c>
      <c r="K15" s="46" t="s">
        <v>428</v>
      </c>
      <c r="L15" s="46" t="s">
        <v>1972</v>
      </c>
      <c r="M15" s="48"/>
      <c r="P15" s="346"/>
      <c r="Q15" s="346"/>
      <c r="R15" s="3"/>
      <c r="S15" s="128"/>
    </row>
    <row r="16" spans="1:20" ht="15" customHeight="1" x14ac:dyDescent="0.25">
      <c r="A16" s="23" t="s">
        <v>5803</v>
      </c>
      <c r="B16" s="13" t="s">
        <v>4</v>
      </c>
      <c r="C16" s="13" t="s">
        <v>5265</v>
      </c>
      <c r="D16" s="13" t="s">
        <v>5812</v>
      </c>
      <c r="E16" s="13" t="s">
        <v>5818</v>
      </c>
      <c r="F16" s="13" t="s">
        <v>5824</v>
      </c>
      <c r="G16" s="13">
        <v>3904</v>
      </c>
      <c r="H16" s="13">
        <v>350</v>
      </c>
      <c r="I16" s="13">
        <v>9198</v>
      </c>
      <c r="J16" s="31">
        <v>29355</v>
      </c>
      <c r="K16" s="13"/>
      <c r="L16" s="13" t="s">
        <v>1972</v>
      </c>
      <c r="M16" s="48"/>
      <c r="P16" s="346"/>
      <c r="Q16" s="346"/>
      <c r="R16" s="3"/>
      <c r="S16" s="128"/>
    </row>
    <row r="17" spans="1:19" ht="15" customHeight="1" x14ac:dyDescent="0.25">
      <c r="A17" s="66" t="s">
        <v>5803</v>
      </c>
      <c r="B17" s="67" t="s">
        <v>35</v>
      </c>
      <c r="C17" s="67" t="s">
        <v>1507</v>
      </c>
      <c r="D17" s="67" t="s">
        <v>5813</v>
      </c>
      <c r="E17" s="67" t="s">
        <v>5819</v>
      </c>
      <c r="F17" s="67" t="s">
        <v>5825</v>
      </c>
      <c r="G17" s="67">
        <v>3907</v>
      </c>
      <c r="H17" s="67">
        <v>40</v>
      </c>
      <c r="I17" s="67">
        <v>9198</v>
      </c>
      <c r="J17" s="68">
        <v>29355</v>
      </c>
      <c r="K17" s="67"/>
      <c r="L17" s="67" t="s">
        <v>1972</v>
      </c>
      <c r="M17" s="48"/>
      <c r="P17" s="346"/>
      <c r="Q17" s="346"/>
      <c r="R17" s="3"/>
      <c r="S17" s="128"/>
    </row>
    <row r="18" spans="1:19" ht="15" customHeight="1" x14ac:dyDescent="0.25">
      <c r="A18" s="28" t="s">
        <v>5803</v>
      </c>
      <c r="B18" s="9" t="s">
        <v>249</v>
      </c>
      <c r="C18" s="10" t="s">
        <v>5265</v>
      </c>
      <c r="D18" s="9" t="s">
        <v>5814</v>
      </c>
      <c r="E18" s="9" t="s">
        <v>5820</v>
      </c>
      <c r="F18" s="9" t="s">
        <v>5826</v>
      </c>
      <c r="G18" s="9">
        <v>1759</v>
      </c>
      <c r="H18" s="9">
        <v>10</v>
      </c>
      <c r="I18" s="9">
        <v>9198</v>
      </c>
      <c r="J18" s="37">
        <v>29355</v>
      </c>
      <c r="K18" s="9"/>
      <c r="L18" s="9" t="s">
        <v>1972</v>
      </c>
      <c r="M18" s="48"/>
      <c r="P18" s="346"/>
      <c r="Q18" s="346"/>
      <c r="R18" s="3"/>
      <c r="S18" s="128"/>
    </row>
    <row r="19" spans="1:19" ht="15" customHeight="1" x14ac:dyDescent="0.25">
      <c r="A19" s="25" t="s">
        <v>5803</v>
      </c>
      <c r="B19" s="7" t="s">
        <v>11</v>
      </c>
      <c r="C19" s="7" t="s">
        <v>1507</v>
      </c>
      <c r="D19" s="7" t="s">
        <v>5815</v>
      </c>
      <c r="E19" s="7" t="s">
        <v>5821</v>
      </c>
      <c r="F19" s="7" t="s">
        <v>5827</v>
      </c>
      <c r="G19" s="7">
        <v>3016</v>
      </c>
      <c r="H19" s="7">
        <v>14350</v>
      </c>
      <c r="I19" s="7">
        <v>9198</v>
      </c>
      <c r="J19" s="34">
        <v>29355</v>
      </c>
      <c r="K19" s="7" t="s">
        <v>654</v>
      </c>
      <c r="L19" s="7" t="s">
        <v>1972</v>
      </c>
      <c r="M19" s="48"/>
      <c r="P19" s="346"/>
      <c r="Q19" s="346"/>
      <c r="R19" s="3"/>
      <c r="S19" s="128"/>
    </row>
    <row r="20" spans="1:19" ht="15" customHeight="1" x14ac:dyDescent="0.25">
      <c r="A20" s="153" t="s">
        <v>5803</v>
      </c>
      <c r="B20" s="154" t="s">
        <v>3781</v>
      </c>
      <c r="C20" s="154" t="s">
        <v>5265</v>
      </c>
      <c r="D20" s="154" t="s">
        <v>5828</v>
      </c>
      <c r="E20" s="154" t="s">
        <v>5829</v>
      </c>
      <c r="F20" s="154" t="s">
        <v>5830</v>
      </c>
      <c r="G20" s="154">
        <v>3915</v>
      </c>
      <c r="H20" s="154">
        <v>1</v>
      </c>
      <c r="I20" s="154">
        <v>9198</v>
      </c>
      <c r="J20" s="154">
        <v>29355</v>
      </c>
      <c r="K20" s="154"/>
      <c r="L20" s="154" t="s">
        <v>1972</v>
      </c>
      <c r="M20" s="48"/>
      <c r="P20" s="346"/>
      <c r="Q20" s="346"/>
      <c r="R20" s="3"/>
      <c r="S20" s="128"/>
    </row>
    <row r="21" spans="1:19" ht="15" customHeight="1" x14ac:dyDescent="0.25">
      <c r="A21" s="225" t="s">
        <v>5803</v>
      </c>
      <c r="B21" s="225" t="s">
        <v>4946</v>
      </c>
      <c r="C21" s="225" t="s">
        <v>5265</v>
      </c>
      <c r="D21" s="225" t="s">
        <v>6904</v>
      </c>
      <c r="E21" s="225" t="s">
        <v>6905</v>
      </c>
      <c r="F21" s="225" t="s">
        <v>6906</v>
      </c>
      <c r="G21" s="225"/>
      <c r="H21" s="225"/>
      <c r="I21" s="225"/>
      <c r="J21" s="225"/>
      <c r="K21" s="225"/>
      <c r="L21" s="225" t="s">
        <v>1972</v>
      </c>
      <c r="M21" s="48"/>
      <c r="P21" s="346"/>
      <c r="Q21" s="346"/>
      <c r="R21" s="3"/>
      <c r="S21" s="128"/>
    </row>
    <row r="22" spans="1:19" ht="15" customHeight="1" x14ac:dyDescent="0.25">
      <c r="A22" s="27" t="s">
        <v>12</v>
      </c>
      <c r="B22" s="20" t="s">
        <v>597</v>
      </c>
      <c r="C22" s="20" t="s">
        <v>1378</v>
      </c>
      <c r="D22" s="20" t="s">
        <v>1235</v>
      </c>
      <c r="E22" s="20" t="s">
        <v>1236</v>
      </c>
      <c r="F22" s="20" t="s">
        <v>1237</v>
      </c>
      <c r="G22" s="20">
        <v>3017</v>
      </c>
      <c r="H22" s="20">
        <v>70</v>
      </c>
      <c r="I22" s="20">
        <v>9198</v>
      </c>
      <c r="J22" s="36">
        <v>29355</v>
      </c>
      <c r="K22" s="20"/>
      <c r="L22" s="20" t="s">
        <v>1972</v>
      </c>
      <c r="M22" s="4"/>
      <c r="P22" s="346">
        <v>15336</v>
      </c>
      <c r="Q22" s="345">
        <f>P22*100%/(20000)</f>
        <v>0.76680000000000004</v>
      </c>
      <c r="R22" s="146" t="s">
        <v>3454</v>
      </c>
      <c r="S22" s="128" t="s">
        <v>3455</v>
      </c>
    </row>
    <row r="23" spans="1:19" ht="15" customHeight="1" x14ac:dyDescent="0.25">
      <c r="A23" s="21" t="s">
        <v>12</v>
      </c>
      <c r="B23" s="18" t="s">
        <v>198</v>
      </c>
      <c r="C23" s="18" t="s">
        <v>691</v>
      </c>
      <c r="D23" s="18" t="s">
        <v>19</v>
      </c>
      <c r="E23" s="18" t="s">
        <v>20</v>
      </c>
      <c r="F23" s="18" t="s">
        <v>18</v>
      </c>
      <c r="G23" s="18">
        <v>3015</v>
      </c>
      <c r="H23" s="18">
        <v>25</v>
      </c>
      <c r="I23" s="18">
        <v>9198</v>
      </c>
      <c r="J23" s="33">
        <v>29355</v>
      </c>
      <c r="K23" s="18"/>
      <c r="L23" s="18" t="s">
        <v>1972</v>
      </c>
      <c r="M23" s="4"/>
      <c r="P23" s="346"/>
      <c r="Q23" s="346"/>
      <c r="R23" s="169" t="s">
        <v>3689</v>
      </c>
      <c r="S23" s="128"/>
    </row>
    <row r="24" spans="1:19" ht="15" customHeight="1" x14ac:dyDescent="0.25">
      <c r="A24" s="26" t="s">
        <v>12</v>
      </c>
      <c r="B24" s="8" t="s">
        <v>34</v>
      </c>
      <c r="C24" s="8" t="s">
        <v>689</v>
      </c>
      <c r="D24" s="8" t="s">
        <v>446</v>
      </c>
      <c r="E24" s="8" t="s">
        <v>444</v>
      </c>
      <c r="F24" s="8" t="s">
        <v>445</v>
      </c>
      <c r="G24" s="8">
        <v>3019</v>
      </c>
      <c r="H24" s="8">
        <v>1590</v>
      </c>
      <c r="I24" s="8">
        <v>9198</v>
      </c>
      <c r="J24" s="35">
        <v>29355</v>
      </c>
      <c r="K24" s="8"/>
      <c r="L24" s="8" t="s">
        <v>1972</v>
      </c>
      <c r="M24" s="4"/>
      <c r="P24" s="346"/>
      <c r="Q24" s="346"/>
      <c r="R24" s="169" t="s">
        <v>3928</v>
      </c>
      <c r="S24" s="128"/>
    </row>
    <row r="25" spans="1:19" ht="15" customHeight="1" x14ac:dyDescent="0.25">
      <c r="A25" s="45" t="s">
        <v>12</v>
      </c>
      <c r="B25" s="46" t="s">
        <v>1014</v>
      </c>
      <c r="C25" s="49" t="s">
        <v>1150</v>
      </c>
      <c r="D25" s="46" t="s">
        <v>1077</v>
      </c>
      <c r="E25" s="46" t="s">
        <v>1078</v>
      </c>
      <c r="F25" s="46" t="s">
        <v>1079</v>
      </c>
      <c r="G25" s="46">
        <v>3023</v>
      </c>
      <c r="H25" s="46">
        <v>70</v>
      </c>
      <c r="I25" s="46">
        <v>9198</v>
      </c>
      <c r="J25" s="47">
        <v>29355</v>
      </c>
      <c r="K25" s="46" t="s">
        <v>428</v>
      </c>
      <c r="L25" s="46" t="s">
        <v>1972</v>
      </c>
      <c r="M25" s="4"/>
      <c r="P25" s="346"/>
      <c r="Q25" s="346"/>
      <c r="R25" s="169" t="s">
        <v>4261</v>
      </c>
      <c r="S25" s="128"/>
    </row>
    <row r="26" spans="1:19" ht="15" customHeight="1" x14ac:dyDescent="0.25">
      <c r="A26" s="23" t="s">
        <v>12</v>
      </c>
      <c r="B26" s="13" t="s">
        <v>4</v>
      </c>
      <c r="C26" s="13" t="s">
        <v>690</v>
      </c>
      <c r="D26" s="13" t="s">
        <v>16</v>
      </c>
      <c r="E26" s="13" t="s">
        <v>17</v>
      </c>
      <c r="F26" s="13" t="s">
        <v>15</v>
      </c>
      <c r="G26" s="13">
        <v>3014</v>
      </c>
      <c r="H26" s="13">
        <v>300</v>
      </c>
      <c r="I26" s="13">
        <v>9198</v>
      </c>
      <c r="J26" s="31">
        <v>29355</v>
      </c>
      <c r="K26" s="13"/>
      <c r="L26" s="13" t="s">
        <v>1972</v>
      </c>
      <c r="M26" s="4"/>
      <c r="P26" s="346"/>
      <c r="Q26" s="346"/>
      <c r="R26" s="169" t="s">
        <v>4262</v>
      </c>
      <c r="S26" s="128"/>
    </row>
    <row r="27" spans="1:19" ht="15" customHeight="1" x14ac:dyDescent="0.25">
      <c r="A27" s="66" t="s">
        <v>12</v>
      </c>
      <c r="B27" s="67" t="s">
        <v>35</v>
      </c>
      <c r="C27" s="67" t="s">
        <v>693</v>
      </c>
      <c r="D27" s="67" t="s">
        <v>165</v>
      </c>
      <c r="E27" s="67" t="s">
        <v>163</v>
      </c>
      <c r="F27" s="67" t="s">
        <v>164</v>
      </c>
      <c r="G27" s="67">
        <v>3021</v>
      </c>
      <c r="H27" s="67">
        <v>30</v>
      </c>
      <c r="I27" s="67">
        <v>9198</v>
      </c>
      <c r="J27" s="68">
        <v>29355</v>
      </c>
      <c r="K27" s="67"/>
      <c r="L27" s="67" t="s">
        <v>1972</v>
      </c>
      <c r="M27" s="4"/>
      <c r="P27" s="346"/>
      <c r="Q27" s="346"/>
      <c r="R27" s="169" t="s">
        <v>4495</v>
      </c>
    </row>
    <row r="28" spans="1:19" ht="15" customHeight="1" x14ac:dyDescent="0.25">
      <c r="A28" s="28" t="s">
        <v>12</v>
      </c>
      <c r="B28" s="9" t="s">
        <v>249</v>
      </c>
      <c r="C28" s="10" t="s">
        <v>1828</v>
      </c>
      <c r="D28" s="9" t="s">
        <v>1819</v>
      </c>
      <c r="E28" s="9" t="s">
        <v>1820</v>
      </c>
      <c r="F28" s="9" t="s">
        <v>1821</v>
      </c>
      <c r="G28" s="9">
        <v>3024</v>
      </c>
      <c r="H28" s="9">
        <v>10</v>
      </c>
      <c r="I28" s="9">
        <v>9198</v>
      </c>
      <c r="J28" s="37">
        <v>29355</v>
      </c>
      <c r="K28" s="9"/>
      <c r="L28" s="9" t="s">
        <v>1972</v>
      </c>
      <c r="M28" s="4"/>
      <c r="P28" s="346"/>
      <c r="Q28" s="346"/>
      <c r="R28" s="182" t="s">
        <v>4497</v>
      </c>
    </row>
    <row r="29" spans="1:19" ht="15" customHeight="1" x14ac:dyDescent="0.25">
      <c r="A29" s="25" t="s">
        <v>12</v>
      </c>
      <c r="B29" s="7" t="s">
        <v>11</v>
      </c>
      <c r="C29" s="7" t="s">
        <v>692</v>
      </c>
      <c r="D29" s="7" t="s">
        <v>22</v>
      </c>
      <c r="E29" s="7" t="s">
        <v>23</v>
      </c>
      <c r="F29" s="7" t="s">
        <v>21</v>
      </c>
      <c r="G29" s="7">
        <v>3016</v>
      </c>
      <c r="H29" s="7">
        <v>13137</v>
      </c>
      <c r="I29" s="7">
        <v>9198</v>
      </c>
      <c r="J29" s="34">
        <v>29355</v>
      </c>
      <c r="K29" s="7" t="s">
        <v>1417</v>
      </c>
      <c r="L29" s="7" t="s">
        <v>1972</v>
      </c>
      <c r="M29" s="4"/>
      <c r="P29" s="346"/>
      <c r="Q29" s="346"/>
      <c r="R29" s="198" t="s">
        <v>6062</v>
      </c>
    </row>
    <row r="30" spans="1:19" ht="15" customHeight="1" x14ac:dyDescent="0.25">
      <c r="A30" s="153" t="s">
        <v>12</v>
      </c>
      <c r="B30" s="154" t="s">
        <v>3781</v>
      </c>
      <c r="C30" s="154" t="s">
        <v>5118</v>
      </c>
      <c r="D30" s="154" t="s">
        <v>5057</v>
      </c>
      <c r="E30" s="154" t="s">
        <v>5058</v>
      </c>
      <c r="F30" s="154" t="s">
        <v>5059</v>
      </c>
      <c r="G30" s="154">
        <v>3020</v>
      </c>
      <c r="H30" s="154">
        <v>1</v>
      </c>
      <c r="I30" s="154">
        <v>9198</v>
      </c>
      <c r="J30" s="155">
        <v>29355</v>
      </c>
      <c r="K30" s="154"/>
      <c r="L30" s="154" t="s">
        <v>1972</v>
      </c>
      <c r="M30" s="4"/>
      <c r="P30" s="346"/>
      <c r="Q30" s="346"/>
      <c r="R30" s="262" t="s">
        <v>6284</v>
      </c>
    </row>
    <row r="31" spans="1:19" ht="15" customHeight="1" x14ac:dyDescent="0.25">
      <c r="A31" s="225" t="s">
        <v>12</v>
      </c>
      <c r="B31" s="226" t="s">
        <v>4946</v>
      </c>
      <c r="C31" s="226" t="s">
        <v>6808</v>
      </c>
      <c r="D31" s="226" t="s">
        <v>6627</v>
      </c>
      <c r="E31" s="226" t="s">
        <v>6628</v>
      </c>
      <c r="F31" s="226" t="s">
        <v>6629</v>
      </c>
      <c r="G31" s="226">
        <v>2570</v>
      </c>
      <c r="H31" s="226">
        <v>1000</v>
      </c>
      <c r="I31" s="226">
        <v>9198</v>
      </c>
      <c r="J31" s="227">
        <v>29355</v>
      </c>
      <c r="K31" s="226"/>
      <c r="L31" s="226" t="s">
        <v>1972</v>
      </c>
      <c r="M31" s="4"/>
      <c r="P31" s="346"/>
      <c r="Q31" s="346"/>
      <c r="R31" s="262"/>
    </row>
    <row r="32" spans="1:19" ht="15" customHeight="1" x14ac:dyDescent="0.25">
      <c r="A32" s="27" t="s">
        <v>5439</v>
      </c>
      <c r="B32" s="20" t="s">
        <v>597</v>
      </c>
      <c r="C32" s="20" t="s">
        <v>6199</v>
      </c>
      <c r="D32" s="20" t="s">
        <v>5440</v>
      </c>
      <c r="E32" s="20" t="s">
        <v>5441</v>
      </c>
      <c r="F32" s="20" t="s">
        <v>5442</v>
      </c>
      <c r="G32" s="20">
        <v>3017</v>
      </c>
      <c r="H32" s="20">
        <v>110</v>
      </c>
      <c r="I32" s="20">
        <v>9198</v>
      </c>
      <c r="J32" s="36">
        <v>29355</v>
      </c>
      <c r="K32" s="20"/>
      <c r="L32" s="20" t="s">
        <v>1972</v>
      </c>
      <c r="M32" s="4"/>
      <c r="P32" s="346">
        <v>15336</v>
      </c>
      <c r="Q32" s="345">
        <f>P32*100%/(20000)</f>
        <v>0.76680000000000004</v>
      </c>
      <c r="R32" s="198" t="s">
        <v>6062</v>
      </c>
    </row>
    <row r="33" spans="1:19" ht="15" customHeight="1" x14ac:dyDescent="0.25">
      <c r="A33" s="21" t="s">
        <v>5439</v>
      </c>
      <c r="B33" s="18" t="s">
        <v>198</v>
      </c>
      <c r="C33" s="18" t="s">
        <v>6200</v>
      </c>
      <c r="D33" s="18" t="s">
        <v>5443</v>
      </c>
      <c r="E33" s="18" t="s">
        <v>5444</v>
      </c>
      <c r="F33" s="18" t="s">
        <v>5445</v>
      </c>
      <c r="G33" s="18">
        <v>3015</v>
      </c>
      <c r="H33" s="18">
        <v>25</v>
      </c>
      <c r="I33" s="18">
        <v>9198</v>
      </c>
      <c r="J33" s="33">
        <v>29355</v>
      </c>
      <c r="K33" s="18"/>
      <c r="L33" s="18" t="s">
        <v>1972</v>
      </c>
      <c r="M33" s="4"/>
      <c r="P33" s="346"/>
      <c r="Q33" s="346"/>
      <c r="R33" s="264" t="s">
        <v>6285</v>
      </c>
    </row>
    <row r="34" spans="1:19" ht="15" customHeight="1" x14ac:dyDescent="0.25">
      <c r="A34" s="26" t="s">
        <v>5439</v>
      </c>
      <c r="B34" s="8" t="s">
        <v>34</v>
      </c>
      <c r="C34" s="8" t="s">
        <v>6201</v>
      </c>
      <c r="D34" s="8" t="s">
        <v>5446</v>
      </c>
      <c r="E34" s="8" t="s">
        <v>5447</v>
      </c>
      <c r="F34" s="8" t="s">
        <v>5448</v>
      </c>
      <c r="G34" s="8">
        <v>3019</v>
      </c>
      <c r="H34" s="8">
        <v>1590</v>
      </c>
      <c r="I34" s="8">
        <v>9198</v>
      </c>
      <c r="J34" s="35">
        <v>29355</v>
      </c>
      <c r="K34" s="8"/>
      <c r="L34" s="8" t="s">
        <v>1972</v>
      </c>
      <c r="M34" s="4"/>
      <c r="P34" s="346"/>
      <c r="Q34" s="346"/>
      <c r="R34" s="3"/>
      <c r="S34" s="128"/>
    </row>
    <row r="35" spans="1:19" ht="15" customHeight="1" x14ac:dyDescent="0.25">
      <c r="A35" s="45" t="s">
        <v>5439</v>
      </c>
      <c r="B35" s="46" t="s">
        <v>1014</v>
      </c>
      <c r="C35" s="49" t="s">
        <v>6202</v>
      </c>
      <c r="D35" s="46" t="s">
        <v>5449</v>
      </c>
      <c r="E35" s="46" t="s">
        <v>5450</v>
      </c>
      <c r="F35" s="46" t="s">
        <v>5451</v>
      </c>
      <c r="G35" s="46">
        <v>3023</v>
      </c>
      <c r="H35" s="46">
        <v>70</v>
      </c>
      <c r="I35" s="46">
        <v>9198</v>
      </c>
      <c r="J35" s="47">
        <v>29355</v>
      </c>
      <c r="K35" s="46" t="s">
        <v>428</v>
      </c>
      <c r="L35" s="46" t="s">
        <v>1972</v>
      </c>
      <c r="M35" s="4"/>
      <c r="P35" s="346"/>
      <c r="Q35" s="346"/>
      <c r="R35" s="3"/>
      <c r="S35" s="128"/>
    </row>
    <row r="36" spans="1:19" ht="15" customHeight="1" x14ac:dyDescent="0.25">
      <c r="A36" s="23" t="s">
        <v>5439</v>
      </c>
      <c r="B36" s="13" t="s">
        <v>4</v>
      </c>
      <c r="C36" s="13" t="s">
        <v>6203</v>
      </c>
      <c r="D36" s="13" t="s">
        <v>5452</v>
      </c>
      <c r="E36" s="13" t="s">
        <v>5453</v>
      </c>
      <c r="F36" s="13" t="s">
        <v>5454</v>
      </c>
      <c r="G36" s="13">
        <v>3014</v>
      </c>
      <c r="H36" s="13">
        <v>300</v>
      </c>
      <c r="I36" s="13">
        <v>9198</v>
      </c>
      <c r="J36" s="31">
        <v>29355</v>
      </c>
      <c r="K36" s="13"/>
      <c r="L36" s="13" t="s">
        <v>1972</v>
      </c>
      <c r="M36" s="4"/>
      <c r="P36" s="346"/>
      <c r="Q36" s="346"/>
      <c r="R36" s="3"/>
      <c r="S36" s="128"/>
    </row>
    <row r="37" spans="1:19" ht="15" customHeight="1" x14ac:dyDescent="0.25">
      <c r="A37" s="66" t="s">
        <v>5439</v>
      </c>
      <c r="B37" s="67" t="s">
        <v>35</v>
      </c>
      <c r="C37" s="67" t="s">
        <v>6204</v>
      </c>
      <c r="D37" s="67" t="s">
        <v>5455</v>
      </c>
      <c r="E37" s="67" t="s">
        <v>5457</v>
      </c>
      <c r="F37" s="67" t="s">
        <v>5459</v>
      </c>
      <c r="G37" s="67">
        <v>3021</v>
      </c>
      <c r="H37" s="67">
        <v>30</v>
      </c>
      <c r="I37" s="67">
        <v>9198</v>
      </c>
      <c r="J37" s="68">
        <v>29355</v>
      </c>
      <c r="K37" s="67"/>
      <c r="L37" s="67" t="s">
        <v>1972</v>
      </c>
      <c r="M37" s="4"/>
      <c r="P37" s="346"/>
      <c r="Q37" s="346"/>
      <c r="R37" s="3"/>
      <c r="S37" s="128"/>
    </row>
    <row r="38" spans="1:19" ht="15" customHeight="1" x14ac:dyDescent="0.25">
      <c r="A38" s="28" t="s">
        <v>5439</v>
      </c>
      <c r="B38" s="9" t="s">
        <v>249</v>
      </c>
      <c r="C38" s="10" t="s">
        <v>6205</v>
      </c>
      <c r="D38" s="9" t="s">
        <v>5456</v>
      </c>
      <c r="E38" s="9" t="s">
        <v>5458</v>
      </c>
      <c r="F38" s="9" t="s">
        <v>5460</v>
      </c>
      <c r="G38" s="9">
        <v>3024</v>
      </c>
      <c r="H38" s="9">
        <v>10</v>
      </c>
      <c r="I38" s="9">
        <v>9198</v>
      </c>
      <c r="J38" s="37">
        <v>29355</v>
      </c>
      <c r="K38" s="9"/>
      <c r="L38" s="9" t="s">
        <v>1972</v>
      </c>
      <c r="M38" s="4"/>
      <c r="P38" s="346"/>
      <c r="Q38" s="346"/>
      <c r="R38" s="3"/>
      <c r="S38" s="128"/>
    </row>
    <row r="39" spans="1:19" ht="15" customHeight="1" x14ac:dyDescent="0.25">
      <c r="A39" s="25" t="s">
        <v>5439</v>
      </c>
      <c r="B39" s="7" t="s">
        <v>11</v>
      </c>
      <c r="C39" s="7" t="s">
        <v>6206</v>
      </c>
      <c r="D39" s="7" t="s">
        <v>5461</v>
      </c>
      <c r="E39" s="7" t="s">
        <v>5462</v>
      </c>
      <c r="F39" s="7" t="s">
        <v>5463</v>
      </c>
      <c r="G39" s="7">
        <v>3016</v>
      </c>
      <c r="H39" s="7">
        <v>13137</v>
      </c>
      <c r="I39" s="7">
        <v>9198</v>
      </c>
      <c r="J39" s="34">
        <v>29355</v>
      </c>
      <c r="K39" s="7" t="s">
        <v>1417</v>
      </c>
      <c r="L39" s="7" t="s">
        <v>1972</v>
      </c>
      <c r="M39" s="4"/>
      <c r="P39" s="346"/>
      <c r="Q39" s="346"/>
      <c r="R39" s="3"/>
      <c r="S39" s="128"/>
    </row>
    <row r="40" spans="1:19" ht="15" customHeight="1" x14ac:dyDescent="0.25">
      <c r="A40" s="153" t="s">
        <v>5439</v>
      </c>
      <c r="B40" s="154" t="s">
        <v>3781</v>
      </c>
      <c r="C40" s="154" t="s">
        <v>6207</v>
      </c>
      <c r="D40" s="154" t="s">
        <v>5464</v>
      </c>
      <c r="E40" s="154" t="s">
        <v>5465</v>
      </c>
      <c r="F40" s="154" t="s">
        <v>5466</v>
      </c>
      <c r="G40" s="154">
        <v>3020</v>
      </c>
      <c r="H40" s="154">
        <v>1</v>
      </c>
      <c r="I40" s="154">
        <v>9198</v>
      </c>
      <c r="J40" s="155">
        <v>29355</v>
      </c>
      <c r="K40" s="154"/>
      <c r="L40" s="154" t="s">
        <v>1972</v>
      </c>
      <c r="M40" s="4"/>
      <c r="P40" s="346"/>
      <c r="Q40" s="346"/>
      <c r="R40" s="146" t="s">
        <v>2894</v>
      </c>
      <c r="S40" s="128" t="s">
        <v>2902</v>
      </c>
    </row>
    <row r="41" spans="1:19" ht="15" customHeight="1" x14ac:dyDescent="0.25">
      <c r="A41" s="225" t="s">
        <v>5439</v>
      </c>
      <c r="B41" s="226" t="s">
        <v>4946</v>
      </c>
      <c r="C41" s="226" t="s">
        <v>6809</v>
      </c>
      <c r="D41" s="226" t="s">
        <v>6630</v>
      </c>
      <c r="E41" s="226" t="s">
        <v>6631</v>
      </c>
      <c r="F41" s="226" t="s">
        <v>6632</v>
      </c>
      <c r="G41" s="226">
        <v>2570</v>
      </c>
      <c r="H41" s="226">
        <v>1000</v>
      </c>
      <c r="I41" s="226">
        <v>9198</v>
      </c>
      <c r="J41" s="227">
        <v>29355</v>
      </c>
      <c r="K41" s="226"/>
      <c r="L41" s="226" t="s">
        <v>1972</v>
      </c>
      <c r="M41" s="4"/>
      <c r="P41" s="346"/>
      <c r="Q41" s="346"/>
      <c r="R41" s="146"/>
      <c r="S41" s="128"/>
    </row>
    <row r="42" spans="1:19" ht="15" customHeight="1" x14ac:dyDescent="0.25">
      <c r="A42" s="27" t="s">
        <v>24</v>
      </c>
      <c r="B42" s="20" t="s">
        <v>597</v>
      </c>
      <c r="C42" s="20" t="s">
        <v>673</v>
      </c>
      <c r="D42" s="20" t="s">
        <v>559</v>
      </c>
      <c r="E42" s="20" t="s">
        <v>560</v>
      </c>
      <c r="F42" s="20" t="s">
        <v>561</v>
      </c>
      <c r="G42" s="20">
        <v>2427</v>
      </c>
      <c r="H42" s="20">
        <v>35</v>
      </c>
      <c r="I42" s="20">
        <v>9198</v>
      </c>
      <c r="J42" s="36">
        <v>65001</v>
      </c>
      <c r="K42" s="20"/>
      <c r="L42" s="20" t="s">
        <v>5122</v>
      </c>
      <c r="M42" s="4"/>
      <c r="P42" s="346">
        <v>44724</v>
      </c>
      <c r="Q42" s="345">
        <f>P42*100%/(30000)</f>
        <v>1.4907999999999999</v>
      </c>
      <c r="R42" s="146" t="s">
        <v>4337</v>
      </c>
      <c r="S42" s="128"/>
    </row>
    <row r="43" spans="1:19" ht="15" customHeight="1" x14ac:dyDescent="0.25">
      <c r="A43" s="21" t="s">
        <v>24</v>
      </c>
      <c r="B43" s="18" t="s">
        <v>198</v>
      </c>
      <c r="C43" s="19" t="s">
        <v>668</v>
      </c>
      <c r="D43" s="18" t="s">
        <v>29</v>
      </c>
      <c r="E43" s="18" t="s">
        <v>30</v>
      </c>
      <c r="F43" s="18" t="s">
        <v>28</v>
      </c>
      <c r="G43" s="18">
        <v>2424</v>
      </c>
      <c r="H43" s="18">
        <v>200</v>
      </c>
      <c r="I43" s="18">
        <v>9198</v>
      </c>
      <c r="J43" s="33">
        <v>65001</v>
      </c>
      <c r="K43" s="18"/>
      <c r="L43" s="18" t="s">
        <v>5122</v>
      </c>
      <c r="M43" s="43"/>
      <c r="P43" s="346"/>
      <c r="Q43" s="346"/>
      <c r="R43" s="169" t="s">
        <v>4495</v>
      </c>
      <c r="S43" s="128"/>
    </row>
    <row r="44" spans="1:19" s="42" customFormat="1" ht="15" customHeight="1" x14ac:dyDescent="0.25">
      <c r="A44" s="24" t="s">
        <v>24</v>
      </c>
      <c r="B44" s="15" t="s">
        <v>1431</v>
      </c>
      <c r="C44" s="15" t="s">
        <v>1435</v>
      </c>
      <c r="D44" s="15" t="s">
        <v>1434</v>
      </c>
      <c r="E44" s="15" t="s">
        <v>1433</v>
      </c>
      <c r="F44" s="15" t="s">
        <v>1432</v>
      </c>
      <c r="G44" s="15">
        <v>1245</v>
      </c>
      <c r="H44" s="15">
        <v>300</v>
      </c>
      <c r="I44" s="15">
        <v>9198</v>
      </c>
      <c r="J44" s="32">
        <v>65001</v>
      </c>
      <c r="K44" s="15"/>
      <c r="L44" s="15" t="s">
        <v>5122</v>
      </c>
      <c r="M44" s="43"/>
      <c r="P44" s="346"/>
      <c r="Q44" s="346"/>
      <c r="R44" s="186"/>
      <c r="S44" s="128"/>
    </row>
    <row r="45" spans="1:19" ht="15" customHeight="1" x14ac:dyDescent="0.25">
      <c r="A45" s="26" t="s">
        <v>24</v>
      </c>
      <c r="B45" s="8" t="s">
        <v>34</v>
      </c>
      <c r="C45" s="8" t="s">
        <v>671</v>
      </c>
      <c r="D45" s="8" t="s">
        <v>283</v>
      </c>
      <c r="E45" s="8" t="s">
        <v>284</v>
      </c>
      <c r="F45" s="8" t="s">
        <v>285</v>
      </c>
      <c r="G45" s="8">
        <v>2525</v>
      </c>
      <c r="H45" s="8">
        <v>15966</v>
      </c>
      <c r="I45" s="8">
        <v>9198</v>
      </c>
      <c r="J45" s="35">
        <v>65001</v>
      </c>
      <c r="K45" s="8"/>
      <c r="L45" s="8" t="s">
        <v>5122</v>
      </c>
      <c r="M45" s="4"/>
      <c r="P45" s="346"/>
      <c r="Q45" s="346"/>
      <c r="R45" s="169" t="s">
        <v>4912</v>
      </c>
      <c r="S45" s="128"/>
    </row>
    <row r="46" spans="1:19" ht="15" customHeight="1" x14ac:dyDescent="0.25">
      <c r="A46" s="28" t="s">
        <v>24</v>
      </c>
      <c r="B46" s="9" t="s">
        <v>249</v>
      </c>
      <c r="C46" s="10" t="s">
        <v>672</v>
      </c>
      <c r="D46" s="9" t="s">
        <v>286</v>
      </c>
      <c r="E46" s="9" t="s">
        <v>287</v>
      </c>
      <c r="F46" s="9" t="s">
        <v>288</v>
      </c>
      <c r="G46" s="9">
        <v>2540</v>
      </c>
      <c r="H46" s="9">
        <v>32</v>
      </c>
      <c r="I46" s="9">
        <v>9198</v>
      </c>
      <c r="J46" s="37">
        <v>65001</v>
      </c>
      <c r="K46" s="9"/>
      <c r="L46" s="9" t="s">
        <v>5122</v>
      </c>
      <c r="M46" s="4"/>
      <c r="P46" s="346"/>
      <c r="Q46" s="346"/>
      <c r="R46" s="3"/>
      <c r="S46" s="128"/>
    </row>
    <row r="47" spans="1:19" s="6" customFormat="1" ht="15" customHeight="1" x14ac:dyDescent="0.25">
      <c r="A47" s="45" t="s">
        <v>24</v>
      </c>
      <c r="B47" s="46" t="s">
        <v>1014</v>
      </c>
      <c r="C47" s="49" t="s">
        <v>1025</v>
      </c>
      <c r="D47" s="46" t="s">
        <v>1015</v>
      </c>
      <c r="E47" s="46" t="s">
        <v>1016</v>
      </c>
      <c r="F47" s="46" t="s">
        <v>1017</v>
      </c>
      <c r="G47" s="46">
        <v>2538</v>
      </c>
      <c r="H47" s="46">
        <v>1895</v>
      </c>
      <c r="I47" s="46">
        <v>9198</v>
      </c>
      <c r="J47" s="47">
        <v>65001</v>
      </c>
      <c r="K47" s="46" t="s">
        <v>428</v>
      </c>
      <c r="L47" s="46" t="s">
        <v>5122</v>
      </c>
      <c r="M47" s="4"/>
      <c r="P47" s="346"/>
      <c r="Q47" s="346"/>
      <c r="R47" s="187"/>
      <c r="S47" s="128"/>
    </row>
    <row r="48" spans="1:19" s="6" customFormat="1" ht="15" customHeight="1" x14ac:dyDescent="0.25">
      <c r="A48" s="45" t="s">
        <v>24</v>
      </c>
      <c r="B48" s="46" t="s">
        <v>2623</v>
      </c>
      <c r="C48" s="49" t="s">
        <v>2698</v>
      </c>
      <c r="D48" s="46" t="s">
        <v>2672</v>
      </c>
      <c r="E48" s="46" t="s">
        <v>2673</v>
      </c>
      <c r="F48" s="46" t="s">
        <v>2674</v>
      </c>
      <c r="G48" s="46">
        <v>1246</v>
      </c>
      <c r="H48" s="46">
        <v>1720</v>
      </c>
      <c r="I48" s="46">
        <v>9198</v>
      </c>
      <c r="J48" s="47">
        <v>65001</v>
      </c>
      <c r="K48" s="46" t="s">
        <v>428</v>
      </c>
      <c r="L48" s="46" t="s">
        <v>5122</v>
      </c>
      <c r="M48" s="4"/>
      <c r="P48" s="346"/>
      <c r="Q48" s="346"/>
      <c r="R48" s="187"/>
      <c r="S48" s="128"/>
    </row>
    <row r="49" spans="1:19" s="6" customFormat="1" ht="15" customHeight="1" x14ac:dyDescent="0.25">
      <c r="A49" s="23" t="s">
        <v>24</v>
      </c>
      <c r="B49" s="13" t="s">
        <v>4</v>
      </c>
      <c r="C49" s="13" t="s">
        <v>669</v>
      </c>
      <c r="D49" s="13" t="s">
        <v>26</v>
      </c>
      <c r="E49" s="13" t="s">
        <v>27</v>
      </c>
      <c r="F49" s="13" t="s">
        <v>25</v>
      </c>
      <c r="G49" s="13">
        <v>2423</v>
      </c>
      <c r="H49" s="13">
        <v>1000</v>
      </c>
      <c r="I49" s="13">
        <v>9198</v>
      </c>
      <c r="J49" s="31">
        <v>65001</v>
      </c>
      <c r="K49" s="13"/>
      <c r="L49" s="13" t="s">
        <v>5122</v>
      </c>
      <c r="M49" s="4"/>
      <c r="P49" s="346"/>
      <c r="Q49" s="346"/>
      <c r="R49" s="187"/>
      <c r="S49" s="128"/>
    </row>
    <row r="50" spans="1:19" s="6" customFormat="1" ht="15" customHeight="1" x14ac:dyDescent="0.25">
      <c r="A50" s="45" t="s">
        <v>24</v>
      </c>
      <c r="B50" s="46" t="s">
        <v>1018</v>
      </c>
      <c r="C50" s="46" t="s">
        <v>1270</v>
      </c>
      <c r="D50" s="46" t="s">
        <v>1019</v>
      </c>
      <c r="E50" s="46" t="s">
        <v>1020</v>
      </c>
      <c r="F50" s="46" t="s">
        <v>1021</v>
      </c>
      <c r="G50" s="46">
        <v>2510</v>
      </c>
      <c r="H50" s="46">
        <v>300</v>
      </c>
      <c r="I50" s="46">
        <v>9198</v>
      </c>
      <c r="J50" s="47">
        <v>65001</v>
      </c>
      <c r="K50" s="46"/>
      <c r="L50" s="46" t="s">
        <v>5122</v>
      </c>
      <c r="M50" s="4"/>
      <c r="P50" s="346"/>
      <c r="Q50" s="346"/>
      <c r="R50" s="187"/>
      <c r="S50" s="128"/>
    </row>
    <row r="51" spans="1:19" s="6" customFormat="1" ht="15" customHeight="1" x14ac:dyDescent="0.25">
      <c r="A51" s="45" t="s">
        <v>24</v>
      </c>
      <c r="B51" s="46" t="s">
        <v>1109</v>
      </c>
      <c r="C51" s="49" t="s">
        <v>1379</v>
      </c>
      <c r="D51" s="46" t="s">
        <v>1103</v>
      </c>
      <c r="E51" s="46" t="s">
        <v>1104</v>
      </c>
      <c r="F51" s="46" t="s">
        <v>1105</v>
      </c>
      <c r="G51" s="46">
        <v>1766</v>
      </c>
      <c r="H51" s="46">
        <v>40</v>
      </c>
      <c r="I51" s="46">
        <v>9198</v>
      </c>
      <c r="J51" s="47">
        <v>65001</v>
      </c>
      <c r="K51" s="46"/>
      <c r="L51" s="46" t="s">
        <v>5122</v>
      </c>
      <c r="M51" s="4"/>
      <c r="P51" s="346"/>
      <c r="Q51" s="346"/>
      <c r="R51" s="187"/>
      <c r="S51" s="128"/>
    </row>
    <row r="52" spans="1:19" s="6" customFormat="1" ht="15" customHeight="1" x14ac:dyDescent="0.25">
      <c r="A52" s="45" t="s">
        <v>24</v>
      </c>
      <c r="B52" s="46" t="s">
        <v>1134</v>
      </c>
      <c r="C52" s="46" t="s">
        <v>1135</v>
      </c>
      <c r="D52" s="46" t="s">
        <v>1136</v>
      </c>
      <c r="E52" s="46" t="s">
        <v>1521</v>
      </c>
      <c r="F52" s="46" t="s">
        <v>1137</v>
      </c>
      <c r="G52" s="46">
        <v>2257</v>
      </c>
      <c r="H52" s="46">
        <v>122</v>
      </c>
      <c r="I52" s="46">
        <v>9198</v>
      </c>
      <c r="J52" s="47">
        <v>65001</v>
      </c>
      <c r="K52" s="46"/>
      <c r="L52" s="46" t="s">
        <v>5122</v>
      </c>
      <c r="M52" s="4"/>
      <c r="P52" s="346"/>
      <c r="Q52" s="346"/>
      <c r="R52" s="187"/>
      <c r="S52" s="128"/>
    </row>
    <row r="53" spans="1:19" s="6" customFormat="1" ht="15" customHeight="1" x14ac:dyDescent="0.25">
      <c r="A53" s="25" t="s">
        <v>24</v>
      </c>
      <c r="B53" s="7" t="s">
        <v>11</v>
      </c>
      <c r="C53" s="7" t="s">
        <v>670</v>
      </c>
      <c r="D53" s="7" t="s">
        <v>32</v>
      </c>
      <c r="E53" s="7" t="s">
        <v>33</v>
      </c>
      <c r="F53" s="7" t="s">
        <v>31</v>
      </c>
      <c r="G53" s="7">
        <v>2426</v>
      </c>
      <c r="H53" s="7">
        <v>21045</v>
      </c>
      <c r="I53" s="7">
        <v>9198</v>
      </c>
      <c r="J53" s="34">
        <v>65001</v>
      </c>
      <c r="K53" s="7" t="s">
        <v>428</v>
      </c>
      <c r="L53" s="55" t="s">
        <v>5122</v>
      </c>
      <c r="M53" s="4"/>
      <c r="P53" s="346"/>
      <c r="Q53" s="346"/>
      <c r="R53" s="146" t="s">
        <v>4977</v>
      </c>
      <c r="S53" s="128"/>
    </row>
    <row r="54" spans="1:19" s="6" customFormat="1" ht="15" customHeight="1" x14ac:dyDescent="0.25">
      <c r="A54" s="66" t="s">
        <v>24</v>
      </c>
      <c r="B54" s="67" t="s">
        <v>35</v>
      </c>
      <c r="C54" s="67" t="s">
        <v>7045</v>
      </c>
      <c r="D54" s="67" t="s">
        <v>6962</v>
      </c>
      <c r="E54" s="67" t="s">
        <v>6963</v>
      </c>
      <c r="F54" s="67" t="s">
        <v>6964</v>
      </c>
      <c r="G54" s="67">
        <v>2544</v>
      </c>
      <c r="H54" s="67">
        <v>610</v>
      </c>
      <c r="I54" s="67">
        <v>9198</v>
      </c>
      <c r="J54" s="68">
        <v>65001</v>
      </c>
      <c r="K54" s="67" t="s">
        <v>428</v>
      </c>
      <c r="L54" s="67" t="s">
        <v>5122</v>
      </c>
      <c r="M54" s="4"/>
      <c r="P54" s="346"/>
      <c r="Q54" s="346"/>
      <c r="R54" s="145"/>
      <c r="S54" s="128"/>
    </row>
    <row r="55" spans="1:19" s="6" customFormat="1" ht="15" customHeight="1" x14ac:dyDescent="0.25">
      <c r="A55" s="45" t="s">
        <v>24</v>
      </c>
      <c r="B55" s="46" t="s">
        <v>2318</v>
      </c>
      <c r="C55" s="46" t="s">
        <v>7046</v>
      </c>
      <c r="D55" s="46" t="s">
        <v>6965</v>
      </c>
      <c r="E55" s="46" t="s">
        <v>6966</v>
      </c>
      <c r="F55" s="46" t="s">
        <v>6967</v>
      </c>
      <c r="G55" s="46">
        <v>2545</v>
      </c>
      <c r="H55" s="46">
        <v>200</v>
      </c>
      <c r="I55" s="46">
        <v>9198</v>
      </c>
      <c r="J55" s="47">
        <v>65001</v>
      </c>
      <c r="K55" s="46" t="s">
        <v>428</v>
      </c>
      <c r="L55" s="46" t="s">
        <v>5122</v>
      </c>
      <c r="M55" s="4"/>
      <c r="P55" s="346"/>
      <c r="Q55" s="346"/>
      <c r="R55" s="145"/>
      <c r="S55" s="128"/>
    </row>
    <row r="56" spans="1:19" s="6" customFormat="1" ht="15" customHeight="1" x14ac:dyDescent="0.25">
      <c r="A56" s="45" t="s">
        <v>24</v>
      </c>
      <c r="B56" s="149" t="s">
        <v>4182</v>
      </c>
      <c r="C56" s="149" t="s">
        <v>7047</v>
      </c>
      <c r="D56" s="149" t="s">
        <v>6968</v>
      </c>
      <c r="E56" s="149" t="s">
        <v>6969</v>
      </c>
      <c r="F56" s="149" t="s">
        <v>6970</v>
      </c>
      <c r="G56" s="149">
        <v>2546</v>
      </c>
      <c r="H56" s="149">
        <v>40</v>
      </c>
      <c r="I56" s="149">
        <v>9198</v>
      </c>
      <c r="J56" s="47">
        <v>65001</v>
      </c>
      <c r="K56" s="149" t="s">
        <v>428</v>
      </c>
      <c r="L56" s="149" t="s">
        <v>5122</v>
      </c>
      <c r="M56" s="4"/>
      <c r="P56" s="346"/>
      <c r="Q56" s="346"/>
      <c r="R56" s="145"/>
      <c r="S56" s="128"/>
    </row>
    <row r="57" spans="1:19" s="6" customFormat="1" ht="15" customHeight="1" x14ac:dyDescent="0.25">
      <c r="A57" s="225" t="s">
        <v>24</v>
      </c>
      <c r="B57" s="226" t="s">
        <v>5143</v>
      </c>
      <c r="C57" s="226" t="s">
        <v>7048</v>
      </c>
      <c r="D57" s="226" t="s">
        <v>6971</v>
      </c>
      <c r="E57" s="226" t="s">
        <v>6972</v>
      </c>
      <c r="F57" s="226" t="s">
        <v>6973</v>
      </c>
      <c r="G57" s="226">
        <v>2547</v>
      </c>
      <c r="H57" s="226">
        <v>200</v>
      </c>
      <c r="I57" s="226">
        <v>9198</v>
      </c>
      <c r="J57" s="227">
        <v>65001</v>
      </c>
      <c r="K57" s="226" t="s">
        <v>428</v>
      </c>
      <c r="L57" s="226" t="s">
        <v>5122</v>
      </c>
      <c r="M57" s="4"/>
      <c r="P57" s="346"/>
      <c r="Q57" s="346"/>
      <c r="R57" s="145"/>
      <c r="S57" s="128"/>
    </row>
    <row r="58" spans="1:19" s="44" customFormat="1" ht="15.75" customHeight="1" x14ac:dyDescent="0.25">
      <c r="A58" s="45" t="s">
        <v>24</v>
      </c>
      <c r="B58" s="46" t="s">
        <v>2475</v>
      </c>
      <c r="C58" s="46" t="s">
        <v>7028</v>
      </c>
      <c r="D58" s="46" t="s">
        <v>2476</v>
      </c>
      <c r="E58" s="46" t="s">
        <v>2477</v>
      </c>
      <c r="F58" s="46" t="s">
        <v>2478</v>
      </c>
      <c r="G58" s="46">
        <v>2550</v>
      </c>
      <c r="H58" s="46"/>
      <c r="I58" s="46">
        <v>9198</v>
      </c>
      <c r="J58" s="47">
        <v>65001</v>
      </c>
      <c r="K58" s="46"/>
      <c r="L58" s="46" t="s">
        <v>5122</v>
      </c>
      <c r="M58" s="4"/>
      <c r="P58" s="346"/>
      <c r="Q58" s="346"/>
      <c r="R58" s="183"/>
      <c r="S58" s="128"/>
    </row>
    <row r="59" spans="1:19" s="44" customFormat="1" ht="15.75" customHeight="1" x14ac:dyDescent="0.25">
      <c r="A59" s="45" t="s">
        <v>24</v>
      </c>
      <c r="B59" s="46" t="s">
        <v>3026</v>
      </c>
      <c r="C59" s="49" t="s">
        <v>3046</v>
      </c>
      <c r="D59" s="46" t="s">
        <v>3027</v>
      </c>
      <c r="E59" s="46" t="s">
        <v>3028</v>
      </c>
      <c r="F59" s="46" t="s">
        <v>3029</v>
      </c>
      <c r="G59" s="46">
        <v>2717</v>
      </c>
      <c r="H59" s="46">
        <v>20</v>
      </c>
      <c r="I59" s="46">
        <v>9198</v>
      </c>
      <c r="J59" s="47">
        <v>65001</v>
      </c>
      <c r="K59" s="46"/>
      <c r="L59" s="46" t="s">
        <v>5122</v>
      </c>
      <c r="M59" s="4"/>
      <c r="P59" s="346"/>
      <c r="Q59" s="346"/>
      <c r="R59" s="146" t="s">
        <v>2894</v>
      </c>
      <c r="S59" s="128" t="s">
        <v>2902</v>
      </c>
    </row>
    <row r="60" spans="1:19" ht="15" customHeight="1" x14ac:dyDescent="0.25">
      <c r="A60" s="45" t="s">
        <v>24</v>
      </c>
      <c r="B60" s="135" t="s">
        <v>3144</v>
      </c>
      <c r="C60" s="136" t="s">
        <v>1507</v>
      </c>
      <c r="D60" s="135" t="s">
        <v>3145</v>
      </c>
      <c r="E60" s="135" t="s">
        <v>3146</v>
      </c>
      <c r="F60" s="135" t="s">
        <v>3147</v>
      </c>
      <c r="G60" s="135">
        <v>1335</v>
      </c>
      <c r="H60" s="135"/>
      <c r="I60" s="135"/>
      <c r="J60" s="47"/>
      <c r="K60" s="135"/>
      <c r="L60" s="135" t="s">
        <v>5122</v>
      </c>
      <c r="M60" s="5"/>
      <c r="P60" s="346"/>
      <c r="Q60" s="346"/>
      <c r="R60" s="182" t="s">
        <v>3305</v>
      </c>
      <c r="S60" s="3" t="s">
        <v>2954</v>
      </c>
    </row>
    <row r="61" spans="1:19" ht="15" customHeight="1" x14ac:dyDescent="0.25">
      <c r="A61" s="25" t="s">
        <v>24</v>
      </c>
      <c r="B61" s="57" t="s">
        <v>3825</v>
      </c>
      <c r="C61" s="57" t="s">
        <v>4109</v>
      </c>
      <c r="D61" s="7" t="s">
        <v>3924</v>
      </c>
      <c r="E61" s="7" t="s">
        <v>3925</v>
      </c>
      <c r="F61" s="7" t="s">
        <v>3926</v>
      </c>
      <c r="G61" s="7">
        <v>1978</v>
      </c>
      <c r="H61" s="7">
        <v>600</v>
      </c>
      <c r="I61" s="7">
        <v>9198</v>
      </c>
      <c r="J61" s="34">
        <v>65001</v>
      </c>
      <c r="K61" s="7" t="s">
        <v>428</v>
      </c>
      <c r="L61" s="7" t="s">
        <v>5122</v>
      </c>
      <c r="M61" s="5"/>
      <c r="P61" s="346"/>
      <c r="Q61" s="346"/>
      <c r="R61" s="3"/>
      <c r="S61" s="128"/>
    </row>
    <row r="62" spans="1:19" ht="15" customHeight="1" x14ac:dyDescent="0.25">
      <c r="A62" s="153" t="s">
        <v>24</v>
      </c>
      <c r="B62" s="154" t="s">
        <v>3781</v>
      </c>
      <c r="C62" s="154" t="s">
        <v>4498</v>
      </c>
      <c r="D62" s="154" t="s">
        <v>4376</v>
      </c>
      <c r="E62" s="154" t="s">
        <v>4377</v>
      </c>
      <c r="F62" s="154" t="s">
        <v>4378</v>
      </c>
      <c r="G62" s="154">
        <v>3987</v>
      </c>
      <c r="H62" s="154">
        <v>200</v>
      </c>
      <c r="I62" s="154">
        <v>9198</v>
      </c>
      <c r="J62" s="155">
        <v>65001</v>
      </c>
      <c r="K62" s="154"/>
      <c r="L62" s="154" t="s">
        <v>5122</v>
      </c>
      <c r="M62" s="4"/>
      <c r="P62" s="346"/>
      <c r="Q62" s="346"/>
      <c r="R62" s="3"/>
      <c r="S62" s="128"/>
    </row>
    <row r="63" spans="1:19" s="6" customFormat="1" ht="15" customHeight="1" x14ac:dyDescent="0.25">
      <c r="A63" s="225" t="s">
        <v>24</v>
      </c>
      <c r="B63" s="226" t="s">
        <v>4946</v>
      </c>
      <c r="C63" s="226" t="s">
        <v>6046</v>
      </c>
      <c r="D63" s="226" t="s">
        <v>4950</v>
      </c>
      <c r="E63" s="226" t="s">
        <v>4951</v>
      </c>
      <c r="F63" s="226" t="s">
        <v>4952</v>
      </c>
      <c r="G63" s="226">
        <v>2570</v>
      </c>
      <c r="H63" s="226">
        <v>1000</v>
      </c>
      <c r="I63" s="226">
        <v>9198</v>
      </c>
      <c r="J63" s="227">
        <v>65001</v>
      </c>
      <c r="K63" s="226"/>
      <c r="L63" s="226" t="s">
        <v>5122</v>
      </c>
      <c r="M63" s="4"/>
      <c r="P63" s="346"/>
      <c r="Q63" s="346"/>
      <c r="R63" s="187"/>
      <c r="S63" s="128"/>
    </row>
    <row r="64" spans="1:19" ht="15" customHeight="1" x14ac:dyDescent="0.25">
      <c r="A64" s="45" t="s">
        <v>24</v>
      </c>
      <c r="B64" s="46" t="s">
        <v>5093</v>
      </c>
      <c r="C64" s="46" t="s">
        <v>7029</v>
      </c>
      <c r="D64" s="46" t="s">
        <v>5094</v>
      </c>
      <c r="E64" s="46" t="s">
        <v>5095</v>
      </c>
      <c r="F64" s="46" t="s">
        <v>5096</v>
      </c>
      <c r="G64" s="46">
        <v>1819</v>
      </c>
      <c r="H64" s="46"/>
      <c r="I64" s="46">
        <v>9198</v>
      </c>
      <c r="J64" s="47">
        <v>65001</v>
      </c>
      <c r="K64" s="46"/>
      <c r="L64" s="46" t="s">
        <v>5122</v>
      </c>
      <c r="M64" s="4"/>
      <c r="P64" s="346"/>
      <c r="Q64" s="346"/>
      <c r="R64" s="3"/>
      <c r="S64" s="128"/>
    </row>
    <row r="65" spans="1:19" ht="15" customHeight="1" x14ac:dyDescent="0.25">
      <c r="A65" s="45" t="s">
        <v>24</v>
      </c>
      <c r="B65" s="149" t="s">
        <v>5418</v>
      </c>
      <c r="C65" s="252" t="s">
        <v>6104</v>
      </c>
      <c r="D65" s="149" t="s">
        <v>5419</v>
      </c>
      <c r="E65" s="149" t="s">
        <v>5420</v>
      </c>
      <c r="F65" s="149" t="s">
        <v>5421</v>
      </c>
      <c r="G65" s="149">
        <v>3121</v>
      </c>
      <c r="H65" s="149">
        <v>170</v>
      </c>
      <c r="I65" s="149">
        <v>9198</v>
      </c>
      <c r="J65" s="47">
        <v>65001</v>
      </c>
      <c r="K65" s="149"/>
      <c r="L65" s="149" t="s">
        <v>5122</v>
      </c>
      <c r="M65" s="4"/>
      <c r="P65" s="346"/>
      <c r="Q65" s="346"/>
      <c r="R65" s="3"/>
      <c r="S65" s="128"/>
    </row>
    <row r="66" spans="1:19" ht="15" customHeight="1" x14ac:dyDescent="0.25">
      <c r="A66" s="45" t="s">
        <v>24</v>
      </c>
      <c r="B66" s="149" t="s">
        <v>7006</v>
      </c>
      <c r="C66" s="252" t="s">
        <v>7004</v>
      </c>
      <c r="D66" s="149"/>
      <c r="E66" s="149"/>
      <c r="F66" s="149" t="s">
        <v>7005</v>
      </c>
      <c r="G66" s="149">
        <v>2400</v>
      </c>
      <c r="H66" s="149">
        <v>10</v>
      </c>
      <c r="I66" s="149" t="s">
        <v>1454</v>
      </c>
      <c r="J66" s="47" t="s">
        <v>1454</v>
      </c>
      <c r="K66" s="149" t="s">
        <v>436</v>
      </c>
      <c r="L66" s="149" t="s">
        <v>5122</v>
      </c>
      <c r="M66" s="4"/>
      <c r="P66" s="346"/>
      <c r="Q66" s="346"/>
      <c r="R66" s="3"/>
      <c r="S66" s="128"/>
    </row>
    <row r="67" spans="1:19" ht="15" customHeight="1" x14ac:dyDescent="0.25">
      <c r="A67" s="45" t="s">
        <v>24</v>
      </c>
      <c r="B67" s="149" t="s">
        <v>7207</v>
      </c>
      <c r="C67" s="252" t="s">
        <v>7213</v>
      </c>
      <c r="D67" s="149" t="s">
        <v>7210</v>
      </c>
      <c r="E67" s="149" t="s">
        <v>7208</v>
      </c>
      <c r="F67" s="149" t="s">
        <v>7209</v>
      </c>
      <c r="G67" s="149">
        <v>1818</v>
      </c>
      <c r="H67" s="149"/>
      <c r="I67" s="149">
        <v>9198</v>
      </c>
      <c r="J67" s="47">
        <v>65001</v>
      </c>
      <c r="K67" s="149"/>
      <c r="L67" s="46" t="s">
        <v>1972</v>
      </c>
      <c r="M67" s="305"/>
      <c r="N67" s="305"/>
      <c r="O67" s="3"/>
      <c r="P67" s="346"/>
      <c r="Q67" s="346"/>
    </row>
    <row r="68" spans="1:19" ht="15" customHeight="1" x14ac:dyDescent="0.25">
      <c r="A68" s="45" t="s">
        <v>24</v>
      </c>
      <c r="B68" s="149" t="s">
        <v>7203</v>
      </c>
      <c r="C68" s="252" t="s">
        <v>7564</v>
      </c>
      <c r="D68" s="149"/>
      <c r="E68" s="149"/>
      <c r="F68" s="149"/>
      <c r="G68" s="149"/>
      <c r="H68" s="149"/>
      <c r="I68" s="149"/>
      <c r="J68" s="47"/>
      <c r="K68" s="149"/>
      <c r="L68" s="46"/>
      <c r="M68" s="305"/>
      <c r="N68" s="305"/>
      <c r="O68" s="3"/>
      <c r="P68" s="346"/>
      <c r="Q68" s="346"/>
    </row>
    <row r="69" spans="1:19" ht="15" customHeight="1" x14ac:dyDescent="0.25">
      <c r="A69" s="45" t="s">
        <v>24</v>
      </c>
      <c r="B69" s="46" t="s">
        <v>7279</v>
      </c>
      <c r="C69" s="46" t="s">
        <v>6981</v>
      </c>
      <c r="D69" s="149"/>
      <c r="E69" s="149"/>
      <c r="F69" s="149" t="s">
        <v>6757</v>
      </c>
      <c r="G69" s="149">
        <v>2398</v>
      </c>
      <c r="H69" s="149"/>
      <c r="I69" s="149" t="s">
        <v>1454</v>
      </c>
      <c r="J69" s="149" t="s">
        <v>1454</v>
      </c>
      <c r="K69" s="149" t="s">
        <v>428</v>
      </c>
      <c r="L69" s="46" t="s">
        <v>2736</v>
      </c>
      <c r="M69" s="313"/>
      <c r="N69" s="313"/>
      <c r="O69" s="3"/>
      <c r="P69" s="346"/>
      <c r="Q69" s="346"/>
    </row>
    <row r="70" spans="1:19" ht="15" customHeight="1" x14ac:dyDescent="0.25">
      <c r="A70" s="179" t="s">
        <v>4764</v>
      </c>
      <c r="B70" s="180" t="s">
        <v>7212</v>
      </c>
      <c r="C70" s="180" t="s">
        <v>4932</v>
      </c>
      <c r="D70" s="180"/>
      <c r="E70" s="180"/>
      <c r="F70" s="180"/>
      <c r="G70" s="180"/>
      <c r="H70" s="180">
        <v>1896</v>
      </c>
      <c r="I70" s="180"/>
      <c r="J70" s="180"/>
      <c r="K70" s="180"/>
      <c r="L70" s="180" t="s">
        <v>2736</v>
      </c>
      <c r="M70" s="4"/>
      <c r="P70" s="346">
        <v>2800</v>
      </c>
      <c r="Q70" s="345">
        <f>P70*100%/(30000)</f>
        <v>9.3333333333333338E-2</v>
      </c>
      <c r="R70" s="3"/>
      <c r="S70" s="128"/>
    </row>
    <row r="71" spans="1:19" ht="15" customHeight="1" x14ac:dyDescent="0.25">
      <c r="A71" s="179" t="s">
        <v>4764</v>
      </c>
      <c r="B71" s="180" t="s">
        <v>4765</v>
      </c>
      <c r="C71" s="180" t="s">
        <v>7444</v>
      </c>
      <c r="D71" s="180" t="s">
        <v>4467</v>
      </c>
      <c r="E71" s="180" t="s">
        <v>4468</v>
      </c>
      <c r="F71" s="180" t="s">
        <v>4469</v>
      </c>
      <c r="G71" s="180">
        <v>2801</v>
      </c>
      <c r="H71" s="180">
        <v>1896</v>
      </c>
      <c r="I71" s="180">
        <v>9198</v>
      </c>
      <c r="J71" s="181">
        <v>65001</v>
      </c>
      <c r="K71" s="180"/>
      <c r="L71" s="180" t="s">
        <v>2736</v>
      </c>
      <c r="M71" s="4"/>
      <c r="P71" s="346"/>
      <c r="Q71" s="346"/>
      <c r="R71" s="3"/>
      <c r="S71" s="128"/>
    </row>
    <row r="72" spans="1:19" ht="15" customHeight="1" x14ac:dyDescent="0.25">
      <c r="A72" s="179" t="s">
        <v>4764</v>
      </c>
      <c r="B72" s="190" t="s">
        <v>4995</v>
      </c>
      <c r="C72" s="180" t="s">
        <v>7444</v>
      </c>
      <c r="D72" s="190" t="s">
        <v>6337</v>
      </c>
      <c r="E72" s="190" t="s">
        <v>6338</v>
      </c>
      <c r="F72" s="190" t="s">
        <v>6339</v>
      </c>
      <c r="G72" s="190">
        <v>3801</v>
      </c>
      <c r="H72" s="190"/>
      <c r="I72" s="190">
        <v>9198</v>
      </c>
      <c r="J72" s="181">
        <v>65001</v>
      </c>
      <c r="K72" s="190"/>
      <c r="L72" s="190" t="s">
        <v>2736</v>
      </c>
      <c r="M72" s="4"/>
      <c r="P72" s="346"/>
      <c r="Q72" s="346"/>
      <c r="R72" s="3"/>
      <c r="S72" s="128"/>
    </row>
    <row r="73" spans="1:19" ht="15" customHeight="1" x14ac:dyDescent="0.25">
      <c r="A73" s="179" t="s">
        <v>4764</v>
      </c>
      <c r="B73" s="190" t="s">
        <v>4999</v>
      </c>
      <c r="C73" s="180" t="s">
        <v>7444</v>
      </c>
      <c r="D73" s="190" t="s">
        <v>6340</v>
      </c>
      <c r="E73" s="190" t="s">
        <v>6341</v>
      </c>
      <c r="F73" s="190" t="s">
        <v>6344</v>
      </c>
      <c r="G73" s="190">
        <v>3803</v>
      </c>
      <c r="H73" s="190"/>
      <c r="I73" s="190">
        <v>9198</v>
      </c>
      <c r="J73" s="181">
        <v>65001</v>
      </c>
      <c r="K73" s="190"/>
      <c r="L73" s="190" t="s">
        <v>2736</v>
      </c>
      <c r="M73" s="4"/>
      <c r="P73" s="346"/>
      <c r="Q73" s="346"/>
      <c r="R73" s="3"/>
      <c r="S73" s="128"/>
    </row>
    <row r="74" spans="1:19" ht="15" customHeight="1" x14ac:dyDescent="0.25">
      <c r="A74" s="179" t="s">
        <v>4764</v>
      </c>
      <c r="B74" s="190" t="s">
        <v>5003</v>
      </c>
      <c r="C74" s="180" t="s">
        <v>7444</v>
      </c>
      <c r="D74" s="190" t="s">
        <v>6342</v>
      </c>
      <c r="E74" s="190" t="s">
        <v>6345</v>
      </c>
      <c r="F74" s="190" t="s">
        <v>6346</v>
      </c>
      <c r="G74" s="190">
        <v>3805</v>
      </c>
      <c r="H74" s="190"/>
      <c r="I74" s="190">
        <v>9198</v>
      </c>
      <c r="J74" s="181">
        <v>65001</v>
      </c>
      <c r="K74" s="190"/>
      <c r="L74" s="190" t="s">
        <v>2736</v>
      </c>
      <c r="M74" s="4"/>
      <c r="P74" s="346"/>
      <c r="Q74" s="346"/>
      <c r="R74" s="3"/>
      <c r="S74" s="128"/>
    </row>
    <row r="75" spans="1:19" ht="15" customHeight="1" x14ac:dyDescent="0.25">
      <c r="A75" s="179" t="s">
        <v>4764</v>
      </c>
      <c r="B75" s="190" t="s">
        <v>5006</v>
      </c>
      <c r="C75" s="180" t="s">
        <v>7444</v>
      </c>
      <c r="D75" s="190" t="s">
        <v>6343</v>
      </c>
      <c r="E75" s="190" t="s">
        <v>6347</v>
      </c>
      <c r="F75" s="190" t="s">
        <v>6348</v>
      </c>
      <c r="G75" s="190">
        <v>3707</v>
      </c>
      <c r="H75" s="190"/>
      <c r="I75" s="190">
        <v>9198</v>
      </c>
      <c r="J75" s="181">
        <v>65001</v>
      </c>
      <c r="K75" s="190"/>
      <c r="L75" s="190" t="s">
        <v>2736</v>
      </c>
      <c r="M75" s="4"/>
      <c r="P75" s="346"/>
      <c r="Q75" s="346"/>
      <c r="R75" s="3"/>
      <c r="S75" s="128"/>
    </row>
    <row r="76" spans="1:19" ht="15" customHeight="1" x14ac:dyDescent="0.25">
      <c r="A76" s="27" t="s">
        <v>6373</v>
      </c>
      <c r="B76" s="20" t="s">
        <v>597</v>
      </c>
      <c r="C76" s="20" t="s">
        <v>6766</v>
      </c>
      <c r="D76" s="20" t="s">
        <v>6386</v>
      </c>
      <c r="E76" s="20" t="s">
        <v>6387</v>
      </c>
      <c r="F76" s="20" t="s">
        <v>6388</v>
      </c>
      <c r="G76" s="20">
        <v>2427</v>
      </c>
      <c r="H76" s="20">
        <v>40</v>
      </c>
      <c r="I76" s="20">
        <v>9198</v>
      </c>
      <c r="J76" s="36">
        <v>65001</v>
      </c>
      <c r="K76" s="20"/>
      <c r="L76" s="20" t="s">
        <v>5122</v>
      </c>
      <c r="M76" s="4"/>
      <c r="P76" s="346">
        <v>43089</v>
      </c>
      <c r="Q76" s="345">
        <f>P76*100%/(100000)</f>
        <v>0.43089</v>
      </c>
      <c r="R76" s="222"/>
      <c r="S76" s="128"/>
    </row>
    <row r="77" spans="1:19" ht="15" customHeight="1" x14ac:dyDescent="0.25">
      <c r="A77" s="21" t="s">
        <v>6373</v>
      </c>
      <c r="B77" s="18" t="s">
        <v>198</v>
      </c>
      <c r="C77" s="19" t="s">
        <v>6767</v>
      </c>
      <c r="D77" s="18" t="s">
        <v>6389</v>
      </c>
      <c r="E77" s="18" t="s">
        <v>6390</v>
      </c>
      <c r="F77" s="18" t="s">
        <v>6391</v>
      </c>
      <c r="G77" s="18">
        <v>2428</v>
      </c>
      <c r="H77" s="18">
        <v>150</v>
      </c>
      <c r="I77" s="18">
        <v>9198</v>
      </c>
      <c r="J77" s="33">
        <v>65001</v>
      </c>
      <c r="K77" s="18"/>
      <c r="L77" s="18" t="s">
        <v>5122</v>
      </c>
      <c r="M77" s="43"/>
      <c r="P77" s="346"/>
      <c r="Q77" s="346"/>
      <c r="R77" s="184"/>
      <c r="S77" s="128"/>
    </row>
    <row r="78" spans="1:19" s="42" customFormat="1" ht="15" customHeight="1" x14ac:dyDescent="0.25">
      <c r="A78" s="24" t="s">
        <v>6373</v>
      </c>
      <c r="B78" s="15" t="s">
        <v>1431</v>
      </c>
      <c r="C78" s="15" t="s">
        <v>6769</v>
      </c>
      <c r="D78" s="15" t="s">
        <v>6392</v>
      </c>
      <c r="E78" s="15" t="s">
        <v>6393</v>
      </c>
      <c r="F78" s="15" t="s">
        <v>6394</v>
      </c>
      <c r="G78" s="15">
        <v>1245</v>
      </c>
      <c r="H78" s="15">
        <v>300</v>
      </c>
      <c r="I78" s="15">
        <v>9198</v>
      </c>
      <c r="J78" s="32">
        <v>65001</v>
      </c>
      <c r="K78" s="15"/>
      <c r="L78" s="15" t="s">
        <v>5122</v>
      </c>
      <c r="M78" s="43"/>
      <c r="P78" s="346"/>
      <c r="Q78" s="346"/>
      <c r="R78" s="266"/>
      <c r="S78" s="128"/>
    </row>
    <row r="79" spans="1:19" ht="15" customHeight="1" x14ac:dyDescent="0.25">
      <c r="A79" s="26" t="s">
        <v>6373</v>
      </c>
      <c r="B79" s="8" t="s">
        <v>34</v>
      </c>
      <c r="C79" s="8" t="s">
        <v>6773</v>
      </c>
      <c r="D79" s="8" t="s">
        <v>6395</v>
      </c>
      <c r="E79" s="8" t="s">
        <v>6396</v>
      </c>
      <c r="F79" s="8" t="s">
        <v>6397</v>
      </c>
      <c r="G79" s="8">
        <v>2525</v>
      </c>
      <c r="H79" s="8">
        <v>15966</v>
      </c>
      <c r="I79" s="8">
        <v>9198</v>
      </c>
      <c r="J79" s="35">
        <v>65001</v>
      </c>
      <c r="K79" s="8"/>
      <c r="L79" s="8" t="s">
        <v>5122</v>
      </c>
      <c r="M79" s="4"/>
      <c r="P79" s="346"/>
      <c r="Q79" s="346"/>
      <c r="R79" s="184"/>
      <c r="S79" s="128"/>
    </row>
    <row r="80" spans="1:19" ht="15" customHeight="1" x14ac:dyDescent="0.25">
      <c r="A80" s="28" t="s">
        <v>6373</v>
      </c>
      <c r="B80" s="9" t="s">
        <v>249</v>
      </c>
      <c r="C80" s="10" t="s">
        <v>6765</v>
      </c>
      <c r="D80" s="9" t="s">
        <v>6398</v>
      </c>
      <c r="E80" s="9" t="s">
        <v>6399</v>
      </c>
      <c r="F80" s="9" t="s">
        <v>6400</v>
      </c>
      <c r="G80" s="9">
        <v>2542</v>
      </c>
      <c r="H80" s="9">
        <v>32</v>
      </c>
      <c r="I80" s="9">
        <v>9198</v>
      </c>
      <c r="J80" s="37">
        <v>65001</v>
      </c>
      <c r="K80" s="9"/>
      <c r="L80" s="9" t="s">
        <v>5122</v>
      </c>
      <c r="M80" s="4"/>
      <c r="P80" s="346"/>
      <c r="Q80" s="346"/>
      <c r="R80" s="184"/>
      <c r="S80" s="128"/>
    </row>
    <row r="81" spans="1:19" s="6" customFormat="1" ht="15" customHeight="1" x14ac:dyDescent="0.25">
      <c r="A81" s="45" t="s">
        <v>6373</v>
      </c>
      <c r="B81" s="46" t="s">
        <v>1014</v>
      </c>
      <c r="C81" s="49" t="s">
        <v>6770</v>
      </c>
      <c r="D81" s="46" t="s">
        <v>6374</v>
      </c>
      <c r="E81" s="46" t="s">
        <v>6375</v>
      </c>
      <c r="F81" s="46" t="s">
        <v>6376</v>
      </c>
      <c r="G81" s="46">
        <v>2538</v>
      </c>
      <c r="H81" s="46">
        <v>1895</v>
      </c>
      <c r="I81" s="46">
        <v>9198</v>
      </c>
      <c r="J81" s="47">
        <v>65001</v>
      </c>
      <c r="K81" s="46" t="s">
        <v>428</v>
      </c>
      <c r="L81" s="46" t="s">
        <v>5122</v>
      </c>
      <c r="M81" s="4"/>
      <c r="P81" s="346"/>
      <c r="Q81" s="346"/>
      <c r="R81" s="267"/>
      <c r="S81" s="128"/>
    </row>
    <row r="82" spans="1:19" s="6" customFormat="1" ht="15" customHeight="1" x14ac:dyDescent="0.25">
      <c r="A82" s="45" t="s">
        <v>6373</v>
      </c>
      <c r="B82" s="46" t="s">
        <v>2623</v>
      </c>
      <c r="C82" s="49" t="s">
        <v>6771</v>
      </c>
      <c r="D82" s="46" t="s">
        <v>6401</v>
      </c>
      <c r="E82" s="46" t="s">
        <v>6403</v>
      </c>
      <c r="F82" s="46" t="s">
        <v>6404</v>
      </c>
      <c r="G82" s="46">
        <v>1246</v>
      </c>
      <c r="H82" s="46">
        <v>1720</v>
      </c>
      <c r="I82" s="46">
        <v>9198</v>
      </c>
      <c r="J82" s="47">
        <v>65001</v>
      </c>
      <c r="K82" s="46" t="s">
        <v>428</v>
      </c>
      <c r="L82" s="46" t="s">
        <v>5122</v>
      </c>
      <c r="M82" s="4"/>
      <c r="P82" s="346"/>
      <c r="Q82" s="346"/>
      <c r="R82" s="267"/>
      <c r="S82" s="128"/>
    </row>
    <row r="83" spans="1:19" s="6" customFormat="1" ht="15" customHeight="1" x14ac:dyDescent="0.25">
      <c r="A83" s="23" t="s">
        <v>6373</v>
      </c>
      <c r="B83" s="13" t="s">
        <v>4</v>
      </c>
      <c r="C83" s="13" t="s">
        <v>6772</v>
      </c>
      <c r="D83" s="13" t="s">
        <v>6402</v>
      </c>
      <c r="E83" s="13" t="s">
        <v>6405</v>
      </c>
      <c r="F83" s="13" t="s">
        <v>6406</v>
      </c>
      <c r="G83" s="13">
        <v>2423</v>
      </c>
      <c r="H83" s="13">
        <v>1000</v>
      </c>
      <c r="I83" s="13">
        <v>9198</v>
      </c>
      <c r="J83" s="31">
        <v>65001</v>
      </c>
      <c r="K83" s="13"/>
      <c r="L83" s="13" t="s">
        <v>5122</v>
      </c>
      <c r="M83" s="4"/>
      <c r="P83" s="346"/>
      <c r="Q83" s="346"/>
      <c r="R83" s="267"/>
      <c r="S83" s="128"/>
    </row>
    <row r="84" spans="1:19" s="6" customFormat="1" ht="15" customHeight="1" x14ac:dyDescent="0.25">
      <c r="A84" s="45" t="s">
        <v>6373</v>
      </c>
      <c r="B84" s="46" t="s">
        <v>1018</v>
      </c>
      <c r="C84" s="46" t="s">
        <v>6774</v>
      </c>
      <c r="D84" s="46" t="s">
        <v>6407</v>
      </c>
      <c r="E84" s="46" t="s">
        <v>6408</v>
      </c>
      <c r="F84" s="265">
        <v>1362366</v>
      </c>
      <c r="G84" s="46">
        <v>2510</v>
      </c>
      <c r="H84" s="46">
        <v>300</v>
      </c>
      <c r="I84" s="46">
        <v>9198</v>
      </c>
      <c r="J84" s="47">
        <v>65001</v>
      </c>
      <c r="K84" s="46"/>
      <c r="L84" s="46" t="s">
        <v>5122</v>
      </c>
      <c r="M84" s="4"/>
      <c r="P84" s="346"/>
      <c r="Q84" s="346"/>
      <c r="R84" s="267"/>
      <c r="S84" s="128"/>
    </row>
    <row r="85" spans="1:19" s="6" customFormat="1" ht="15" customHeight="1" x14ac:dyDescent="0.25">
      <c r="A85" s="45" t="s">
        <v>6373</v>
      </c>
      <c r="B85" s="46" t="s">
        <v>1109</v>
      </c>
      <c r="C85" s="49" t="s">
        <v>6775</v>
      </c>
      <c r="D85" s="46" t="s">
        <v>6377</v>
      </c>
      <c r="E85" s="46" t="s">
        <v>6378</v>
      </c>
      <c r="F85" s="46" t="s">
        <v>6379</v>
      </c>
      <c r="G85" s="46">
        <v>1766</v>
      </c>
      <c r="H85" s="46">
        <v>40</v>
      </c>
      <c r="I85" s="46">
        <v>9198</v>
      </c>
      <c r="J85" s="47">
        <v>65001</v>
      </c>
      <c r="K85" s="46"/>
      <c r="L85" s="46" t="s">
        <v>5122</v>
      </c>
      <c r="M85" s="4"/>
      <c r="P85" s="346"/>
      <c r="Q85" s="346"/>
      <c r="R85" s="267"/>
      <c r="S85" s="128"/>
    </row>
    <row r="86" spans="1:19" s="6" customFormat="1" ht="15" customHeight="1" x14ac:dyDescent="0.25">
      <c r="A86" s="45" t="s">
        <v>6373</v>
      </c>
      <c r="B86" s="46" t="s">
        <v>1134</v>
      </c>
      <c r="C86" s="46" t="s">
        <v>6776</v>
      </c>
      <c r="D86" s="46" t="s">
        <v>6380</v>
      </c>
      <c r="E86" s="46" t="s">
        <v>6381</v>
      </c>
      <c r="F86" s="46" t="s">
        <v>6382</v>
      </c>
      <c r="G86" s="46">
        <v>2257</v>
      </c>
      <c r="H86" s="46">
        <v>122</v>
      </c>
      <c r="I86" s="46">
        <v>9198</v>
      </c>
      <c r="J86" s="47">
        <v>65001</v>
      </c>
      <c r="K86" s="46"/>
      <c r="L86" s="46" t="s">
        <v>5122</v>
      </c>
      <c r="M86" s="4"/>
      <c r="P86" s="346"/>
      <c r="Q86" s="346"/>
      <c r="R86" s="267"/>
      <c r="S86" s="128"/>
    </row>
    <row r="87" spans="1:19" s="6" customFormat="1" ht="15" customHeight="1" x14ac:dyDescent="0.25">
      <c r="A87" s="25" t="s">
        <v>6373</v>
      </c>
      <c r="B87" s="7" t="s">
        <v>11</v>
      </c>
      <c r="C87" s="7" t="s">
        <v>6768</v>
      </c>
      <c r="D87" s="7" t="s">
        <v>6409</v>
      </c>
      <c r="E87" s="7" t="s">
        <v>6410</v>
      </c>
      <c r="F87" s="7" t="s">
        <v>6411</v>
      </c>
      <c r="G87" s="7">
        <v>2426</v>
      </c>
      <c r="H87" s="7">
        <v>19500</v>
      </c>
      <c r="I87" s="7">
        <v>9198</v>
      </c>
      <c r="J87" s="34">
        <v>65001</v>
      </c>
      <c r="K87" s="7" t="s">
        <v>428</v>
      </c>
      <c r="L87" s="55" t="s">
        <v>5122</v>
      </c>
      <c r="M87" s="4"/>
      <c r="P87" s="346"/>
      <c r="Q87" s="346"/>
      <c r="R87" s="222"/>
      <c r="S87" s="128"/>
    </row>
    <row r="88" spans="1:19" s="44" customFormat="1" ht="15.75" customHeight="1" x14ac:dyDescent="0.25">
      <c r="A88" s="45" t="s">
        <v>6373</v>
      </c>
      <c r="B88" s="46" t="s">
        <v>2475</v>
      </c>
      <c r="C88" s="49" t="s">
        <v>1507</v>
      </c>
      <c r="D88" s="46" t="s">
        <v>6412</v>
      </c>
      <c r="E88" s="46" t="s">
        <v>6413</v>
      </c>
      <c r="F88" s="46" t="s">
        <v>6414</v>
      </c>
      <c r="G88" s="46">
        <v>2550</v>
      </c>
      <c r="H88" s="46"/>
      <c r="I88" s="46">
        <v>9198</v>
      </c>
      <c r="J88" s="47">
        <v>65001</v>
      </c>
      <c r="K88" s="46"/>
      <c r="L88" s="46" t="s">
        <v>5122</v>
      </c>
      <c r="M88" s="4"/>
      <c r="P88" s="346"/>
      <c r="Q88" s="346"/>
      <c r="R88" s="214"/>
      <c r="S88" s="128"/>
    </row>
    <row r="89" spans="1:19" s="44" customFormat="1" ht="15.75" customHeight="1" x14ac:dyDescent="0.25">
      <c r="A89" s="45" t="s">
        <v>6373</v>
      </c>
      <c r="B89" s="46" t="s">
        <v>3026</v>
      </c>
      <c r="C89" s="49" t="s">
        <v>6780</v>
      </c>
      <c r="D89" s="46" t="s">
        <v>6415</v>
      </c>
      <c r="E89" s="46" t="s">
        <v>6416</v>
      </c>
      <c r="F89" s="46" t="s">
        <v>6417</v>
      </c>
      <c r="G89" s="46">
        <v>2717</v>
      </c>
      <c r="H89" s="46">
        <v>20</v>
      </c>
      <c r="I89" s="46">
        <v>9198</v>
      </c>
      <c r="J89" s="47">
        <v>65001</v>
      </c>
      <c r="K89" s="46"/>
      <c r="L89" s="46" t="s">
        <v>5122</v>
      </c>
      <c r="M89" s="4"/>
      <c r="P89" s="346"/>
      <c r="Q89" s="346"/>
      <c r="R89" s="222"/>
      <c r="S89" s="128"/>
    </row>
    <row r="90" spans="1:19" ht="15" customHeight="1" x14ac:dyDescent="0.25">
      <c r="A90" s="25" t="s">
        <v>6373</v>
      </c>
      <c r="B90" s="57" t="s">
        <v>3825</v>
      </c>
      <c r="C90" s="7" t="s">
        <v>6777</v>
      </c>
      <c r="D90" s="7" t="s">
        <v>6418</v>
      </c>
      <c r="E90" s="7" t="s">
        <v>6419</v>
      </c>
      <c r="F90" s="7" t="s">
        <v>6420</v>
      </c>
      <c r="G90" s="7">
        <v>1978</v>
      </c>
      <c r="H90" s="7">
        <v>600</v>
      </c>
      <c r="I90" s="7">
        <v>9198</v>
      </c>
      <c r="J90" s="34">
        <v>65001</v>
      </c>
      <c r="K90" s="7" t="s">
        <v>428</v>
      </c>
      <c r="L90" s="7" t="s">
        <v>5122</v>
      </c>
      <c r="M90" s="5"/>
      <c r="P90" s="346"/>
      <c r="Q90" s="346"/>
      <c r="R90" s="3"/>
      <c r="S90" s="128"/>
    </row>
    <row r="91" spans="1:19" ht="15" customHeight="1" x14ac:dyDescent="0.25">
      <c r="A91" s="153" t="s">
        <v>6373</v>
      </c>
      <c r="B91" s="154" t="s">
        <v>3781</v>
      </c>
      <c r="C91" s="154" t="s">
        <v>6778</v>
      </c>
      <c r="D91" s="154" t="s">
        <v>6383</v>
      </c>
      <c r="E91" s="154" t="s">
        <v>6384</v>
      </c>
      <c r="F91" s="154" t="s">
        <v>6385</v>
      </c>
      <c r="G91" s="154">
        <v>3987</v>
      </c>
      <c r="H91" s="154">
        <v>200</v>
      </c>
      <c r="I91" s="154">
        <v>9198</v>
      </c>
      <c r="J91" s="155">
        <v>65001</v>
      </c>
      <c r="K91" s="154"/>
      <c r="L91" s="154" t="s">
        <v>5122</v>
      </c>
      <c r="M91" s="4"/>
      <c r="P91" s="346"/>
      <c r="Q91" s="346"/>
      <c r="R91" s="3"/>
      <c r="S91" s="128"/>
    </row>
    <row r="92" spans="1:19" s="6" customFormat="1" ht="15" customHeight="1" x14ac:dyDescent="0.25">
      <c r="A92" s="225" t="s">
        <v>6373</v>
      </c>
      <c r="B92" s="226" t="s">
        <v>4946</v>
      </c>
      <c r="C92" s="226" t="s">
        <v>6781</v>
      </c>
      <c r="D92" s="226" t="s">
        <v>6421</v>
      </c>
      <c r="E92" s="226" t="s">
        <v>6422</v>
      </c>
      <c r="F92" s="226" t="s">
        <v>6423</v>
      </c>
      <c r="G92" s="226">
        <v>2570</v>
      </c>
      <c r="H92" s="226">
        <v>1000</v>
      </c>
      <c r="I92" s="226">
        <v>9198</v>
      </c>
      <c r="J92" s="227">
        <v>65001</v>
      </c>
      <c r="K92" s="226"/>
      <c r="L92" s="226" t="s">
        <v>5122</v>
      </c>
      <c r="M92" s="4"/>
      <c r="P92" s="346"/>
      <c r="Q92" s="346"/>
      <c r="R92" s="187"/>
      <c r="S92" s="128"/>
    </row>
    <row r="93" spans="1:19" ht="15" customHeight="1" x14ac:dyDescent="0.25">
      <c r="A93" s="45" t="s">
        <v>6373</v>
      </c>
      <c r="B93" s="46" t="s">
        <v>5093</v>
      </c>
      <c r="C93" s="49" t="s">
        <v>1507</v>
      </c>
      <c r="D93" s="46" t="s">
        <v>6424</v>
      </c>
      <c r="E93" s="46" t="s">
        <v>6425</v>
      </c>
      <c r="F93" s="46" t="s">
        <v>6426</v>
      </c>
      <c r="G93" s="46"/>
      <c r="H93" s="46"/>
      <c r="I93" s="46">
        <v>9198</v>
      </c>
      <c r="J93" s="47">
        <v>65001</v>
      </c>
      <c r="K93" s="46"/>
      <c r="L93" s="46" t="s">
        <v>5122</v>
      </c>
      <c r="M93" s="4"/>
      <c r="P93" s="346"/>
      <c r="Q93" s="346"/>
      <c r="R93" s="3"/>
      <c r="S93" s="128"/>
    </row>
    <row r="94" spans="1:19" ht="15" customHeight="1" x14ac:dyDescent="0.25">
      <c r="A94" s="45" t="s">
        <v>6373</v>
      </c>
      <c r="B94" s="149" t="s">
        <v>5418</v>
      </c>
      <c r="C94" s="252" t="s">
        <v>6779</v>
      </c>
      <c r="D94" s="149" t="s">
        <v>6427</v>
      </c>
      <c r="E94" s="149" t="s">
        <v>6428</v>
      </c>
      <c r="F94" s="149" t="s">
        <v>6429</v>
      </c>
      <c r="G94" s="149">
        <v>3121</v>
      </c>
      <c r="H94" s="149">
        <v>170</v>
      </c>
      <c r="I94" s="149">
        <v>9198</v>
      </c>
      <c r="J94" s="47">
        <v>65001</v>
      </c>
      <c r="K94" s="149"/>
      <c r="L94" s="149" t="s">
        <v>5122</v>
      </c>
      <c r="M94" s="4"/>
      <c r="P94" s="346"/>
      <c r="Q94" s="346"/>
      <c r="R94" s="3"/>
      <c r="S94" s="128"/>
    </row>
    <row r="95" spans="1:19" ht="15" customHeight="1" x14ac:dyDescent="0.25">
      <c r="A95" s="66" t="s">
        <v>6373</v>
      </c>
      <c r="B95" s="66" t="s">
        <v>35</v>
      </c>
      <c r="C95" s="66" t="s">
        <v>7153</v>
      </c>
      <c r="D95" s="66" t="s">
        <v>7049</v>
      </c>
      <c r="E95" s="66" t="s">
        <v>7050</v>
      </c>
      <c r="F95" s="66" t="s">
        <v>7051</v>
      </c>
      <c r="G95" s="66">
        <v>2544</v>
      </c>
      <c r="H95" s="67">
        <v>610</v>
      </c>
      <c r="I95" s="66">
        <v>9198</v>
      </c>
      <c r="J95" s="66">
        <v>65001</v>
      </c>
      <c r="K95" s="66"/>
      <c r="L95" s="66" t="s">
        <v>5122</v>
      </c>
      <c r="M95" s="4"/>
      <c r="P95" s="346"/>
      <c r="Q95" s="346"/>
      <c r="R95" s="3"/>
      <c r="S95" s="128"/>
    </row>
    <row r="96" spans="1:19" ht="15" customHeight="1" x14ac:dyDescent="0.25">
      <c r="A96" s="45" t="s">
        <v>6373</v>
      </c>
      <c r="B96" s="46" t="s">
        <v>2318</v>
      </c>
      <c r="C96" s="46" t="s">
        <v>7154</v>
      </c>
      <c r="D96" s="149" t="s">
        <v>7052</v>
      </c>
      <c r="E96" s="149" t="s">
        <v>7053</v>
      </c>
      <c r="F96" s="149" t="s">
        <v>7054</v>
      </c>
      <c r="G96" s="149">
        <v>2545</v>
      </c>
      <c r="H96" s="46">
        <v>200</v>
      </c>
      <c r="I96" s="149">
        <v>9198</v>
      </c>
      <c r="J96" s="47">
        <v>65001</v>
      </c>
      <c r="K96" s="149"/>
      <c r="L96" s="149" t="s">
        <v>5122</v>
      </c>
      <c r="M96" s="4"/>
      <c r="P96" s="346"/>
      <c r="Q96" s="346"/>
      <c r="R96" s="3"/>
      <c r="S96" s="128"/>
    </row>
    <row r="97" spans="1:19" ht="15" customHeight="1" x14ac:dyDescent="0.25">
      <c r="A97" s="45" t="s">
        <v>6373</v>
      </c>
      <c r="B97" s="46" t="s">
        <v>4182</v>
      </c>
      <c r="C97" s="46" t="s">
        <v>7155</v>
      </c>
      <c r="D97" s="149" t="s">
        <v>7055</v>
      </c>
      <c r="E97" s="149" t="s">
        <v>7056</v>
      </c>
      <c r="F97" s="149" t="s">
        <v>7057</v>
      </c>
      <c r="G97" s="149">
        <v>2546</v>
      </c>
      <c r="H97" s="46">
        <v>40</v>
      </c>
      <c r="I97" s="149">
        <v>9198</v>
      </c>
      <c r="J97" s="47">
        <v>65001</v>
      </c>
      <c r="K97" s="149"/>
      <c r="L97" s="149" t="s">
        <v>5122</v>
      </c>
      <c r="M97" s="4"/>
      <c r="P97" s="346"/>
      <c r="Q97" s="346"/>
      <c r="R97" s="3"/>
      <c r="S97" s="128"/>
    </row>
    <row r="98" spans="1:19" ht="15" customHeight="1" x14ac:dyDescent="0.25">
      <c r="A98" s="225" t="s">
        <v>6373</v>
      </c>
      <c r="B98" s="226" t="s">
        <v>5143</v>
      </c>
      <c r="C98" s="226" t="s">
        <v>7156</v>
      </c>
      <c r="D98" s="226" t="s">
        <v>7058</v>
      </c>
      <c r="E98" s="226" t="s">
        <v>7059</v>
      </c>
      <c r="F98" s="226" t="s">
        <v>7060</v>
      </c>
      <c r="G98" s="226">
        <v>2547</v>
      </c>
      <c r="H98" s="226">
        <v>200</v>
      </c>
      <c r="I98" s="226">
        <v>9198</v>
      </c>
      <c r="J98" s="226">
        <v>65001</v>
      </c>
      <c r="K98" s="226"/>
      <c r="L98" s="226" t="s">
        <v>5122</v>
      </c>
      <c r="M98" s="4"/>
      <c r="P98" s="346"/>
      <c r="Q98" s="346"/>
      <c r="R98" s="3"/>
      <c r="S98" s="128"/>
    </row>
    <row r="99" spans="1:19" ht="15" customHeight="1" x14ac:dyDescent="0.25">
      <c r="A99" s="45" t="s">
        <v>1986</v>
      </c>
      <c r="B99" s="46" t="s">
        <v>2475</v>
      </c>
      <c r="C99" s="49" t="s">
        <v>7030</v>
      </c>
      <c r="D99" s="46" t="s">
        <v>2479</v>
      </c>
      <c r="E99" s="46" t="s">
        <v>2480</v>
      </c>
      <c r="F99" s="46" t="s">
        <v>2481</v>
      </c>
      <c r="G99" s="46">
        <v>2540</v>
      </c>
      <c r="H99" s="46"/>
      <c r="I99" s="46">
        <v>9198</v>
      </c>
      <c r="J99" s="47">
        <v>65001</v>
      </c>
      <c r="K99" s="46"/>
      <c r="L99" s="46" t="s">
        <v>1972</v>
      </c>
      <c r="M99" s="4"/>
      <c r="P99" s="346">
        <v>210</v>
      </c>
      <c r="Q99" s="345">
        <f>P99*100%/(20000)</f>
        <v>1.0500000000000001E-2</v>
      </c>
      <c r="R99" s="182" t="s">
        <v>5408</v>
      </c>
      <c r="S99" s="128"/>
    </row>
    <row r="100" spans="1:19" ht="15" customHeight="1" x14ac:dyDescent="0.25">
      <c r="A100" s="200" t="s">
        <v>1986</v>
      </c>
      <c r="B100" s="201" t="s">
        <v>6269</v>
      </c>
      <c r="C100" s="201" t="s">
        <v>4621</v>
      </c>
      <c r="D100" s="201"/>
      <c r="E100" s="201"/>
      <c r="F100" s="201" t="s">
        <v>6258</v>
      </c>
      <c r="G100" s="201">
        <v>2301</v>
      </c>
      <c r="H100" s="201">
        <v>70</v>
      </c>
      <c r="I100" s="202" t="s">
        <v>1454</v>
      </c>
      <c r="J100" s="202" t="s">
        <v>1454</v>
      </c>
      <c r="K100" s="201" t="s">
        <v>654</v>
      </c>
      <c r="L100" s="203" t="s">
        <v>1972</v>
      </c>
      <c r="M100" s="4"/>
      <c r="P100" s="346"/>
      <c r="Q100" s="346"/>
      <c r="R100" s="3"/>
      <c r="S100" s="128"/>
    </row>
    <row r="101" spans="1:19" ht="15" customHeight="1" x14ac:dyDescent="0.25">
      <c r="A101" s="200" t="s">
        <v>1986</v>
      </c>
      <c r="B101" s="201" t="s">
        <v>6270</v>
      </c>
      <c r="C101" s="201" t="s">
        <v>4620</v>
      </c>
      <c r="D101" s="201"/>
      <c r="E101" s="201"/>
      <c r="F101" s="201" t="s">
        <v>6257</v>
      </c>
      <c r="G101" s="201">
        <v>2300</v>
      </c>
      <c r="H101" s="201">
        <v>90</v>
      </c>
      <c r="I101" s="202" t="s">
        <v>1454</v>
      </c>
      <c r="J101" s="202" t="s">
        <v>1454</v>
      </c>
      <c r="K101" s="201" t="s">
        <v>522</v>
      </c>
      <c r="L101" s="203" t="s">
        <v>1972</v>
      </c>
      <c r="M101" s="4"/>
      <c r="P101" s="346"/>
      <c r="Q101" s="346"/>
      <c r="R101" s="3"/>
      <c r="S101" s="128"/>
    </row>
    <row r="102" spans="1:19" ht="15" customHeight="1" x14ac:dyDescent="0.25">
      <c r="A102" s="200" t="s">
        <v>1986</v>
      </c>
      <c r="B102" s="201" t="s">
        <v>6261</v>
      </c>
      <c r="C102" s="263" t="s">
        <v>6263</v>
      </c>
      <c r="D102" s="263"/>
      <c r="E102" s="263"/>
      <c r="F102" s="263" t="s">
        <v>6266</v>
      </c>
      <c r="G102" s="263">
        <v>2370</v>
      </c>
      <c r="H102" s="263">
        <v>20</v>
      </c>
      <c r="I102" s="263" t="s">
        <v>1454</v>
      </c>
      <c r="J102" s="202" t="s">
        <v>1454</v>
      </c>
      <c r="K102" s="263" t="s">
        <v>6259</v>
      </c>
      <c r="L102" s="263" t="s">
        <v>1972</v>
      </c>
      <c r="M102" s="4"/>
      <c r="P102" s="346"/>
      <c r="Q102" s="346"/>
      <c r="R102" s="3"/>
      <c r="S102" s="128"/>
    </row>
    <row r="103" spans="1:19" ht="15" customHeight="1" x14ac:dyDescent="0.25">
      <c r="A103" s="200" t="s">
        <v>1986</v>
      </c>
      <c r="B103" s="201" t="s">
        <v>6262</v>
      </c>
      <c r="C103" s="263" t="s">
        <v>6264</v>
      </c>
      <c r="D103" s="263"/>
      <c r="E103" s="263"/>
      <c r="F103" s="263" t="s">
        <v>6265</v>
      </c>
      <c r="G103" s="263">
        <v>2369</v>
      </c>
      <c r="H103" s="263">
        <v>30</v>
      </c>
      <c r="I103" s="263" t="s">
        <v>1454</v>
      </c>
      <c r="J103" s="202" t="s">
        <v>1454</v>
      </c>
      <c r="K103" s="263" t="s">
        <v>6260</v>
      </c>
      <c r="L103" s="263" t="s">
        <v>1972</v>
      </c>
      <c r="M103" s="4"/>
      <c r="P103" s="346"/>
      <c r="Q103" s="346"/>
      <c r="R103" s="3"/>
      <c r="S103" s="128"/>
    </row>
    <row r="104" spans="1:19" ht="15" customHeight="1" x14ac:dyDescent="0.25">
      <c r="A104" s="45" t="s">
        <v>1986</v>
      </c>
      <c r="B104" s="46" t="s">
        <v>5093</v>
      </c>
      <c r="C104" s="49" t="s">
        <v>7031</v>
      </c>
      <c r="D104" s="46" t="s">
        <v>5097</v>
      </c>
      <c r="E104" s="46" t="s">
        <v>5098</v>
      </c>
      <c r="F104" s="46" t="s">
        <v>5099</v>
      </c>
      <c r="G104" s="46">
        <v>1819</v>
      </c>
      <c r="H104" s="46"/>
      <c r="I104" s="46">
        <v>9198</v>
      </c>
      <c r="J104" s="47">
        <v>65001</v>
      </c>
      <c r="K104" s="46"/>
      <c r="L104" s="46" t="s">
        <v>1972</v>
      </c>
      <c r="M104" s="4"/>
      <c r="P104" s="346"/>
      <c r="Q104" s="346"/>
      <c r="R104" s="3"/>
      <c r="S104" s="128"/>
    </row>
    <row r="105" spans="1:19" ht="15" customHeight="1" x14ac:dyDescent="0.25">
      <c r="A105" s="45" t="s">
        <v>1986</v>
      </c>
      <c r="B105" s="149" t="s">
        <v>7207</v>
      </c>
      <c r="C105" s="252" t="s">
        <v>7214</v>
      </c>
      <c r="D105" s="149" t="s">
        <v>7206</v>
      </c>
      <c r="E105" s="149" t="s">
        <v>7205</v>
      </c>
      <c r="F105" s="149" t="s">
        <v>7204</v>
      </c>
      <c r="G105" s="149">
        <v>1818</v>
      </c>
      <c r="H105" s="149"/>
      <c r="I105" s="149">
        <v>9198</v>
      </c>
      <c r="J105" s="47">
        <v>65001</v>
      </c>
      <c r="K105" s="149"/>
      <c r="L105" s="46" t="s">
        <v>1972</v>
      </c>
      <c r="M105" s="4"/>
      <c r="P105" s="346"/>
      <c r="Q105" s="346"/>
      <c r="R105" s="3"/>
      <c r="S105" s="128"/>
    </row>
    <row r="106" spans="1:19" ht="15" customHeight="1" x14ac:dyDescent="0.25">
      <c r="A106" s="45" t="s">
        <v>1986</v>
      </c>
      <c r="B106" s="149" t="s">
        <v>7203</v>
      </c>
      <c r="C106" s="252" t="s">
        <v>7564</v>
      </c>
      <c r="D106" s="149"/>
      <c r="E106" s="149"/>
      <c r="F106" s="149"/>
      <c r="G106" s="149"/>
      <c r="H106" s="149"/>
      <c r="I106" s="149"/>
      <c r="J106" s="47"/>
      <c r="K106" s="149"/>
      <c r="L106" s="46"/>
      <c r="M106" s="4"/>
      <c r="P106" s="346"/>
      <c r="Q106" s="346"/>
      <c r="R106" s="3"/>
      <c r="S106" s="128"/>
    </row>
    <row r="107" spans="1:19" ht="15" customHeight="1" x14ac:dyDescent="0.25">
      <c r="A107" s="179" t="s">
        <v>4766</v>
      </c>
      <c r="B107" s="180" t="s">
        <v>7212</v>
      </c>
      <c r="C107" s="180" t="s">
        <v>4933</v>
      </c>
      <c r="D107" s="180"/>
      <c r="E107" s="180"/>
      <c r="F107" s="180"/>
      <c r="G107" s="180"/>
      <c r="H107" s="180">
        <v>1896</v>
      </c>
      <c r="I107" s="180"/>
      <c r="J107" s="180"/>
      <c r="K107" s="180"/>
      <c r="L107" s="180" t="s">
        <v>2736</v>
      </c>
      <c r="M107" s="4"/>
      <c r="P107" s="346">
        <v>2800</v>
      </c>
      <c r="Q107" s="345">
        <f>P107*100%/(30000)</f>
        <v>9.3333333333333338E-2</v>
      </c>
      <c r="R107" s="3"/>
      <c r="S107" s="128"/>
    </row>
    <row r="108" spans="1:19" ht="15" customHeight="1" x14ac:dyDescent="0.25">
      <c r="A108" s="179" t="s">
        <v>4766</v>
      </c>
      <c r="B108" s="180" t="s">
        <v>4765</v>
      </c>
      <c r="C108" s="180" t="s">
        <v>7445</v>
      </c>
      <c r="D108" s="180" t="s">
        <v>4470</v>
      </c>
      <c r="E108" s="180" t="s">
        <v>4471</v>
      </c>
      <c r="F108" s="180" t="s">
        <v>4472</v>
      </c>
      <c r="G108" s="180">
        <v>2802</v>
      </c>
      <c r="H108" s="180">
        <v>1896</v>
      </c>
      <c r="I108" s="180">
        <v>9198</v>
      </c>
      <c r="J108" s="181">
        <v>65001</v>
      </c>
      <c r="K108" s="180"/>
      <c r="L108" s="180" t="s">
        <v>2736</v>
      </c>
      <c r="M108" s="4"/>
      <c r="P108" s="346"/>
      <c r="Q108" s="346"/>
      <c r="R108" s="3"/>
      <c r="S108" s="128"/>
    </row>
    <row r="109" spans="1:19" ht="15" customHeight="1" x14ac:dyDescent="0.25">
      <c r="A109" s="179" t="s">
        <v>4766</v>
      </c>
      <c r="B109" s="190" t="s">
        <v>4995</v>
      </c>
      <c r="C109" s="190" t="s">
        <v>7445</v>
      </c>
      <c r="D109" s="190" t="s">
        <v>6349</v>
      </c>
      <c r="E109" s="190" t="s">
        <v>6350</v>
      </c>
      <c r="F109" s="190" t="s">
        <v>6351</v>
      </c>
      <c r="G109" s="190">
        <v>3802</v>
      </c>
      <c r="H109" s="190"/>
      <c r="I109" s="190">
        <v>9198</v>
      </c>
      <c r="J109" s="181">
        <v>65001</v>
      </c>
      <c r="K109" s="190"/>
      <c r="L109" s="180" t="s">
        <v>2736</v>
      </c>
      <c r="M109" s="4"/>
      <c r="P109" s="346"/>
      <c r="Q109" s="346"/>
      <c r="R109" s="3"/>
      <c r="S109" s="128"/>
    </row>
    <row r="110" spans="1:19" ht="15" customHeight="1" x14ac:dyDescent="0.25">
      <c r="A110" s="179" t="s">
        <v>4766</v>
      </c>
      <c r="B110" s="190" t="s">
        <v>4999</v>
      </c>
      <c r="C110" s="190" t="s">
        <v>7445</v>
      </c>
      <c r="D110" s="190" t="s">
        <v>6352</v>
      </c>
      <c r="E110" s="190" t="s">
        <v>6353</v>
      </c>
      <c r="F110" s="190" t="s">
        <v>6354</v>
      </c>
      <c r="G110" s="190">
        <v>3804</v>
      </c>
      <c r="H110" s="190"/>
      <c r="I110" s="190">
        <v>9198</v>
      </c>
      <c r="J110" s="181">
        <v>65001</v>
      </c>
      <c r="K110" s="190"/>
      <c r="L110" s="180" t="s">
        <v>2736</v>
      </c>
      <c r="M110" s="4"/>
      <c r="P110" s="346"/>
      <c r="Q110" s="346"/>
      <c r="R110" s="3"/>
      <c r="S110" s="128"/>
    </row>
    <row r="111" spans="1:19" ht="15" customHeight="1" x14ac:dyDescent="0.25">
      <c r="A111" s="179" t="s">
        <v>4766</v>
      </c>
      <c r="B111" s="190" t="s">
        <v>5003</v>
      </c>
      <c r="C111" s="190" t="s">
        <v>7445</v>
      </c>
      <c r="D111" s="190" t="s">
        <v>6355</v>
      </c>
      <c r="E111" s="190" t="s">
        <v>6356</v>
      </c>
      <c r="F111" s="190" t="s">
        <v>6357</v>
      </c>
      <c r="G111" s="190">
        <v>3806</v>
      </c>
      <c r="H111" s="190"/>
      <c r="I111" s="190">
        <v>9198</v>
      </c>
      <c r="J111" s="181">
        <v>65001</v>
      </c>
      <c r="K111" s="190"/>
      <c r="L111" s="180" t="s">
        <v>2736</v>
      </c>
      <c r="M111" s="4"/>
      <c r="P111" s="346"/>
      <c r="Q111" s="346"/>
      <c r="R111" s="3"/>
      <c r="S111" s="128"/>
    </row>
    <row r="112" spans="1:19" ht="15" customHeight="1" x14ac:dyDescent="0.25">
      <c r="A112" s="179" t="s">
        <v>4766</v>
      </c>
      <c r="B112" s="190" t="s">
        <v>5006</v>
      </c>
      <c r="C112" s="190" t="s">
        <v>7445</v>
      </c>
      <c r="D112" s="190" t="s">
        <v>6358</v>
      </c>
      <c r="E112" s="190" t="s">
        <v>6359</v>
      </c>
      <c r="F112" s="190" t="s">
        <v>6360</v>
      </c>
      <c r="G112" s="190">
        <v>3808</v>
      </c>
      <c r="H112" s="190"/>
      <c r="I112" s="190">
        <v>9198</v>
      </c>
      <c r="J112" s="181">
        <v>65001</v>
      </c>
      <c r="K112" s="190"/>
      <c r="L112" s="180" t="s">
        <v>2736</v>
      </c>
      <c r="M112" s="4"/>
      <c r="P112" s="346"/>
      <c r="Q112" s="346"/>
      <c r="R112" s="3"/>
      <c r="S112" s="128"/>
    </row>
    <row r="113" spans="1:19" ht="15" customHeight="1" x14ac:dyDescent="0.25">
      <c r="A113" s="27" t="s">
        <v>421</v>
      </c>
      <c r="B113" s="20" t="s">
        <v>597</v>
      </c>
      <c r="C113" s="20" t="s">
        <v>677</v>
      </c>
      <c r="D113" s="20" t="s">
        <v>148</v>
      </c>
      <c r="E113" s="20" t="s">
        <v>149</v>
      </c>
      <c r="F113" s="20" t="s">
        <v>150</v>
      </c>
      <c r="G113" s="20">
        <v>2407</v>
      </c>
      <c r="H113" s="20">
        <v>12</v>
      </c>
      <c r="I113" s="20">
        <v>9198</v>
      </c>
      <c r="J113" s="36">
        <v>65001</v>
      </c>
      <c r="K113" s="20"/>
      <c r="L113" s="20" t="s">
        <v>5122</v>
      </c>
      <c r="M113" s="43"/>
      <c r="P113" s="346">
        <v>35515</v>
      </c>
      <c r="Q113" s="345">
        <f>P113*100%/(100000)</f>
        <v>0.35515000000000002</v>
      </c>
      <c r="R113" s="3"/>
      <c r="S113" s="128"/>
    </row>
    <row r="114" spans="1:19" ht="15" customHeight="1" x14ac:dyDescent="0.25">
      <c r="A114" s="21" t="s">
        <v>421</v>
      </c>
      <c r="B114" s="18" t="s">
        <v>198</v>
      </c>
      <c r="C114" s="18" t="s">
        <v>674</v>
      </c>
      <c r="D114" s="18" t="s">
        <v>142</v>
      </c>
      <c r="E114" s="18" t="s">
        <v>143</v>
      </c>
      <c r="F114" s="18" t="s">
        <v>144</v>
      </c>
      <c r="G114" s="18">
        <v>2413</v>
      </c>
      <c r="H114" s="18">
        <v>200</v>
      </c>
      <c r="I114" s="18">
        <v>9198</v>
      </c>
      <c r="J114" s="33">
        <v>65001</v>
      </c>
      <c r="K114" s="18"/>
      <c r="L114" s="18" t="s">
        <v>5122</v>
      </c>
      <c r="M114" s="4"/>
      <c r="P114" s="346"/>
      <c r="Q114" s="346"/>
      <c r="R114" s="3"/>
      <c r="S114" s="128"/>
    </row>
    <row r="115" spans="1:19" ht="15" customHeight="1" x14ac:dyDescent="0.25">
      <c r="A115" s="24" t="s">
        <v>421</v>
      </c>
      <c r="B115" s="14" t="s">
        <v>1431</v>
      </c>
      <c r="C115" s="15" t="s">
        <v>1436</v>
      </c>
      <c r="D115" s="15" t="s">
        <v>1438</v>
      </c>
      <c r="E115" s="15" t="s">
        <v>1522</v>
      </c>
      <c r="F115" s="15" t="s">
        <v>1437</v>
      </c>
      <c r="G115" s="15">
        <v>1287</v>
      </c>
      <c r="H115" s="15">
        <v>300</v>
      </c>
      <c r="I115" s="15">
        <v>9198</v>
      </c>
      <c r="J115" s="32">
        <v>65001</v>
      </c>
      <c r="K115" s="15"/>
      <c r="L115" s="15" t="s">
        <v>5122</v>
      </c>
      <c r="M115" s="4"/>
      <c r="P115" s="346"/>
      <c r="Q115" s="346"/>
      <c r="R115" s="3"/>
      <c r="S115" s="128"/>
    </row>
    <row r="116" spans="1:19" ht="15" customHeight="1" x14ac:dyDescent="0.25">
      <c r="A116" s="22" t="s">
        <v>421</v>
      </c>
      <c r="B116" s="16" t="s">
        <v>34</v>
      </c>
      <c r="C116" s="16" t="s">
        <v>678</v>
      </c>
      <c r="D116" s="16" t="s">
        <v>188</v>
      </c>
      <c r="E116" s="16" t="s">
        <v>187</v>
      </c>
      <c r="F116" s="16" t="s">
        <v>186</v>
      </c>
      <c r="G116" s="16">
        <v>2416</v>
      </c>
      <c r="H116" s="16">
        <v>2441</v>
      </c>
      <c r="I116" s="16">
        <v>9198</v>
      </c>
      <c r="J116" s="30">
        <v>65001</v>
      </c>
      <c r="K116" s="16"/>
      <c r="L116" s="16" t="s">
        <v>5122</v>
      </c>
      <c r="M116" s="4"/>
      <c r="P116" s="346"/>
      <c r="Q116" s="346"/>
      <c r="R116" s="3"/>
      <c r="S116" s="128"/>
    </row>
    <row r="117" spans="1:19" ht="15" customHeight="1" x14ac:dyDescent="0.25">
      <c r="A117" s="28" t="s">
        <v>421</v>
      </c>
      <c r="B117" s="9" t="s">
        <v>249</v>
      </c>
      <c r="C117" s="10" t="s">
        <v>679</v>
      </c>
      <c r="D117" s="9" t="s">
        <v>328</v>
      </c>
      <c r="E117" s="9" t="s">
        <v>329</v>
      </c>
      <c r="F117" s="9" t="s">
        <v>327</v>
      </c>
      <c r="G117" s="9">
        <v>2418</v>
      </c>
      <c r="H117" s="9">
        <v>23</v>
      </c>
      <c r="I117" s="9">
        <v>9198</v>
      </c>
      <c r="J117" s="37">
        <v>65001</v>
      </c>
      <c r="K117" s="9"/>
      <c r="L117" s="9" t="s">
        <v>5122</v>
      </c>
      <c r="M117" s="4"/>
      <c r="P117" s="346"/>
      <c r="Q117" s="346"/>
      <c r="R117" s="3"/>
      <c r="S117" s="128"/>
    </row>
    <row r="118" spans="1:19" ht="15" customHeight="1" x14ac:dyDescent="0.25">
      <c r="A118" s="45" t="s">
        <v>421</v>
      </c>
      <c r="B118" s="46" t="s">
        <v>1014</v>
      </c>
      <c r="C118" s="49" t="s">
        <v>1145</v>
      </c>
      <c r="D118" s="46" t="s">
        <v>1046</v>
      </c>
      <c r="E118" s="46" t="s">
        <v>1044</v>
      </c>
      <c r="F118" s="46" t="s">
        <v>1045</v>
      </c>
      <c r="G118" s="46">
        <v>2419</v>
      </c>
      <c r="H118" s="46">
        <v>1427</v>
      </c>
      <c r="I118" s="46">
        <v>9198</v>
      </c>
      <c r="J118" s="47">
        <v>65001</v>
      </c>
      <c r="K118" s="46" t="s">
        <v>428</v>
      </c>
      <c r="L118" s="46" t="s">
        <v>5122</v>
      </c>
      <c r="M118" s="4"/>
      <c r="P118" s="346"/>
      <c r="Q118" s="346"/>
      <c r="R118" s="3"/>
      <c r="S118" s="128"/>
    </row>
    <row r="119" spans="1:19" ht="15" customHeight="1" x14ac:dyDescent="0.25">
      <c r="A119" s="45" t="s">
        <v>421</v>
      </c>
      <c r="B119" s="46" t="s">
        <v>2623</v>
      </c>
      <c r="C119" s="49" t="s">
        <v>2666</v>
      </c>
      <c r="D119" s="46" t="s">
        <v>2624</v>
      </c>
      <c r="E119" s="46" t="s">
        <v>2625</v>
      </c>
      <c r="F119" s="46" t="s">
        <v>2626</v>
      </c>
      <c r="G119" s="46">
        <v>1365</v>
      </c>
      <c r="H119" s="46">
        <v>600</v>
      </c>
      <c r="I119" s="46">
        <v>9198</v>
      </c>
      <c r="J119" s="47">
        <v>65001</v>
      </c>
      <c r="K119" s="46" t="s">
        <v>428</v>
      </c>
      <c r="L119" s="46" t="s">
        <v>5122</v>
      </c>
      <c r="M119" s="4"/>
      <c r="P119" s="346"/>
      <c r="Q119" s="346"/>
      <c r="R119" s="3"/>
      <c r="S119" s="128"/>
    </row>
    <row r="120" spans="1:19" ht="15" customHeight="1" x14ac:dyDescent="0.25">
      <c r="A120" s="51" t="s">
        <v>421</v>
      </c>
      <c r="B120" s="52" t="s">
        <v>4</v>
      </c>
      <c r="C120" s="52" t="s">
        <v>1083</v>
      </c>
      <c r="D120" s="52" t="s">
        <v>1081</v>
      </c>
      <c r="E120" s="52" t="s">
        <v>1080</v>
      </c>
      <c r="F120" s="52" t="s">
        <v>1082</v>
      </c>
      <c r="G120" s="52">
        <v>2412</v>
      </c>
      <c r="H120" s="52">
        <v>1000</v>
      </c>
      <c r="I120" s="52">
        <v>9198</v>
      </c>
      <c r="J120" s="53">
        <v>65001</v>
      </c>
      <c r="K120" s="52"/>
      <c r="L120" s="52" t="s">
        <v>5122</v>
      </c>
      <c r="M120" s="4"/>
      <c r="P120" s="346"/>
      <c r="Q120" s="346"/>
      <c r="R120" s="3"/>
      <c r="S120" s="128"/>
    </row>
    <row r="121" spans="1:19" ht="15" customHeight="1" x14ac:dyDescent="0.25">
      <c r="A121" s="45" t="s">
        <v>421</v>
      </c>
      <c r="B121" s="46" t="s">
        <v>1018</v>
      </c>
      <c r="C121" s="46" t="s">
        <v>1271</v>
      </c>
      <c r="D121" s="46" t="s">
        <v>1022</v>
      </c>
      <c r="E121" s="46" t="s">
        <v>1023</v>
      </c>
      <c r="F121" s="46" t="s">
        <v>1024</v>
      </c>
      <c r="G121" s="46">
        <v>2420</v>
      </c>
      <c r="H121" s="46">
        <v>300</v>
      </c>
      <c r="I121" s="46">
        <v>9198</v>
      </c>
      <c r="J121" s="47">
        <v>65001</v>
      </c>
      <c r="K121" s="46"/>
      <c r="L121" s="46" t="s">
        <v>5122</v>
      </c>
      <c r="M121" s="4"/>
      <c r="P121" s="346"/>
      <c r="Q121" s="346"/>
      <c r="R121" s="3"/>
      <c r="S121" s="128"/>
    </row>
    <row r="122" spans="1:19" ht="15" customHeight="1" x14ac:dyDescent="0.25">
      <c r="A122" s="66" t="s">
        <v>421</v>
      </c>
      <c r="B122" s="67" t="s">
        <v>35</v>
      </c>
      <c r="C122" s="67" t="s">
        <v>675</v>
      </c>
      <c r="D122" s="67" t="s">
        <v>151</v>
      </c>
      <c r="E122" s="67" t="s">
        <v>152</v>
      </c>
      <c r="F122" s="67" t="s">
        <v>153</v>
      </c>
      <c r="G122" s="67">
        <v>2414</v>
      </c>
      <c r="H122" s="67">
        <v>870</v>
      </c>
      <c r="I122" s="67">
        <v>9198</v>
      </c>
      <c r="J122" s="68">
        <v>65001</v>
      </c>
      <c r="K122" s="67"/>
      <c r="L122" s="67" t="s">
        <v>5122</v>
      </c>
      <c r="M122" s="4"/>
      <c r="P122" s="346"/>
      <c r="Q122" s="346"/>
      <c r="R122" s="3"/>
      <c r="S122" s="128"/>
    </row>
    <row r="123" spans="1:19" ht="15" customHeight="1" x14ac:dyDescent="0.25">
      <c r="A123" s="45" t="s">
        <v>421</v>
      </c>
      <c r="B123" s="46" t="s">
        <v>1109</v>
      </c>
      <c r="C123" s="49" t="s">
        <v>1511</v>
      </c>
      <c r="D123" s="46" t="s">
        <v>1510</v>
      </c>
      <c r="E123" s="46" t="s">
        <v>1509</v>
      </c>
      <c r="F123" s="46" t="s">
        <v>1508</v>
      </c>
      <c r="G123" s="46">
        <v>2421</v>
      </c>
      <c r="H123" s="46">
        <v>2</v>
      </c>
      <c r="I123" s="46">
        <v>9198</v>
      </c>
      <c r="J123" s="47">
        <v>65001</v>
      </c>
      <c r="K123" s="46"/>
      <c r="L123" s="46" t="s">
        <v>5122</v>
      </c>
      <c r="M123" s="4"/>
      <c r="P123" s="346"/>
      <c r="Q123" s="346"/>
      <c r="R123" s="3"/>
      <c r="S123" s="128"/>
    </row>
    <row r="124" spans="1:19" ht="15" customHeight="1" x14ac:dyDescent="0.25">
      <c r="A124" s="45" t="s">
        <v>421</v>
      </c>
      <c r="B124" s="46" t="s">
        <v>2318</v>
      </c>
      <c r="C124" s="46" t="s">
        <v>2332</v>
      </c>
      <c r="D124" s="46" t="s">
        <v>2319</v>
      </c>
      <c r="E124" s="46" t="s">
        <v>2320</v>
      </c>
      <c r="F124" s="46" t="s">
        <v>2321</v>
      </c>
      <c r="G124" s="46">
        <v>2544</v>
      </c>
      <c r="H124" s="46">
        <v>200</v>
      </c>
      <c r="I124" s="46">
        <v>9198</v>
      </c>
      <c r="J124" s="47">
        <v>65001</v>
      </c>
      <c r="K124" s="46"/>
      <c r="L124" s="46" t="s">
        <v>5122</v>
      </c>
      <c r="M124" s="4"/>
      <c r="P124" s="346"/>
      <c r="Q124" s="346"/>
      <c r="R124" s="3"/>
      <c r="S124" s="128"/>
    </row>
    <row r="125" spans="1:19" ht="15" customHeight="1" x14ac:dyDescent="0.25">
      <c r="A125" s="45" t="s">
        <v>421</v>
      </c>
      <c r="B125" s="46" t="s">
        <v>1134</v>
      </c>
      <c r="C125" s="46" t="s">
        <v>2522</v>
      </c>
      <c r="D125" s="46" t="s">
        <v>2516</v>
      </c>
      <c r="E125" s="46" t="s">
        <v>2517</v>
      </c>
      <c r="F125" s="46" t="s">
        <v>2518</v>
      </c>
      <c r="G125" s="46">
        <v>2424</v>
      </c>
      <c r="H125" s="46">
        <v>20</v>
      </c>
      <c r="I125" s="46">
        <v>9198</v>
      </c>
      <c r="J125" s="47">
        <v>65001</v>
      </c>
      <c r="K125" s="46"/>
      <c r="L125" s="46" t="s">
        <v>5122</v>
      </c>
      <c r="M125" s="4"/>
      <c r="P125" s="346"/>
      <c r="Q125" s="346"/>
      <c r="R125" s="3"/>
      <c r="S125" s="128"/>
    </row>
    <row r="126" spans="1:19" ht="15" customHeight="1" x14ac:dyDescent="0.25">
      <c r="A126" s="45" t="s">
        <v>421</v>
      </c>
      <c r="B126" s="46" t="s">
        <v>3026</v>
      </c>
      <c r="C126" s="49" t="s">
        <v>3047</v>
      </c>
      <c r="D126" s="46" t="s">
        <v>3030</v>
      </c>
      <c r="E126" s="46" t="s">
        <v>3031</v>
      </c>
      <c r="F126" s="46" t="s">
        <v>3032</v>
      </c>
      <c r="G126" s="46">
        <v>2718</v>
      </c>
      <c r="H126" s="46">
        <v>20</v>
      </c>
      <c r="I126" s="46">
        <v>9198</v>
      </c>
      <c r="J126" s="47">
        <v>65001</v>
      </c>
      <c r="K126" s="46"/>
      <c r="L126" s="46" t="s">
        <v>5122</v>
      </c>
      <c r="M126" s="4"/>
      <c r="P126" s="346"/>
      <c r="Q126" s="346"/>
      <c r="R126" s="3"/>
      <c r="S126" s="128"/>
    </row>
    <row r="127" spans="1:19" ht="15" customHeight="1" x14ac:dyDescent="0.25">
      <c r="A127" s="25" t="s">
        <v>421</v>
      </c>
      <c r="B127" s="7" t="s">
        <v>11</v>
      </c>
      <c r="C127" s="7" t="s">
        <v>676</v>
      </c>
      <c r="D127" s="7" t="s">
        <v>145</v>
      </c>
      <c r="E127" s="7" t="s">
        <v>146</v>
      </c>
      <c r="F127" s="7" t="s">
        <v>147</v>
      </c>
      <c r="G127" s="7">
        <v>2417</v>
      </c>
      <c r="H127" s="7">
        <v>26906</v>
      </c>
      <c r="I127" s="7">
        <v>9198</v>
      </c>
      <c r="J127" s="34">
        <v>65001</v>
      </c>
      <c r="K127" s="7" t="s">
        <v>433</v>
      </c>
      <c r="L127" s="55" t="s">
        <v>5122</v>
      </c>
      <c r="M127" s="4"/>
      <c r="P127" s="346"/>
      <c r="Q127" s="346"/>
      <c r="R127" s="3"/>
      <c r="S127" s="128"/>
    </row>
    <row r="128" spans="1:19" ht="15" customHeight="1" x14ac:dyDescent="0.25">
      <c r="A128" s="153" t="s">
        <v>421</v>
      </c>
      <c r="B128" s="154" t="s">
        <v>3781</v>
      </c>
      <c r="C128" s="154" t="s">
        <v>4051</v>
      </c>
      <c r="D128" s="154" t="s">
        <v>3782</v>
      </c>
      <c r="E128" s="154" t="s">
        <v>3783</v>
      </c>
      <c r="F128" s="154" t="s">
        <v>3784</v>
      </c>
      <c r="G128" s="154">
        <v>2408</v>
      </c>
      <c r="H128" s="154">
        <v>100</v>
      </c>
      <c r="I128" s="154">
        <v>9198</v>
      </c>
      <c r="J128" s="155">
        <v>65001</v>
      </c>
      <c r="K128" s="154"/>
      <c r="L128" s="154" t="s">
        <v>5122</v>
      </c>
      <c r="M128" s="4"/>
      <c r="P128" s="346"/>
      <c r="Q128" s="346"/>
      <c r="R128" s="3"/>
      <c r="S128" s="128"/>
    </row>
    <row r="129" spans="1:19" ht="15" customHeight="1" x14ac:dyDescent="0.25">
      <c r="A129" s="225" t="s">
        <v>421</v>
      </c>
      <c r="B129" s="226" t="s">
        <v>4946</v>
      </c>
      <c r="C129" s="226" t="s">
        <v>6045</v>
      </c>
      <c r="D129" s="226" t="s">
        <v>4947</v>
      </c>
      <c r="E129" s="226" t="s">
        <v>4948</v>
      </c>
      <c r="F129" s="226" t="s">
        <v>4949</v>
      </c>
      <c r="G129" s="226">
        <v>2572</v>
      </c>
      <c r="H129" s="226">
        <v>1000</v>
      </c>
      <c r="I129" s="226">
        <v>9198</v>
      </c>
      <c r="J129" s="227">
        <v>65001</v>
      </c>
      <c r="K129" s="226"/>
      <c r="L129" s="226" t="s">
        <v>5122</v>
      </c>
      <c r="M129" s="4"/>
      <c r="P129" s="346"/>
      <c r="Q129" s="346"/>
      <c r="R129" s="146" t="s">
        <v>5183</v>
      </c>
      <c r="S129" s="128"/>
    </row>
    <row r="130" spans="1:19" ht="15" customHeight="1" x14ac:dyDescent="0.25">
      <c r="A130" s="225" t="s">
        <v>421</v>
      </c>
      <c r="B130" s="226" t="s">
        <v>5143</v>
      </c>
      <c r="C130" s="226" t="s">
        <v>6110</v>
      </c>
      <c r="D130" s="226" t="s">
        <v>5144</v>
      </c>
      <c r="E130" s="226" t="s">
        <v>5145</v>
      </c>
      <c r="F130" s="226" t="s">
        <v>5146</v>
      </c>
      <c r="G130" s="226">
        <v>2406</v>
      </c>
      <c r="H130" s="226">
        <v>200</v>
      </c>
      <c r="I130" s="226">
        <v>9198</v>
      </c>
      <c r="J130" s="227">
        <v>65001</v>
      </c>
      <c r="K130" s="226"/>
      <c r="L130" s="226" t="s">
        <v>5122</v>
      </c>
      <c r="M130" s="4"/>
      <c r="P130" s="346"/>
      <c r="Q130" s="346"/>
      <c r="R130" s="3"/>
      <c r="S130" s="128"/>
    </row>
    <row r="131" spans="1:19" ht="15" customHeight="1" x14ac:dyDescent="0.25">
      <c r="A131" s="45" t="s">
        <v>421</v>
      </c>
      <c r="B131" s="149" t="s">
        <v>5418</v>
      </c>
      <c r="C131" s="252" t="s">
        <v>6105</v>
      </c>
      <c r="D131" s="149" t="s">
        <v>5422</v>
      </c>
      <c r="E131" s="149" t="s">
        <v>5423</v>
      </c>
      <c r="F131" s="149" t="s">
        <v>5424</v>
      </c>
      <c r="G131" s="149">
        <v>2427</v>
      </c>
      <c r="H131" s="149">
        <v>70</v>
      </c>
      <c r="I131" s="149">
        <v>9198</v>
      </c>
      <c r="J131" s="47">
        <v>65001</v>
      </c>
      <c r="K131" s="149"/>
      <c r="L131" s="149" t="s">
        <v>5122</v>
      </c>
      <c r="M131" s="4"/>
      <c r="P131" s="346"/>
      <c r="Q131" s="346"/>
      <c r="R131" s="3"/>
      <c r="S131" s="128"/>
    </row>
    <row r="132" spans="1:19" ht="15" customHeight="1" x14ac:dyDescent="0.25">
      <c r="A132" s="179" t="s">
        <v>4935</v>
      </c>
      <c r="B132" s="180" t="s">
        <v>7212</v>
      </c>
      <c r="C132" s="180" t="s">
        <v>4934</v>
      </c>
      <c r="D132" s="180"/>
      <c r="E132" s="180"/>
      <c r="F132" s="180"/>
      <c r="G132" s="180"/>
      <c r="H132" s="328">
        <v>41735</v>
      </c>
      <c r="I132" s="180"/>
      <c r="J132" s="180"/>
      <c r="K132" s="180"/>
      <c r="L132" s="180" t="s">
        <v>7225</v>
      </c>
      <c r="M132" s="4"/>
      <c r="P132" s="346">
        <v>58135</v>
      </c>
      <c r="Q132" s="345">
        <f>P132*100%/(50000)</f>
        <v>1.1627000000000001</v>
      </c>
      <c r="R132" s="3"/>
      <c r="S132" s="128"/>
    </row>
    <row r="133" spans="1:19" ht="15" customHeight="1" x14ac:dyDescent="0.25">
      <c r="A133" s="179" t="s">
        <v>4935</v>
      </c>
      <c r="B133" s="180" t="s">
        <v>4765</v>
      </c>
      <c r="C133" s="180" t="s">
        <v>7446</v>
      </c>
      <c r="D133" s="180" t="s">
        <v>1445</v>
      </c>
      <c r="E133" s="180" t="s">
        <v>1446</v>
      </c>
      <c r="F133" s="180" t="s">
        <v>1447</v>
      </c>
      <c r="G133" s="180">
        <v>2801</v>
      </c>
      <c r="H133" s="180">
        <v>41365</v>
      </c>
      <c r="I133" s="180">
        <v>9198</v>
      </c>
      <c r="J133" s="181">
        <v>65001</v>
      </c>
      <c r="K133" s="180"/>
      <c r="L133" s="180" t="s">
        <v>7225</v>
      </c>
      <c r="M133" s="4"/>
      <c r="P133" s="346"/>
      <c r="Q133" s="346"/>
      <c r="R133" s="3"/>
      <c r="S133" s="128"/>
    </row>
    <row r="134" spans="1:19" ht="15" customHeight="1" x14ac:dyDescent="0.25">
      <c r="A134" s="179" t="s">
        <v>4935</v>
      </c>
      <c r="B134" s="180" t="s">
        <v>4995</v>
      </c>
      <c r="C134" s="180" t="s">
        <v>7446</v>
      </c>
      <c r="D134" s="180" t="s">
        <v>4996</v>
      </c>
      <c r="E134" s="180" t="s">
        <v>4997</v>
      </c>
      <c r="F134" s="180" t="s">
        <v>4998</v>
      </c>
      <c r="G134" s="180">
        <v>3801</v>
      </c>
      <c r="H134" s="180">
        <v>4</v>
      </c>
      <c r="I134" s="180">
        <v>9198</v>
      </c>
      <c r="J134" s="181">
        <v>65001</v>
      </c>
      <c r="K134" s="180"/>
      <c r="L134" s="180" t="s">
        <v>7225</v>
      </c>
      <c r="M134" s="4"/>
      <c r="P134" s="346"/>
      <c r="Q134" s="346"/>
      <c r="R134" s="3"/>
      <c r="S134" s="128"/>
    </row>
    <row r="135" spans="1:19" ht="15" customHeight="1" x14ac:dyDescent="0.25">
      <c r="A135" s="179" t="s">
        <v>4935</v>
      </c>
      <c r="B135" s="180" t="s">
        <v>4999</v>
      </c>
      <c r="C135" s="180" t="s">
        <v>7446</v>
      </c>
      <c r="D135" s="180" t="s">
        <v>5000</v>
      </c>
      <c r="E135" s="180" t="s">
        <v>5001</v>
      </c>
      <c r="F135" s="180" t="s">
        <v>5002</v>
      </c>
      <c r="G135" s="180">
        <v>3803</v>
      </c>
      <c r="H135" s="180">
        <v>30</v>
      </c>
      <c r="I135" s="180">
        <v>9198</v>
      </c>
      <c r="J135" s="181">
        <v>65001</v>
      </c>
      <c r="K135" s="180"/>
      <c r="L135" s="180" t="s">
        <v>7225</v>
      </c>
      <c r="M135" s="4"/>
      <c r="P135" s="346"/>
      <c r="Q135" s="346"/>
      <c r="R135" s="3"/>
      <c r="S135" s="128"/>
    </row>
    <row r="136" spans="1:19" ht="15" customHeight="1" x14ac:dyDescent="0.25">
      <c r="A136" s="179" t="s">
        <v>4935</v>
      </c>
      <c r="B136" s="180" t="s">
        <v>5003</v>
      </c>
      <c r="C136" s="180" t="s">
        <v>7446</v>
      </c>
      <c r="D136" s="180" t="s">
        <v>5004</v>
      </c>
      <c r="E136" s="180" t="s">
        <v>5004</v>
      </c>
      <c r="F136" s="180" t="s">
        <v>5005</v>
      </c>
      <c r="G136" s="180">
        <v>3805</v>
      </c>
      <c r="H136" s="180">
        <v>1</v>
      </c>
      <c r="I136" s="180">
        <v>9198</v>
      </c>
      <c r="J136" s="181">
        <v>65001</v>
      </c>
      <c r="K136" s="180"/>
      <c r="L136" s="180" t="s">
        <v>7225</v>
      </c>
      <c r="M136" s="4"/>
      <c r="P136" s="346"/>
      <c r="Q136" s="346"/>
      <c r="R136" s="3"/>
      <c r="S136" s="128"/>
    </row>
    <row r="137" spans="1:19" ht="15" customHeight="1" x14ac:dyDescent="0.25">
      <c r="A137" s="179" t="s">
        <v>4935</v>
      </c>
      <c r="B137" s="180" t="s">
        <v>5006</v>
      </c>
      <c r="C137" s="180" t="s">
        <v>7446</v>
      </c>
      <c r="D137" s="180" t="s">
        <v>5007</v>
      </c>
      <c r="E137" s="180" t="s">
        <v>5008</v>
      </c>
      <c r="F137" s="180" t="s">
        <v>5009</v>
      </c>
      <c r="G137" s="180">
        <v>3807</v>
      </c>
      <c r="H137" s="180">
        <v>100</v>
      </c>
      <c r="I137" s="180">
        <v>9198</v>
      </c>
      <c r="J137" s="181">
        <v>65001</v>
      </c>
      <c r="K137" s="180"/>
      <c r="L137" s="180" t="s">
        <v>7225</v>
      </c>
      <c r="M137" s="4"/>
      <c r="P137" s="346"/>
      <c r="Q137" s="346"/>
      <c r="R137" s="3"/>
      <c r="S137" s="128"/>
    </row>
    <row r="138" spans="1:19" ht="15" customHeight="1" x14ac:dyDescent="0.25">
      <c r="A138" s="27" t="s">
        <v>5299</v>
      </c>
      <c r="B138" s="20" t="s">
        <v>597</v>
      </c>
      <c r="C138" s="20" t="s">
        <v>6029</v>
      </c>
      <c r="D138" s="20" t="s">
        <v>5300</v>
      </c>
      <c r="E138" s="20" t="s">
        <v>5301</v>
      </c>
      <c r="F138" s="20" t="s">
        <v>5302</v>
      </c>
      <c r="G138" s="20">
        <v>2407</v>
      </c>
      <c r="H138" s="20">
        <v>12</v>
      </c>
      <c r="I138" s="20">
        <v>9198</v>
      </c>
      <c r="J138" s="36">
        <v>65001</v>
      </c>
      <c r="K138" s="20"/>
      <c r="L138" s="20" t="s">
        <v>5122</v>
      </c>
      <c r="M138" s="4"/>
      <c r="P138" s="346">
        <v>34898</v>
      </c>
      <c r="Q138" s="345">
        <f>P138*100%/(100000)</f>
        <v>0.34898000000000001</v>
      </c>
    </row>
    <row r="139" spans="1:19" ht="14.1" customHeight="1" x14ac:dyDescent="0.25">
      <c r="A139" s="21" t="s">
        <v>5299</v>
      </c>
      <c r="B139" s="18" t="s">
        <v>198</v>
      </c>
      <c r="C139" s="18" t="s">
        <v>6030</v>
      </c>
      <c r="D139" s="18" t="s">
        <v>5303</v>
      </c>
      <c r="E139" s="18" t="s">
        <v>5304</v>
      </c>
      <c r="F139" s="18" t="s">
        <v>5305</v>
      </c>
      <c r="G139" s="18">
        <v>2413</v>
      </c>
      <c r="H139" s="18">
        <v>200</v>
      </c>
      <c r="I139" s="18">
        <v>9198</v>
      </c>
      <c r="J139" s="33">
        <v>65001</v>
      </c>
      <c r="K139" s="18"/>
      <c r="L139" s="18" t="s">
        <v>5122</v>
      </c>
      <c r="M139" s="4"/>
      <c r="P139" s="346"/>
      <c r="Q139" s="346"/>
    </row>
    <row r="140" spans="1:19" ht="15" customHeight="1" x14ac:dyDescent="0.25">
      <c r="A140" s="24" t="s">
        <v>5299</v>
      </c>
      <c r="B140" s="14" t="s">
        <v>1431</v>
      </c>
      <c r="C140" s="15" t="s">
        <v>6031</v>
      </c>
      <c r="D140" s="15" t="s">
        <v>5306</v>
      </c>
      <c r="E140" s="15" t="s">
        <v>5314</v>
      </c>
      <c r="F140" s="15" t="s">
        <v>5322</v>
      </c>
      <c r="G140" s="15">
        <v>1287</v>
      </c>
      <c r="H140" s="15">
        <v>300</v>
      </c>
      <c r="I140" s="15">
        <v>9198</v>
      </c>
      <c r="J140" s="32">
        <v>65001</v>
      </c>
      <c r="K140" s="15"/>
      <c r="L140" s="15" t="s">
        <v>5122</v>
      </c>
      <c r="M140" s="4"/>
      <c r="P140" s="346"/>
      <c r="Q140" s="346"/>
    </row>
    <row r="141" spans="1:19" ht="15" customHeight="1" x14ac:dyDescent="0.25">
      <c r="A141" s="22" t="s">
        <v>5299</v>
      </c>
      <c r="B141" s="16" t="s">
        <v>34</v>
      </c>
      <c r="C141" s="16" t="s">
        <v>6032</v>
      </c>
      <c r="D141" s="16" t="s">
        <v>5307</v>
      </c>
      <c r="E141" s="16" t="s">
        <v>5315</v>
      </c>
      <c r="F141" s="16" t="s">
        <v>5323</v>
      </c>
      <c r="G141" s="16">
        <v>2416</v>
      </c>
      <c r="H141" s="16">
        <v>2441</v>
      </c>
      <c r="I141" s="16">
        <v>9198</v>
      </c>
      <c r="J141" s="30">
        <v>65001</v>
      </c>
      <c r="K141" s="16"/>
      <c r="L141" s="16" t="s">
        <v>5122</v>
      </c>
      <c r="M141" s="4"/>
      <c r="P141" s="346"/>
      <c r="Q141" s="346"/>
    </row>
    <row r="142" spans="1:19" ht="15" customHeight="1" x14ac:dyDescent="0.25">
      <c r="A142" s="28" t="s">
        <v>5299</v>
      </c>
      <c r="B142" s="9" t="s">
        <v>249</v>
      </c>
      <c r="C142" s="10" t="s">
        <v>6033</v>
      </c>
      <c r="D142" s="9" t="s">
        <v>5308</v>
      </c>
      <c r="E142" s="9" t="s">
        <v>5316</v>
      </c>
      <c r="F142" s="9" t="s">
        <v>5324</v>
      </c>
      <c r="G142" s="9">
        <v>2418</v>
      </c>
      <c r="H142" s="9">
        <v>17</v>
      </c>
      <c r="I142" s="9">
        <v>9198</v>
      </c>
      <c r="J142" s="37">
        <v>65001</v>
      </c>
      <c r="K142" s="9"/>
      <c r="L142" s="9" t="s">
        <v>5122</v>
      </c>
      <c r="M142" s="4"/>
      <c r="P142" s="346"/>
      <c r="Q142" s="346"/>
    </row>
    <row r="143" spans="1:19" ht="15" customHeight="1" x14ac:dyDescent="0.25">
      <c r="A143" s="45" t="s">
        <v>5299</v>
      </c>
      <c r="B143" s="46" t="s">
        <v>1014</v>
      </c>
      <c r="C143" s="49" t="s">
        <v>6034</v>
      </c>
      <c r="D143" s="46" t="s">
        <v>5309</v>
      </c>
      <c r="E143" s="46" t="s">
        <v>5317</v>
      </c>
      <c r="F143" s="46" t="s">
        <v>5325</v>
      </c>
      <c r="G143" s="46">
        <v>2419</v>
      </c>
      <c r="H143" s="46">
        <v>1427</v>
      </c>
      <c r="I143" s="46">
        <v>9198</v>
      </c>
      <c r="J143" s="47">
        <v>65001</v>
      </c>
      <c r="K143" s="46" t="s">
        <v>428</v>
      </c>
      <c r="L143" s="46" t="s">
        <v>5122</v>
      </c>
      <c r="M143" s="4"/>
      <c r="P143" s="346"/>
      <c r="Q143" s="346"/>
    </row>
    <row r="144" spans="1:19" ht="15" customHeight="1" x14ac:dyDescent="0.25">
      <c r="A144" s="45" t="s">
        <v>5299</v>
      </c>
      <c r="B144" s="46" t="s">
        <v>2623</v>
      </c>
      <c r="C144" s="49" t="s">
        <v>6035</v>
      </c>
      <c r="D144" s="46" t="s">
        <v>5310</v>
      </c>
      <c r="E144" s="46" t="s">
        <v>5318</v>
      </c>
      <c r="F144" s="46" t="s">
        <v>5326</v>
      </c>
      <c r="G144" s="46">
        <v>1365</v>
      </c>
      <c r="H144" s="46">
        <v>600</v>
      </c>
      <c r="I144" s="46">
        <v>9198</v>
      </c>
      <c r="J144" s="47">
        <v>65001</v>
      </c>
      <c r="K144" s="46" t="s">
        <v>428</v>
      </c>
      <c r="L144" s="46" t="s">
        <v>5122</v>
      </c>
      <c r="M144" s="4"/>
      <c r="P144" s="346"/>
      <c r="Q144" s="346"/>
    </row>
    <row r="145" spans="1:19" ht="15" customHeight="1" x14ac:dyDescent="0.25">
      <c r="A145" s="51" t="s">
        <v>5299</v>
      </c>
      <c r="B145" s="52" t="s">
        <v>4</v>
      </c>
      <c r="C145" s="52" t="s">
        <v>6036</v>
      </c>
      <c r="D145" s="52" t="s">
        <v>5311</v>
      </c>
      <c r="E145" s="52" t="s">
        <v>5319</v>
      </c>
      <c r="F145" s="52" t="s">
        <v>5327</v>
      </c>
      <c r="G145" s="52">
        <v>2412</v>
      </c>
      <c r="H145" s="52">
        <v>1000</v>
      </c>
      <c r="I145" s="52">
        <v>9198</v>
      </c>
      <c r="J145" s="53">
        <v>65001</v>
      </c>
      <c r="K145" s="52"/>
      <c r="L145" s="52" t="s">
        <v>5122</v>
      </c>
      <c r="M145" s="4"/>
      <c r="P145" s="346"/>
      <c r="Q145" s="346"/>
    </row>
    <row r="146" spans="1:19" ht="15" customHeight="1" x14ac:dyDescent="0.25">
      <c r="A146" s="45" t="s">
        <v>5299</v>
      </c>
      <c r="B146" s="46" t="s">
        <v>1018</v>
      </c>
      <c r="C146" s="46" t="s">
        <v>6037</v>
      </c>
      <c r="D146" s="46" t="s">
        <v>5312</v>
      </c>
      <c r="E146" s="46" t="s">
        <v>5320</v>
      </c>
      <c r="F146" s="46" t="s">
        <v>5328</v>
      </c>
      <c r="G146" s="46">
        <v>2420</v>
      </c>
      <c r="H146" s="46">
        <v>300</v>
      </c>
      <c r="I146" s="46">
        <v>9198</v>
      </c>
      <c r="J146" s="47">
        <v>65001</v>
      </c>
      <c r="K146" s="46"/>
      <c r="L146" s="46" t="s">
        <v>5122</v>
      </c>
      <c r="M146" s="4"/>
      <c r="P146" s="346"/>
      <c r="Q146" s="346"/>
    </row>
    <row r="147" spans="1:19" ht="15" customHeight="1" x14ac:dyDescent="0.25">
      <c r="A147" s="66" t="s">
        <v>5299</v>
      </c>
      <c r="B147" s="67" t="s">
        <v>35</v>
      </c>
      <c r="C147" s="67" t="s">
        <v>6038</v>
      </c>
      <c r="D147" s="67" t="s">
        <v>5313</v>
      </c>
      <c r="E147" s="67" t="s">
        <v>5321</v>
      </c>
      <c r="F147" s="67" t="s">
        <v>5329</v>
      </c>
      <c r="G147" s="67">
        <v>2414</v>
      </c>
      <c r="H147" s="67">
        <v>870</v>
      </c>
      <c r="I147" s="67">
        <v>9198</v>
      </c>
      <c r="J147" s="68">
        <v>65001</v>
      </c>
      <c r="K147" s="67"/>
      <c r="L147" s="67" t="s">
        <v>5122</v>
      </c>
      <c r="M147" s="4"/>
      <c r="P147" s="346"/>
      <c r="Q147" s="346"/>
    </row>
    <row r="148" spans="1:19" ht="15" customHeight="1" x14ac:dyDescent="0.25">
      <c r="A148" s="45" t="s">
        <v>5299</v>
      </c>
      <c r="B148" s="46" t="s">
        <v>1109</v>
      </c>
      <c r="C148" s="49" t="s">
        <v>6039</v>
      </c>
      <c r="D148" s="46" t="s">
        <v>5333</v>
      </c>
      <c r="E148" s="46" t="s">
        <v>5334</v>
      </c>
      <c r="F148" s="46" t="s">
        <v>5335</v>
      </c>
      <c r="G148" s="46">
        <v>2421</v>
      </c>
      <c r="H148" s="46">
        <v>2</v>
      </c>
      <c r="I148" s="46">
        <v>9198</v>
      </c>
      <c r="J148" s="47">
        <v>65001</v>
      </c>
      <c r="K148" s="46"/>
      <c r="L148" s="46" t="s">
        <v>5122</v>
      </c>
      <c r="M148" s="4"/>
      <c r="P148" s="346"/>
      <c r="Q148" s="346"/>
    </row>
    <row r="149" spans="1:19" ht="15" customHeight="1" x14ac:dyDescent="0.25">
      <c r="A149" s="45" t="s">
        <v>5299</v>
      </c>
      <c r="B149" s="46" t="s">
        <v>2318</v>
      </c>
      <c r="C149" s="46" t="s">
        <v>6040</v>
      </c>
      <c r="D149" s="46" t="s">
        <v>5339</v>
      </c>
      <c r="E149" s="46" t="s">
        <v>5340</v>
      </c>
      <c r="F149" s="46" t="s">
        <v>5341</v>
      </c>
      <c r="G149" s="46">
        <v>2544</v>
      </c>
      <c r="H149" s="46">
        <v>100</v>
      </c>
      <c r="I149" s="46">
        <v>9198</v>
      </c>
      <c r="J149" s="47">
        <v>65001</v>
      </c>
      <c r="K149" s="46"/>
      <c r="L149" s="46" t="s">
        <v>5122</v>
      </c>
      <c r="M149" s="4"/>
      <c r="P149" s="346"/>
      <c r="Q149" s="346"/>
    </row>
    <row r="150" spans="1:19" ht="15" customHeight="1" x14ac:dyDescent="0.25">
      <c r="A150" s="45" t="s">
        <v>5299</v>
      </c>
      <c r="B150" s="46" t="s">
        <v>1134</v>
      </c>
      <c r="C150" s="46" t="s">
        <v>6041</v>
      </c>
      <c r="D150" s="46" t="s">
        <v>5336</v>
      </c>
      <c r="E150" s="46" t="s">
        <v>5337</v>
      </c>
      <c r="F150" s="46" t="s">
        <v>5338</v>
      </c>
      <c r="G150" s="46">
        <v>2425</v>
      </c>
      <c r="H150" s="46">
        <v>20</v>
      </c>
      <c r="I150" s="46">
        <v>9198</v>
      </c>
      <c r="J150" s="47">
        <v>65001</v>
      </c>
      <c r="K150" s="46"/>
      <c r="L150" s="46" t="s">
        <v>5122</v>
      </c>
      <c r="M150" s="4"/>
      <c r="P150" s="346"/>
      <c r="Q150" s="346"/>
    </row>
    <row r="151" spans="1:19" ht="15" customHeight="1" x14ac:dyDescent="0.25">
      <c r="A151" s="45" t="s">
        <v>5299</v>
      </c>
      <c r="B151" s="46" t="s">
        <v>3026</v>
      </c>
      <c r="C151" s="49" t="s">
        <v>6042</v>
      </c>
      <c r="D151" s="46" t="s">
        <v>5342</v>
      </c>
      <c r="E151" s="46" t="s">
        <v>5343</v>
      </c>
      <c r="F151" s="46" t="s">
        <v>5344</v>
      </c>
      <c r="G151" s="46">
        <v>2718</v>
      </c>
      <c r="H151" s="46">
        <v>20</v>
      </c>
      <c r="I151" s="46">
        <v>9198</v>
      </c>
      <c r="J151" s="47">
        <v>65001</v>
      </c>
      <c r="K151" s="46"/>
      <c r="L151" s="46" t="s">
        <v>5122</v>
      </c>
      <c r="M151" s="4"/>
      <c r="P151" s="346"/>
      <c r="Q151" s="346"/>
    </row>
    <row r="152" spans="1:19" ht="15" customHeight="1" x14ac:dyDescent="0.25">
      <c r="A152" s="25" t="s">
        <v>5299</v>
      </c>
      <c r="B152" s="7" t="s">
        <v>11</v>
      </c>
      <c r="C152" s="7" t="s">
        <v>6043</v>
      </c>
      <c r="D152" s="7" t="s">
        <v>5345</v>
      </c>
      <c r="E152" s="7" t="s">
        <v>5346</v>
      </c>
      <c r="F152" s="7" t="s">
        <v>5347</v>
      </c>
      <c r="G152" s="7">
        <v>2417</v>
      </c>
      <c r="H152" s="7">
        <v>26906</v>
      </c>
      <c r="I152" s="7">
        <v>9198</v>
      </c>
      <c r="J152" s="34">
        <v>65001</v>
      </c>
      <c r="K152" s="7" t="s">
        <v>433</v>
      </c>
      <c r="L152" s="55" t="s">
        <v>5122</v>
      </c>
      <c r="M152" s="4"/>
      <c r="P152" s="346"/>
      <c r="Q152" s="346"/>
    </row>
    <row r="153" spans="1:19" ht="15" customHeight="1" x14ac:dyDescent="0.25">
      <c r="A153" s="153" t="s">
        <v>5299</v>
      </c>
      <c r="B153" s="154" t="s">
        <v>3781</v>
      </c>
      <c r="C153" s="154" t="s">
        <v>6044</v>
      </c>
      <c r="D153" s="154" t="s">
        <v>5330</v>
      </c>
      <c r="E153" s="154" t="s">
        <v>5331</v>
      </c>
      <c r="F153" s="154" t="s">
        <v>5332</v>
      </c>
      <c r="G153" s="154">
        <v>2409</v>
      </c>
      <c r="H153" s="154">
        <v>100</v>
      </c>
      <c r="I153" s="154">
        <v>9198</v>
      </c>
      <c r="J153" s="155">
        <v>65001</v>
      </c>
      <c r="K153" s="154"/>
      <c r="L153" s="154" t="s">
        <v>5122</v>
      </c>
      <c r="M153" s="4"/>
      <c r="P153" s="346"/>
      <c r="Q153" s="346"/>
    </row>
    <row r="154" spans="1:19" ht="15" customHeight="1" x14ac:dyDescent="0.25">
      <c r="A154" s="225" t="s">
        <v>5299</v>
      </c>
      <c r="B154" s="226" t="s">
        <v>4946</v>
      </c>
      <c r="C154" s="226" t="s">
        <v>6812</v>
      </c>
      <c r="D154" s="226" t="s">
        <v>6633</v>
      </c>
      <c r="E154" s="226" t="s">
        <v>6634</v>
      </c>
      <c r="F154" s="226" t="s">
        <v>6635</v>
      </c>
      <c r="G154" s="226">
        <v>2570</v>
      </c>
      <c r="H154" s="226">
        <v>1000</v>
      </c>
      <c r="I154" s="226">
        <v>9198</v>
      </c>
      <c r="J154" s="227">
        <v>65001</v>
      </c>
      <c r="K154" s="226"/>
      <c r="L154" s="226" t="s">
        <v>5122</v>
      </c>
      <c r="M154" s="4"/>
      <c r="P154" s="346"/>
      <c r="Q154" s="346"/>
    </row>
    <row r="155" spans="1:19" ht="15" customHeight="1" x14ac:dyDescent="0.25">
      <c r="A155" s="179" t="s">
        <v>4936</v>
      </c>
      <c r="B155" s="180" t="s">
        <v>7212</v>
      </c>
      <c r="C155" s="180" t="s">
        <v>6254</v>
      </c>
      <c r="D155" s="180"/>
      <c r="E155" s="180"/>
      <c r="F155" s="180"/>
      <c r="G155" s="180"/>
      <c r="H155" s="328">
        <v>41735</v>
      </c>
      <c r="I155" s="180"/>
      <c r="J155" s="190"/>
      <c r="K155" s="180"/>
      <c r="L155" s="180" t="s">
        <v>7225</v>
      </c>
      <c r="M155" s="4"/>
      <c r="P155" s="346">
        <v>58135</v>
      </c>
      <c r="Q155" s="345">
        <f>P155*100%/(50000)</f>
        <v>1.1627000000000001</v>
      </c>
    </row>
    <row r="156" spans="1:19" ht="15" customHeight="1" x14ac:dyDescent="0.25">
      <c r="A156" s="179" t="s">
        <v>4936</v>
      </c>
      <c r="B156" s="180" t="s">
        <v>4765</v>
      </c>
      <c r="C156" s="180" t="s">
        <v>7447</v>
      </c>
      <c r="D156" s="180" t="s">
        <v>4449</v>
      </c>
      <c r="E156" s="180" t="s">
        <v>4450</v>
      </c>
      <c r="F156" s="180" t="s">
        <v>4451</v>
      </c>
      <c r="G156" s="180">
        <v>2802</v>
      </c>
      <c r="H156" s="180">
        <v>41365</v>
      </c>
      <c r="I156" s="180">
        <v>9198</v>
      </c>
      <c r="J156" s="190">
        <v>65001</v>
      </c>
      <c r="K156" s="180"/>
      <c r="L156" s="180" t="s">
        <v>7225</v>
      </c>
      <c r="M156" s="4"/>
      <c r="P156" s="346"/>
      <c r="Q156" s="346"/>
    </row>
    <row r="157" spans="1:19" ht="15" customHeight="1" x14ac:dyDescent="0.25">
      <c r="A157" s="179" t="s">
        <v>4936</v>
      </c>
      <c r="B157" s="180" t="s">
        <v>4995</v>
      </c>
      <c r="C157" s="180" t="s">
        <v>7447</v>
      </c>
      <c r="D157" s="180" t="s">
        <v>5010</v>
      </c>
      <c r="E157" s="180" t="s">
        <v>5011</v>
      </c>
      <c r="F157" s="180" t="s">
        <v>5012</v>
      </c>
      <c r="G157" s="180">
        <v>3802</v>
      </c>
      <c r="H157" s="180">
        <v>4</v>
      </c>
      <c r="I157" s="180">
        <v>9198</v>
      </c>
      <c r="J157" s="181">
        <v>65001</v>
      </c>
      <c r="K157" s="180"/>
      <c r="L157" s="180" t="s">
        <v>7225</v>
      </c>
      <c r="M157" s="4"/>
      <c r="P157" s="346"/>
      <c r="Q157" s="346"/>
      <c r="R157" s="3"/>
      <c r="S157" s="128"/>
    </row>
    <row r="158" spans="1:19" ht="15" customHeight="1" x14ac:dyDescent="0.25">
      <c r="A158" s="179" t="s">
        <v>4936</v>
      </c>
      <c r="B158" s="180" t="s">
        <v>4999</v>
      </c>
      <c r="C158" s="180" t="s">
        <v>7447</v>
      </c>
      <c r="D158" s="180" t="s">
        <v>5013</v>
      </c>
      <c r="E158" s="180" t="s">
        <v>5014</v>
      </c>
      <c r="F158" s="180" t="s">
        <v>5015</v>
      </c>
      <c r="G158" s="180">
        <v>3804</v>
      </c>
      <c r="H158" s="180">
        <v>30</v>
      </c>
      <c r="I158" s="180">
        <v>9198</v>
      </c>
      <c r="J158" s="181">
        <v>65001</v>
      </c>
      <c r="K158" s="180"/>
      <c r="L158" s="180" t="s">
        <v>7225</v>
      </c>
      <c r="M158" s="4"/>
      <c r="P158" s="346"/>
      <c r="Q158" s="346"/>
      <c r="R158" s="3"/>
      <c r="S158" s="128"/>
    </row>
    <row r="159" spans="1:19" ht="15" customHeight="1" x14ac:dyDescent="0.25">
      <c r="A159" s="179" t="s">
        <v>4936</v>
      </c>
      <c r="B159" s="180" t="s">
        <v>5003</v>
      </c>
      <c r="C159" s="180" t="s">
        <v>7447</v>
      </c>
      <c r="D159" s="180" t="s">
        <v>5016</v>
      </c>
      <c r="E159" s="180" t="s">
        <v>5017</v>
      </c>
      <c r="F159" s="180" t="s">
        <v>5018</v>
      </c>
      <c r="G159" s="180">
        <v>3806</v>
      </c>
      <c r="H159" s="180">
        <v>1</v>
      </c>
      <c r="I159" s="180">
        <v>9198</v>
      </c>
      <c r="J159" s="181">
        <v>65001</v>
      </c>
      <c r="K159" s="180"/>
      <c r="L159" s="180" t="s">
        <v>7225</v>
      </c>
      <c r="M159" s="4"/>
      <c r="P159" s="346"/>
      <c r="Q159" s="346"/>
      <c r="R159" s="3"/>
      <c r="S159" s="128"/>
    </row>
    <row r="160" spans="1:19" ht="15" customHeight="1" x14ac:dyDescent="0.25">
      <c r="A160" s="179" t="s">
        <v>4936</v>
      </c>
      <c r="B160" s="180" t="s">
        <v>5006</v>
      </c>
      <c r="C160" s="180" t="s">
        <v>7447</v>
      </c>
      <c r="D160" s="180" t="s">
        <v>5019</v>
      </c>
      <c r="E160" s="180" t="s">
        <v>5020</v>
      </c>
      <c r="F160" s="180" t="s">
        <v>5021</v>
      </c>
      <c r="G160" s="180">
        <v>3808</v>
      </c>
      <c r="H160" s="180">
        <v>100</v>
      </c>
      <c r="I160" s="180">
        <v>9198</v>
      </c>
      <c r="J160" s="181">
        <v>65001</v>
      </c>
      <c r="K160" s="180"/>
      <c r="L160" s="180" t="s">
        <v>7225</v>
      </c>
      <c r="M160" s="4"/>
      <c r="P160" s="346"/>
      <c r="Q160" s="346"/>
    </row>
    <row r="161" spans="1:19" ht="15" customHeight="1" x14ac:dyDescent="0.25">
      <c r="A161" s="27" t="s">
        <v>88</v>
      </c>
      <c r="B161" s="20" t="s">
        <v>597</v>
      </c>
      <c r="C161" s="20" t="s">
        <v>1619</v>
      </c>
      <c r="D161" s="20" t="s">
        <v>1466</v>
      </c>
      <c r="E161" s="20" t="s">
        <v>1467</v>
      </c>
      <c r="F161" s="20" t="s">
        <v>1468</v>
      </c>
      <c r="G161" s="20">
        <v>2225</v>
      </c>
      <c r="H161" s="20">
        <v>160</v>
      </c>
      <c r="I161" s="20">
        <v>9198</v>
      </c>
      <c r="J161" s="36">
        <v>29355</v>
      </c>
      <c r="K161" s="20"/>
      <c r="L161" s="20" t="s">
        <v>5122</v>
      </c>
      <c r="M161" s="4"/>
      <c r="P161" s="346">
        <v>39760</v>
      </c>
      <c r="Q161" s="345">
        <f>P161*100%/(100000)</f>
        <v>0.39760000000000001</v>
      </c>
      <c r="R161" s="182" t="s">
        <v>2997</v>
      </c>
      <c r="S161" s="128" t="s">
        <v>2998</v>
      </c>
    </row>
    <row r="162" spans="1:19" ht="15" customHeight="1" x14ac:dyDescent="0.25">
      <c r="A162" s="21" t="s">
        <v>88</v>
      </c>
      <c r="B162" s="18" t="s">
        <v>198</v>
      </c>
      <c r="C162" s="18" t="s">
        <v>682</v>
      </c>
      <c r="D162" s="18" t="s">
        <v>92</v>
      </c>
      <c r="E162" s="18" t="s">
        <v>1523</v>
      </c>
      <c r="F162" s="18" t="s">
        <v>1524</v>
      </c>
      <c r="G162" s="18">
        <v>2103</v>
      </c>
      <c r="H162" s="18">
        <v>90</v>
      </c>
      <c r="I162" s="18">
        <v>9198</v>
      </c>
      <c r="J162" s="33">
        <v>29355</v>
      </c>
      <c r="K162" s="18"/>
      <c r="L162" s="18" t="s">
        <v>5122</v>
      </c>
      <c r="M162" s="4"/>
      <c r="P162" s="346"/>
      <c r="Q162" s="346"/>
      <c r="R162" s="146" t="s">
        <v>4337</v>
      </c>
      <c r="S162" s="128"/>
    </row>
    <row r="163" spans="1:19" ht="15" customHeight="1" x14ac:dyDescent="0.25">
      <c r="A163" s="22" t="s">
        <v>88</v>
      </c>
      <c r="B163" s="16" t="s">
        <v>34</v>
      </c>
      <c r="C163" s="16" t="s">
        <v>680</v>
      </c>
      <c r="D163" s="16" t="s">
        <v>659</v>
      </c>
      <c r="E163" s="16" t="s">
        <v>660</v>
      </c>
      <c r="F163" s="16" t="s">
        <v>661</v>
      </c>
      <c r="G163" s="16">
        <v>2110</v>
      </c>
      <c r="H163" s="16">
        <v>3061</v>
      </c>
      <c r="I163" s="16">
        <v>9198</v>
      </c>
      <c r="J163" s="30">
        <v>29355</v>
      </c>
      <c r="K163" s="16"/>
      <c r="L163" s="16" t="s">
        <v>5122</v>
      </c>
      <c r="M163" s="4"/>
      <c r="P163" s="346"/>
      <c r="Q163" s="346"/>
      <c r="R163" s="169" t="s">
        <v>4495</v>
      </c>
      <c r="S163" s="128"/>
    </row>
    <row r="164" spans="1:19" ht="15" customHeight="1" x14ac:dyDescent="0.25">
      <c r="A164" s="23" t="s">
        <v>88</v>
      </c>
      <c r="B164" s="13" t="s">
        <v>4</v>
      </c>
      <c r="C164" s="13" t="s">
        <v>681</v>
      </c>
      <c r="D164" s="13" t="s">
        <v>89</v>
      </c>
      <c r="E164" s="13" t="s">
        <v>90</v>
      </c>
      <c r="F164" s="13" t="s">
        <v>91</v>
      </c>
      <c r="G164" s="13">
        <v>2101</v>
      </c>
      <c r="H164" s="13">
        <v>400</v>
      </c>
      <c r="I164" s="13">
        <v>9198</v>
      </c>
      <c r="J164" s="31">
        <v>29355</v>
      </c>
      <c r="K164" s="13"/>
      <c r="L164" s="13" t="s">
        <v>5122</v>
      </c>
      <c r="M164" s="4"/>
      <c r="P164" s="346"/>
      <c r="Q164" s="346"/>
      <c r="R164" s="3"/>
      <c r="S164" s="128"/>
    </row>
    <row r="165" spans="1:19" ht="15" customHeight="1" x14ac:dyDescent="0.25">
      <c r="A165" s="66" t="s">
        <v>88</v>
      </c>
      <c r="B165" s="67" t="s">
        <v>35</v>
      </c>
      <c r="C165" s="67" t="s">
        <v>683</v>
      </c>
      <c r="D165" s="67" t="s">
        <v>162</v>
      </c>
      <c r="E165" s="67" t="s">
        <v>160</v>
      </c>
      <c r="F165" s="67" t="s">
        <v>161</v>
      </c>
      <c r="G165" s="67">
        <v>2107</v>
      </c>
      <c r="H165" s="67">
        <v>330</v>
      </c>
      <c r="I165" s="67">
        <v>9198</v>
      </c>
      <c r="J165" s="68">
        <v>29355</v>
      </c>
      <c r="K165" s="67"/>
      <c r="L165" s="67" t="s">
        <v>5122</v>
      </c>
      <c r="M165" s="4"/>
      <c r="P165" s="346"/>
      <c r="Q165" s="346"/>
      <c r="R165" s="3"/>
      <c r="S165" s="128"/>
    </row>
    <row r="166" spans="1:19" ht="15" customHeight="1" x14ac:dyDescent="0.25">
      <c r="A166" s="28" t="s">
        <v>88</v>
      </c>
      <c r="B166" s="9" t="s">
        <v>249</v>
      </c>
      <c r="C166" s="10" t="s">
        <v>1829</v>
      </c>
      <c r="D166" s="9" t="s">
        <v>1822</v>
      </c>
      <c r="E166" s="9" t="s">
        <v>1823</v>
      </c>
      <c r="F166" s="9" t="s">
        <v>1824</v>
      </c>
      <c r="G166" s="9">
        <v>1051</v>
      </c>
      <c r="H166" s="9">
        <v>20</v>
      </c>
      <c r="I166" s="9">
        <v>9198</v>
      </c>
      <c r="J166" s="37">
        <v>29355</v>
      </c>
      <c r="K166" s="9"/>
      <c r="L166" s="9" t="s">
        <v>5122</v>
      </c>
      <c r="M166" s="4"/>
      <c r="P166" s="346"/>
      <c r="Q166" s="346"/>
      <c r="R166" s="3"/>
      <c r="S166" s="128"/>
    </row>
    <row r="167" spans="1:19" ht="15" customHeight="1" x14ac:dyDescent="0.25">
      <c r="A167" s="45" t="s">
        <v>88</v>
      </c>
      <c r="B167" s="46" t="s">
        <v>2623</v>
      </c>
      <c r="C167" s="49" t="s">
        <v>2667</v>
      </c>
      <c r="D167" s="46" t="s">
        <v>2627</v>
      </c>
      <c r="E167" s="46" t="s">
        <v>2628</v>
      </c>
      <c r="F167" s="46" t="s">
        <v>2629</v>
      </c>
      <c r="G167" s="46">
        <v>1365</v>
      </c>
      <c r="H167" s="46">
        <v>400</v>
      </c>
      <c r="I167" s="46">
        <v>9198</v>
      </c>
      <c r="J167" s="47">
        <v>29355</v>
      </c>
      <c r="K167" s="46" t="s">
        <v>428</v>
      </c>
      <c r="L167" s="46" t="s">
        <v>5122</v>
      </c>
      <c r="M167" s="4"/>
      <c r="P167" s="346"/>
      <c r="Q167" s="346"/>
      <c r="R167" s="3"/>
      <c r="S167" s="128"/>
    </row>
    <row r="168" spans="1:19" ht="15" customHeight="1" x14ac:dyDescent="0.25">
      <c r="A168" s="25" t="s">
        <v>88</v>
      </c>
      <c r="B168" s="7" t="s">
        <v>11</v>
      </c>
      <c r="C168" s="7" t="s">
        <v>684</v>
      </c>
      <c r="D168" s="7" t="s">
        <v>1525</v>
      </c>
      <c r="E168" s="7" t="s">
        <v>1526</v>
      </c>
      <c r="F168" s="7" t="s">
        <v>1527</v>
      </c>
      <c r="G168" s="7">
        <v>2105</v>
      </c>
      <c r="H168" s="7">
        <v>34000</v>
      </c>
      <c r="I168" s="7">
        <v>9198</v>
      </c>
      <c r="J168" s="34">
        <v>29355</v>
      </c>
      <c r="K168" s="7" t="s">
        <v>654</v>
      </c>
      <c r="L168" s="7" t="s">
        <v>5122</v>
      </c>
      <c r="M168" s="4"/>
      <c r="P168" s="346"/>
      <c r="Q168" s="346"/>
      <c r="R168" s="169" t="s">
        <v>5348</v>
      </c>
      <c r="S168" s="128"/>
    </row>
    <row r="169" spans="1:19" ht="15" customHeight="1" x14ac:dyDescent="0.25">
      <c r="A169" s="153" t="s">
        <v>88</v>
      </c>
      <c r="B169" s="154" t="s">
        <v>3781</v>
      </c>
      <c r="C169" s="154" t="s">
        <v>4023</v>
      </c>
      <c r="D169" s="154" t="s">
        <v>3818</v>
      </c>
      <c r="E169" s="154" t="s">
        <v>3819</v>
      </c>
      <c r="F169" s="154" t="s">
        <v>3820</v>
      </c>
      <c r="G169" s="154">
        <v>3309</v>
      </c>
      <c r="H169" s="154">
        <v>1</v>
      </c>
      <c r="I169" s="154">
        <v>9198</v>
      </c>
      <c r="J169" s="155">
        <v>29355</v>
      </c>
      <c r="K169" s="154"/>
      <c r="L169" s="154" t="s">
        <v>5122</v>
      </c>
      <c r="M169" s="4"/>
      <c r="P169" s="346"/>
      <c r="Q169" s="346"/>
      <c r="R169" s="169" t="s">
        <v>4495</v>
      </c>
      <c r="S169" s="128"/>
    </row>
    <row r="170" spans="1:19" ht="15" customHeight="1" x14ac:dyDescent="0.25">
      <c r="A170" s="45" t="s">
        <v>88</v>
      </c>
      <c r="B170" s="46" t="s">
        <v>1018</v>
      </c>
      <c r="C170" s="46" t="s">
        <v>4502</v>
      </c>
      <c r="D170" s="46" t="s">
        <v>4438</v>
      </c>
      <c r="E170" s="46" t="s">
        <v>4439</v>
      </c>
      <c r="F170" s="46" t="s">
        <v>4440</v>
      </c>
      <c r="G170" s="46">
        <v>2453</v>
      </c>
      <c r="H170" s="46">
        <v>8</v>
      </c>
      <c r="I170" s="46">
        <v>9198</v>
      </c>
      <c r="J170" s="47">
        <v>29355</v>
      </c>
      <c r="K170" s="46"/>
      <c r="L170" s="46" t="s">
        <v>5122</v>
      </c>
      <c r="M170" s="4"/>
      <c r="P170" s="346"/>
      <c r="Q170" s="346"/>
      <c r="R170" s="169" t="s">
        <v>4511</v>
      </c>
      <c r="S170" s="128"/>
    </row>
    <row r="171" spans="1:19" ht="15" customHeight="1" x14ac:dyDescent="0.25">
      <c r="A171" s="45" t="s">
        <v>88</v>
      </c>
      <c r="B171" s="46" t="s">
        <v>1109</v>
      </c>
      <c r="C171" s="49" t="s">
        <v>5091</v>
      </c>
      <c r="D171" s="46" t="s">
        <v>4921</v>
      </c>
      <c r="E171" s="46" t="s">
        <v>4922</v>
      </c>
      <c r="F171" s="46" t="s">
        <v>4923</v>
      </c>
      <c r="G171" s="46">
        <v>2336</v>
      </c>
      <c r="H171" s="46">
        <v>20</v>
      </c>
      <c r="I171" s="46">
        <v>9198</v>
      </c>
      <c r="J171" s="47">
        <v>29355</v>
      </c>
      <c r="K171" s="46"/>
      <c r="L171" s="46" t="s">
        <v>5122</v>
      </c>
      <c r="M171" s="4"/>
      <c r="P171" s="346"/>
      <c r="Q171" s="346"/>
      <c r="R171" s="169" t="s">
        <v>4512</v>
      </c>
      <c r="S171" s="128"/>
    </row>
    <row r="172" spans="1:19" ht="15" customHeight="1" x14ac:dyDescent="0.25">
      <c r="A172" s="45" t="s">
        <v>88</v>
      </c>
      <c r="B172" s="149" t="s">
        <v>5418</v>
      </c>
      <c r="C172" s="252" t="s">
        <v>6106</v>
      </c>
      <c r="D172" s="149" t="s">
        <v>5425</v>
      </c>
      <c r="E172" s="149" t="s">
        <v>5426</v>
      </c>
      <c r="F172" s="149" t="s">
        <v>5427</v>
      </c>
      <c r="G172" s="149">
        <v>2343</v>
      </c>
      <c r="H172" s="149">
        <v>60</v>
      </c>
      <c r="I172" s="149">
        <v>9198</v>
      </c>
      <c r="J172" s="47">
        <v>29355</v>
      </c>
      <c r="K172" s="149"/>
      <c r="L172" s="149" t="s">
        <v>5122</v>
      </c>
      <c r="M172" s="4"/>
      <c r="P172" s="346"/>
      <c r="Q172" s="346"/>
      <c r="R172" s="182" t="s">
        <v>4520</v>
      </c>
      <c r="S172" s="128"/>
    </row>
    <row r="173" spans="1:19" ht="15" customHeight="1" x14ac:dyDescent="0.25">
      <c r="A173" s="200" t="s">
        <v>88</v>
      </c>
      <c r="B173" s="201" t="s">
        <v>5184</v>
      </c>
      <c r="C173" s="201" t="s">
        <v>4621</v>
      </c>
      <c r="D173" s="201"/>
      <c r="E173" s="201"/>
      <c r="F173" s="201" t="s">
        <v>6256</v>
      </c>
      <c r="G173" s="201">
        <v>2301</v>
      </c>
      <c r="H173" s="201">
        <v>70</v>
      </c>
      <c r="I173" s="202" t="s">
        <v>1454</v>
      </c>
      <c r="J173" s="202" t="s">
        <v>1454</v>
      </c>
      <c r="K173" s="201" t="s">
        <v>428</v>
      </c>
      <c r="L173" s="203" t="s">
        <v>5122</v>
      </c>
      <c r="M173" s="4"/>
      <c r="P173" s="346"/>
      <c r="Q173" s="346"/>
      <c r="R173" s="182" t="s">
        <v>5408</v>
      </c>
    </row>
    <row r="174" spans="1:19" ht="15" customHeight="1" x14ac:dyDescent="0.25">
      <c r="A174" s="47" t="s">
        <v>88</v>
      </c>
      <c r="B174" s="47" t="s">
        <v>1014</v>
      </c>
      <c r="C174" s="47" t="s">
        <v>6725</v>
      </c>
      <c r="D174" s="47" t="s">
        <v>6573</v>
      </c>
      <c r="E174" s="47" t="s">
        <v>6571</v>
      </c>
      <c r="F174" s="47" t="s">
        <v>6572</v>
      </c>
      <c r="G174" s="47">
        <v>2712</v>
      </c>
      <c r="H174" s="47">
        <v>100</v>
      </c>
      <c r="I174" s="47">
        <v>9198</v>
      </c>
      <c r="J174" s="47">
        <v>29355</v>
      </c>
      <c r="K174" s="47" t="s">
        <v>428</v>
      </c>
      <c r="L174" s="47" t="s">
        <v>5122</v>
      </c>
      <c r="M174" s="4"/>
      <c r="P174" s="346"/>
      <c r="Q174" s="346"/>
      <c r="R174" s="208"/>
    </row>
    <row r="175" spans="1:19" ht="15" customHeight="1" x14ac:dyDescent="0.25">
      <c r="A175" s="225" t="s">
        <v>88</v>
      </c>
      <c r="B175" s="226" t="s">
        <v>4946</v>
      </c>
      <c r="C175" s="226" t="s">
        <v>6813</v>
      </c>
      <c r="D175" s="226" t="s">
        <v>6636</v>
      </c>
      <c r="E175" s="226" t="s">
        <v>6637</v>
      </c>
      <c r="F175" s="226" t="s">
        <v>6638</v>
      </c>
      <c r="G175" s="226">
        <v>2570</v>
      </c>
      <c r="H175" s="226">
        <v>1000</v>
      </c>
      <c r="I175" s="226">
        <v>9198</v>
      </c>
      <c r="J175" s="227">
        <v>29355</v>
      </c>
      <c r="K175" s="226"/>
      <c r="L175" s="226" t="s">
        <v>5122</v>
      </c>
      <c r="M175" s="4"/>
      <c r="P175" s="346"/>
      <c r="Q175" s="346"/>
      <c r="R175" s="208"/>
    </row>
    <row r="176" spans="1:19" ht="15" customHeight="1" x14ac:dyDescent="0.25">
      <c r="A176" s="27" t="s">
        <v>5264</v>
      </c>
      <c r="B176" s="20" t="s">
        <v>597</v>
      </c>
      <c r="C176" s="20" t="s">
        <v>6068</v>
      </c>
      <c r="D176" s="20" t="s">
        <v>5269</v>
      </c>
      <c r="E176" s="20" t="s">
        <v>5270</v>
      </c>
      <c r="F176" s="20" t="s">
        <v>5271</v>
      </c>
      <c r="G176" s="20">
        <v>2225</v>
      </c>
      <c r="H176" s="20">
        <v>200</v>
      </c>
      <c r="I176" s="20">
        <v>9198</v>
      </c>
      <c r="J176" s="36">
        <v>29355</v>
      </c>
      <c r="K176" s="20"/>
      <c r="L176" s="20" t="s">
        <v>5122</v>
      </c>
      <c r="M176" s="4"/>
      <c r="P176" s="346">
        <v>39409</v>
      </c>
      <c r="Q176" s="345">
        <f>P176*100%/(100000)</f>
        <v>0.39409</v>
      </c>
    </row>
    <row r="177" spans="1:19" ht="15" customHeight="1" x14ac:dyDescent="0.25">
      <c r="A177" s="21" t="s">
        <v>5264</v>
      </c>
      <c r="B177" s="18" t="s">
        <v>198</v>
      </c>
      <c r="C177" s="18" t="s">
        <v>6069</v>
      </c>
      <c r="D177" s="18" t="s">
        <v>5272</v>
      </c>
      <c r="E177" s="18" t="s">
        <v>5273</v>
      </c>
      <c r="F177" s="18" t="s">
        <v>5274</v>
      </c>
      <c r="G177" s="18">
        <v>2103</v>
      </c>
      <c r="H177" s="18">
        <v>90</v>
      </c>
      <c r="I177" s="18">
        <v>9198</v>
      </c>
      <c r="J177" s="33">
        <v>29355</v>
      </c>
      <c r="K177" s="18"/>
      <c r="L177" s="18" t="s">
        <v>5122</v>
      </c>
      <c r="M177" s="4"/>
      <c r="P177" s="346"/>
      <c r="Q177" s="346"/>
    </row>
    <row r="178" spans="1:19" ht="15" customHeight="1" x14ac:dyDescent="0.25">
      <c r="A178" s="22" t="s">
        <v>5264</v>
      </c>
      <c r="B178" s="16" t="s">
        <v>34</v>
      </c>
      <c r="C178" s="16" t="s">
        <v>6070</v>
      </c>
      <c r="D178" s="16" t="s">
        <v>5275</v>
      </c>
      <c r="E178" s="16" t="s">
        <v>5282</v>
      </c>
      <c r="F178" s="16" t="s">
        <v>5289</v>
      </c>
      <c r="G178" s="16">
        <v>2110</v>
      </c>
      <c r="H178" s="16">
        <v>2860</v>
      </c>
      <c r="I178" s="16">
        <v>9198</v>
      </c>
      <c r="J178" s="30">
        <v>29355</v>
      </c>
      <c r="K178" s="16"/>
      <c r="L178" s="16" t="s">
        <v>5122</v>
      </c>
      <c r="M178" s="4"/>
      <c r="P178" s="346"/>
      <c r="Q178" s="346"/>
    </row>
    <row r="179" spans="1:19" ht="15" customHeight="1" x14ac:dyDescent="0.25">
      <c r="A179" s="23" t="s">
        <v>5264</v>
      </c>
      <c r="B179" s="13" t="s">
        <v>4</v>
      </c>
      <c r="C179" s="13" t="s">
        <v>6071</v>
      </c>
      <c r="D179" s="13" t="s">
        <v>5276</v>
      </c>
      <c r="E179" s="13" t="s">
        <v>5283</v>
      </c>
      <c r="F179" s="13" t="s">
        <v>5290</v>
      </c>
      <c r="G179" s="13">
        <v>2101</v>
      </c>
      <c r="H179" s="13">
        <v>400</v>
      </c>
      <c r="I179" s="13">
        <v>9198</v>
      </c>
      <c r="J179" s="31">
        <v>29355</v>
      </c>
      <c r="K179" s="13"/>
      <c r="L179" s="13" t="s">
        <v>5122</v>
      </c>
      <c r="M179" s="4"/>
      <c r="P179" s="346"/>
      <c r="Q179" s="346"/>
    </row>
    <row r="180" spans="1:19" ht="15" customHeight="1" x14ac:dyDescent="0.25">
      <c r="A180" s="66" t="s">
        <v>5264</v>
      </c>
      <c r="B180" s="67" t="s">
        <v>35</v>
      </c>
      <c r="C180" s="67" t="s">
        <v>6072</v>
      </c>
      <c r="D180" s="67" t="s">
        <v>5277</v>
      </c>
      <c r="E180" s="67" t="s">
        <v>5284</v>
      </c>
      <c r="F180" s="67" t="s">
        <v>5291</v>
      </c>
      <c r="G180" s="67">
        <v>2107</v>
      </c>
      <c r="H180" s="67">
        <v>330</v>
      </c>
      <c r="I180" s="67">
        <v>9198</v>
      </c>
      <c r="J180" s="68">
        <v>29355</v>
      </c>
      <c r="K180" s="67"/>
      <c r="L180" s="67" t="s">
        <v>5122</v>
      </c>
      <c r="M180" s="4"/>
      <c r="P180" s="346"/>
      <c r="Q180" s="346"/>
      <c r="R180" s="3"/>
      <c r="S180" s="128"/>
    </row>
    <row r="181" spans="1:19" ht="15" customHeight="1" x14ac:dyDescent="0.25">
      <c r="A181" s="28" t="s">
        <v>5264</v>
      </c>
      <c r="B181" s="9" t="s">
        <v>249</v>
      </c>
      <c r="C181" s="10" t="s">
        <v>6073</v>
      </c>
      <c r="D181" s="9" t="s">
        <v>5278</v>
      </c>
      <c r="E181" s="9" t="s">
        <v>5285</v>
      </c>
      <c r="F181" s="9" t="s">
        <v>5292</v>
      </c>
      <c r="G181" s="9">
        <v>1051</v>
      </c>
      <c r="H181" s="9">
        <v>20</v>
      </c>
      <c r="I181" s="9">
        <v>9198</v>
      </c>
      <c r="J181" s="37">
        <v>29355</v>
      </c>
      <c r="K181" s="9"/>
      <c r="L181" s="9" t="s">
        <v>5122</v>
      </c>
      <c r="M181" s="4"/>
      <c r="P181" s="346"/>
      <c r="Q181" s="346"/>
      <c r="R181" s="3"/>
      <c r="S181" s="128"/>
    </row>
    <row r="182" spans="1:19" ht="15" customHeight="1" x14ac:dyDescent="0.25">
      <c r="A182" s="45" t="s">
        <v>5264</v>
      </c>
      <c r="B182" s="46" t="s">
        <v>2623</v>
      </c>
      <c r="C182" s="49" t="s">
        <v>6074</v>
      </c>
      <c r="D182" s="46" t="s">
        <v>5279</v>
      </c>
      <c r="E182" s="46" t="s">
        <v>5286</v>
      </c>
      <c r="F182" s="46" t="s">
        <v>5293</v>
      </c>
      <c r="G182" s="46">
        <v>1365</v>
      </c>
      <c r="H182" s="46">
        <v>400</v>
      </c>
      <c r="I182" s="46">
        <v>9198</v>
      </c>
      <c r="J182" s="47">
        <v>29355</v>
      </c>
      <c r="K182" s="46" t="s">
        <v>428</v>
      </c>
      <c r="L182" s="46" t="s">
        <v>5122</v>
      </c>
      <c r="M182" s="4"/>
      <c r="P182" s="346"/>
      <c r="Q182" s="346"/>
    </row>
    <row r="183" spans="1:19" ht="15" customHeight="1" x14ac:dyDescent="0.25">
      <c r="A183" s="25" t="s">
        <v>5264</v>
      </c>
      <c r="B183" s="7" t="s">
        <v>11</v>
      </c>
      <c r="C183" s="7" t="s">
        <v>6075</v>
      </c>
      <c r="D183" s="7" t="s">
        <v>5280</v>
      </c>
      <c r="E183" s="7" t="s">
        <v>5287</v>
      </c>
      <c r="F183" s="7" t="s">
        <v>5294</v>
      </c>
      <c r="G183" s="7">
        <v>2105</v>
      </c>
      <c r="H183" s="7">
        <v>34000</v>
      </c>
      <c r="I183" s="7">
        <v>9198</v>
      </c>
      <c r="J183" s="34">
        <v>29355</v>
      </c>
      <c r="K183" s="7" t="s">
        <v>654</v>
      </c>
      <c r="L183" s="7" t="s">
        <v>5122</v>
      </c>
      <c r="M183" s="4"/>
      <c r="P183" s="346"/>
      <c r="Q183" s="346"/>
    </row>
    <row r="184" spans="1:19" ht="15" customHeight="1" x14ac:dyDescent="0.25">
      <c r="A184" s="153" t="s">
        <v>5264</v>
      </c>
      <c r="B184" s="154" t="s">
        <v>3781</v>
      </c>
      <c r="C184" s="154" t="s">
        <v>6076</v>
      </c>
      <c r="D184" s="154" t="s">
        <v>5296</v>
      </c>
      <c r="E184" s="154" t="s">
        <v>5297</v>
      </c>
      <c r="F184" s="154" t="s">
        <v>5298</v>
      </c>
      <c r="G184" s="154">
        <v>3309</v>
      </c>
      <c r="H184" s="154">
        <v>1</v>
      </c>
      <c r="I184" s="154">
        <v>9198</v>
      </c>
      <c r="J184" s="155">
        <v>29355</v>
      </c>
      <c r="K184" s="154"/>
      <c r="L184" s="154" t="s">
        <v>5122</v>
      </c>
      <c r="M184" s="4"/>
      <c r="P184" s="346"/>
      <c r="Q184" s="346"/>
    </row>
    <row r="185" spans="1:19" ht="15" customHeight="1" x14ac:dyDescent="0.25">
      <c r="A185" s="45" t="s">
        <v>5264</v>
      </c>
      <c r="B185" s="46" t="s">
        <v>1018</v>
      </c>
      <c r="C185" s="46" t="s">
        <v>6077</v>
      </c>
      <c r="D185" s="46" t="s">
        <v>5281</v>
      </c>
      <c r="E185" s="46" t="s">
        <v>5288</v>
      </c>
      <c r="F185" s="46" t="s">
        <v>5295</v>
      </c>
      <c r="G185" s="46">
        <v>2453</v>
      </c>
      <c r="H185" s="46">
        <v>8</v>
      </c>
      <c r="I185" s="46">
        <v>9198</v>
      </c>
      <c r="J185" s="47">
        <v>29355</v>
      </c>
      <c r="K185" s="46"/>
      <c r="L185" s="46" t="s">
        <v>5122</v>
      </c>
      <c r="M185" s="4"/>
      <c r="P185" s="346"/>
      <c r="Q185" s="346"/>
    </row>
    <row r="186" spans="1:19" ht="15" customHeight="1" x14ac:dyDescent="0.25">
      <c r="A186" s="45" t="s">
        <v>5264</v>
      </c>
      <c r="B186" s="46" t="s">
        <v>1109</v>
      </c>
      <c r="C186" s="49" t="s">
        <v>6078</v>
      </c>
      <c r="D186" s="46" t="s">
        <v>5266</v>
      </c>
      <c r="E186" s="46" t="s">
        <v>5267</v>
      </c>
      <c r="F186" s="46" t="s">
        <v>5268</v>
      </c>
      <c r="G186" s="46">
        <v>2336</v>
      </c>
      <c r="H186" s="46">
        <v>20</v>
      </c>
      <c r="I186" s="46">
        <v>9198</v>
      </c>
      <c r="J186" s="47">
        <v>29355</v>
      </c>
      <c r="K186" s="46"/>
      <c r="L186" s="46" t="s">
        <v>5122</v>
      </c>
      <c r="M186" s="4"/>
      <c r="P186" s="346"/>
      <c r="Q186" s="346"/>
    </row>
    <row r="187" spans="1:19" ht="15" customHeight="1" x14ac:dyDescent="0.25">
      <c r="A187" s="45" t="s">
        <v>5264</v>
      </c>
      <c r="B187" s="149" t="s">
        <v>5418</v>
      </c>
      <c r="C187" s="252" t="s">
        <v>6467</v>
      </c>
      <c r="D187" s="149" t="s">
        <v>6321</v>
      </c>
      <c r="E187" s="149" t="s">
        <v>6322</v>
      </c>
      <c r="F187" s="149" t="s">
        <v>6323</v>
      </c>
      <c r="G187" s="149">
        <v>2343</v>
      </c>
      <c r="H187" s="149">
        <v>60</v>
      </c>
      <c r="I187" s="149">
        <v>9198</v>
      </c>
      <c r="J187" s="47">
        <v>29355</v>
      </c>
      <c r="K187" s="149"/>
      <c r="L187" s="149" t="s">
        <v>5122</v>
      </c>
      <c r="M187" s="4"/>
      <c r="P187" s="346"/>
      <c r="Q187" s="346"/>
    </row>
    <row r="188" spans="1:19" ht="15" customHeight="1" x14ac:dyDescent="0.25">
      <c r="A188" s="200" t="s">
        <v>5264</v>
      </c>
      <c r="B188" s="201" t="s">
        <v>5184</v>
      </c>
      <c r="C188" s="201" t="s">
        <v>6263</v>
      </c>
      <c r="D188" s="201"/>
      <c r="E188" s="201"/>
      <c r="F188" s="201" t="s">
        <v>6268</v>
      </c>
      <c r="G188" s="201">
        <v>2370</v>
      </c>
      <c r="H188" s="201">
        <v>20</v>
      </c>
      <c r="I188" s="202" t="s">
        <v>1454</v>
      </c>
      <c r="J188" s="202" t="s">
        <v>1454</v>
      </c>
      <c r="K188" s="201" t="s">
        <v>428</v>
      </c>
      <c r="L188" s="203" t="s">
        <v>5122</v>
      </c>
      <c r="M188" s="4"/>
      <c r="P188" s="346"/>
      <c r="Q188" s="346"/>
    </row>
    <row r="189" spans="1:19" ht="15" customHeight="1" x14ac:dyDescent="0.25">
      <c r="A189" s="225" t="s">
        <v>5264</v>
      </c>
      <c r="B189" s="226" t="s">
        <v>4946</v>
      </c>
      <c r="C189" s="226" t="s">
        <v>6814</v>
      </c>
      <c r="D189" s="226" t="s">
        <v>6639</v>
      </c>
      <c r="E189" s="226" t="s">
        <v>6640</v>
      </c>
      <c r="F189" s="226" t="s">
        <v>6641</v>
      </c>
      <c r="G189" s="226">
        <v>2570</v>
      </c>
      <c r="H189" s="226">
        <v>1000</v>
      </c>
      <c r="I189" s="226">
        <v>9198</v>
      </c>
      <c r="J189" s="227">
        <v>29355</v>
      </c>
      <c r="K189" s="226"/>
      <c r="L189" s="226" t="s">
        <v>5122</v>
      </c>
      <c r="M189" s="4"/>
      <c r="P189" s="346"/>
      <c r="Q189" s="346"/>
    </row>
    <row r="190" spans="1:19" ht="15" customHeight="1" x14ac:dyDescent="0.25">
      <c r="A190" s="45" t="s">
        <v>581</v>
      </c>
      <c r="B190" s="46" t="s">
        <v>1014</v>
      </c>
      <c r="C190" s="49" t="s">
        <v>1621</v>
      </c>
      <c r="D190" s="46" t="s">
        <v>1493</v>
      </c>
      <c r="E190" s="46" t="s">
        <v>1494</v>
      </c>
      <c r="F190" s="46" t="s">
        <v>1495</v>
      </c>
      <c r="G190" s="46">
        <v>1558</v>
      </c>
      <c r="H190" s="46">
        <v>60</v>
      </c>
      <c r="I190" s="46">
        <v>9198</v>
      </c>
      <c r="J190" s="47">
        <v>65021</v>
      </c>
      <c r="K190" s="46" t="s">
        <v>428</v>
      </c>
      <c r="L190" s="46" t="s">
        <v>1973</v>
      </c>
      <c r="M190" s="4"/>
      <c r="P190" s="346">
        <v>1116</v>
      </c>
      <c r="Q190" s="345">
        <f>P190*100%/(10000)</f>
        <v>0.1116</v>
      </c>
    </row>
    <row r="191" spans="1:19" ht="15" customHeight="1" x14ac:dyDescent="0.25">
      <c r="A191" s="22" t="s">
        <v>581</v>
      </c>
      <c r="B191" s="16" t="s">
        <v>34</v>
      </c>
      <c r="C191" s="16" t="s">
        <v>766</v>
      </c>
      <c r="D191" s="16" t="s">
        <v>205</v>
      </c>
      <c r="E191" s="16" t="s">
        <v>206</v>
      </c>
      <c r="F191" s="16" t="s">
        <v>1528</v>
      </c>
      <c r="G191" s="16">
        <v>2949</v>
      </c>
      <c r="H191" s="16">
        <v>516</v>
      </c>
      <c r="I191" s="16">
        <v>9198</v>
      </c>
      <c r="J191" s="30">
        <v>65021</v>
      </c>
      <c r="K191" s="16" t="s">
        <v>574</v>
      </c>
      <c r="L191" s="16" t="s">
        <v>1973</v>
      </c>
      <c r="M191" s="4"/>
      <c r="P191" s="346"/>
      <c r="Q191" s="346"/>
    </row>
    <row r="192" spans="1:19" ht="15" customHeight="1" x14ac:dyDescent="0.25">
      <c r="A192" s="45" t="s">
        <v>581</v>
      </c>
      <c r="B192" s="125" t="s">
        <v>1109</v>
      </c>
      <c r="C192" s="125" t="s">
        <v>2715</v>
      </c>
      <c r="D192" s="125" t="s">
        <v>2685</v>
      </c>
      <c r="E192" s="125" t="s">
        <v>2686</v>
      </c>
      <c r="F192" s="125" t="s">
        <v>2687</v>
      </c>
      <c r="G192" s="125">
        <v>3561</v>
      </c>
      <c r="H192" s="125">
        <v>4</v>
      </c>
      <c r="I192" s="125">
        <v>9198</v>
      </c>
      <c r="J192" s="47">
        <v>65021</v>
      </c>
      <c r="K192" s="125"/>
      <c r="L192" s="125" t="s">
        <v>1973</v>
      </c>
      <c r="M192" s="4"/>
      <c r="P192" s="346"/>
      <c r="Q192" s="346"/>
    </row>
    <row r="193" spans="1:19" ht="15" customHeight="1" x14ac:dyDescent="0.25">
      <c r="A193" s="25" t="s">
        <v>581</v>
      </c>
      <c r="B193" s="7" t="s">
        <v>11</v>
      </c>
      <c r="C193" s="7" t="s">
        <v>1766</v>
      </c>
      <c r="D193" s="7" t="s">
        <v>219</v>
      </c>
      <c r="E193" s="7" t="s">
        <v>220</v>
      </c>
      <c r="F193" s="7" t="s">
        <v>218</v>
      </c>
      <c r="G193" s="7">
        <v>2950</v>
      </c>
      <c r="H193" s="7">
        <v>470</v>
      </c>
      <c r="I193" s="7">
        <v>9198</v>
      </c>
      <c r="J193" s="34">
        <v>65021</v>
      </c>
      <c r="K193" s="7" t="s">
        <v>574</v>
      </c>
      <c r="L193" s="7" t="s">
        <v>1973</v>
      </c>
      <c r="M193" s="4"/>
      <c r="P193" s="346"/>
      <c r="Q193" s="346"/>
    </row>
    <row r="194" spans="1:19" ht="15" customHeight="1" x14ac:dyDescent="0.25">
      <c r="A194" s="27" t="s">
        <v>581</v>
      </c>
      <c r="B194" s="20" t="s">
        <v>597</v>
      </c>
      <c r="C194" s="20" t="s">
        <v>4031</v>
      </c>
      <c r="D194" s="20" t="s">
        <v>3887</v>
      </c>
      <c r="E194" s="20" t="s">
        <v>3888</v>
      </c>
      <c r="F194" s="20" t="s">
        <v>3889</v>
      </c>
      <c r="G194" s="20">
        <v>2899</v>
      </c>
      <c r="H194" s="20">
        <v>30</v>
      </c>
      <c r="I194" s="20">
        <v>9198</v>
      </c>
      <c r="J194" s="36">
        <v>65021</v>
      </c>
      <c r="K194" s="20" t="s">
        <v>574</v>
      </c>
      <c r="L194" s="20" t="s">
        <v>1973</v>
      </c>
      <c r="M194" s="4"/>
      <c r="P194" s="346"/>
      <c r="Q194" s="346"/>
    </row>
    <row r="195" spans="1:19" ht="15" customHeight="1" x14ac:dyDescent="0.25">
      <c r="A195" s="66" t="s">
        <v>581</v>
      </c>
      <c r="B195" s="67" t="s">
        <v>35</v>
      </c>
      <c r="C195" s="67" t="s">
        <v>4032</v>
      </c>
      <c r="D195" s="67" t="s">
        <v>3884</v>
      </c>
      <c r="E195" s="67" t="s">
        <v>3885</v>
      </c>
      <c r="F195" s="67" t="s">
        <v>3886</v>
      </c>
      <c r="G195" s="67">
        <v>2799</v>
      </c>
      <c r="H195" s="67">
        <v>5</v>
      </c>
      <c r="I195" s="67">
        <v>9198</v>
      </c>
      <c r="J195" s="68">
        <v>65021</v>
      </c>
      <c r="K195" s="67" t="s">
        <v>574</v>
      </c>
      <c r="L195" s="67" t="s">
        <v>1973</v>
      </c>
      <c r="M195" s="4"/>
      <c r="P195" s="346"/>
      <c r="Q195" s="346"/>
    </row>
    <row r="196" spans="1:19" ht="15" customHeight="1" x14ac:dyDescent="0.25">
      <c r="A196" s="153" t="s">
        <v>581</v>
      </c>
      <c r="B196" s="154" t="s">
        <v>3781</v>
      </c>
      <c r="C196" s="154" t="s">
        <v>5354</v>
      </c>
      <c r="D196" s="154" t="s">
        <v>5069</v>
      </c>
      <c r="E196" s="154" t="s">
        <v>5070</v>
      </c>
      <c r="F196" s="154" t="s">
        <v>5071</v>
      </c>
      <c r="G196" s="154">
        <v>3674</v>
      </c>
      <c r="H196" s="154">
        <v>1</v>
      </c>
      <c r="I196" s="154">
        <v>9198</v>
      </c>
      <c r="J196" s="155">
        <v>65021</v>
      </c>
      <c r="K196" s="199"/>
      <c r="L196" s="154" t="s">
        <v>1973</v>
      </c>
      <c r="M196" s="4"/>
      <c r="P196" s="346"/>
      <c r="Q196" s="346"/>
    </row>
    <row r="197" spans="1:19" ht="15" customHeight="1" x14ac:dyDescent="0.25">
      <c r="A197" s="45" t="s">
        <v>581</v>
      </c>
      <c r="B197" s="46" t="s">
        <v>4182</v>
      </c>
      <c r="C197" s="46" t="s">
        <v>5353</v>
      </c>
      <c r="D197" s="46" t="s">
        <v>5126</v>
      </c>
      <c r="E197" s="46" t="s">
        <v>5127</v>
      </c>
      <c r="F197" s="46" t="s">
        <v>5128</v>
      </c>
      <c r="G197" s="46">
        <v>3623</v>
      </c>
      <c r="H197" s="46">
        <v>10</v>
      </c>
      <c r="I197" s="46">
        <v>9198</v>
      </c>
      <c r="J197" s="47">
        <v>65021</v>
      </c>
      <c r="K197" s="46"/>
      <c r="L197" s="46" t="s">
        <v>1973</v>
      </c>
      <c r="M197" s="4"/>
      <c r="P197" s="346"/>
      <c r="Q197" s="346"/>
    </row>
    <row r="198" spans="1:19" ht="15" customHeight="1" x14ac:dyDescent="0.25">
      <c r="A198" s="45" t="s">
        <v>581</v>
      </c>
      <c r="B198" s="149" t="s">
        <v>1134</v>
      </c>
      <c r="C198" s="149" t="s">
        <v>5155</v>
      </c>
      <c r="D198" s="149" t="s">
        <v>5139</v>
      </c>
      <c r="E198" s="149" t="s">
        <v>5137</v>
      </c>
      <c r="F198" s="149" t="s">
        <v>5138</v>
      </c>
      <c r="G198" s="149">
        <v>2570</v>
      </c>
      <c r="H198" s="149">
        <v>10</v>
      </c>
      <c r="I198" s="149">
        <v>9198</v>
      </c>
      <c r="J198" s="149">
        <v>65021</v>
      </c>
      <c r="K198" s="149"/>
      <c r="L198" s="149" t="s">
        <v>1973</v>
      </c>
      <c r="M198" s="4"/>
      <c r="P198" s="346"/>
      <c r="Q198" s="346"/>
    </row>
    <row r="199" spans="1:19" s="4" customFormat="1" ht="15" customHeight="1" x14ac:dyDescent="0.25">
      <c r="A199" s="27" t="s">
        <v>93</v>
      </c>
      <c r="B199" s="20" t="s">
        <v>597</v>
      </c>
      <c r="C199" s="20" t="s">
        <v>4829</v>
      </c>
      <c r="D199" s="20" t="s">
        <v>4784</v>
      </c>
      <c r="E199" s="20" t="s">
        <v>4785</v>
      </c>
      <c r="F199" s="20" t="s">
        <v>4786</v>
      </c>
      <c r="G199" s="20">
        <v>2185</v>
      </c>
      <c r="H199" s="20">
        <v>5</v>
      </c>
      <c r="I199" s="20">
        <v>9198</v>
      </c>
      <c r="J199" s="36">
        <v>65110</v>
      </c>
      <c r="K199" s="20"/>
      <c r="L199" s="20" t="s">
        <v>2736</v>
      </c>
      <c r="P199" s="346">
        <v>11496</v>
      </c>
      <c r="Q199" s="345">
        <f>P199*100%/(30000)</f>
        <v>0.38319999999999999</v>
      </c>
      <c r="S199" s="128"/>
    </row>
    <row r="200" spans="1:19" ht="15" customHeight="1" x14ac:dyDescent="0.25">
      <c r="A200" s="21" t="s">
        <v>93</v>
      </c>
      <c r="B200" s="18" t="s">
        <v>198</v>
      </c>
      <c r="C200" s="18" t="s">
        <v>697</v>
      </c>
      <c r="D200" s="18" t="s">
        <v>95</v>
      </c>
      <c r="E200" s="18" t="s">
        <v>96</v>
      </c>
      <c r="F200" s="18" t="s">
        <v>1529</v>
      </c>
      <c r="G200" s="18">
        <v>2103</v>
      </c>
      <c r="H200" s="18">
        <v>30</v>
      </c>
      <c r="I200" s="18">
        <v>9198</v>
      </c>
      <c r="J200" s="33">
        <v>65110</v>
      </c>
      <c r="K200" s="18"/>
      <c r="L200" s="18" t="s">
        <v>2736</v>
      </c>
      <c r="M200" s="4"/>
      <c r="P200" s="346"/>
      <c r="Q200" s="346"/>
      <c r="S200" s="128"/>
    </row>
    <row r="201" spans="1:19" ht="14.25" customHeight="1" x14ac:dyDescent="0.25">
      <c r="A201" s="22" t="s">
        <v>93</v>
      </c>
      <c r="B201" s="16" t="s">
        <v>34</v>
      </c>
      <c r="C201" s="16" t="s">
        <v>700</v>
      </c>
      <c r="D201" s="16" t="s">
        <v>176</v>
      </c>
      <c r="E201" s="16" t="s">
        <v>172</v>
      </c>
      <c r="F201" s="16" t="s">
        <v>1531</v>
      </c>
      <c r="G201" s="16">
        <v>2108</v>
      </c>
      <c r="H201" s="16">
        <v>810</v>
      </c>
      <c r="I201" s="16">
        <v>9198</v>
      </c>
      <c r="J201" s="30">
        <v>65110</v>
      </c>
      <c r="K201" s="16"/>
      <c r="L201" s="16" t="s">
        <v>2736</v>
      </c>
      <c r="M201" s="4"/>
      <c r="P201" s="346"/>
      <c r="Q201" s="346"/>
      <c r="S201" s="128"/>
    </row>
    <row r="202" spans="1:19" ht="14.25" customHeight="1" x14ac:dyDescent="0.25">
      <c r="A202" s="28" t="s">
        <v>93</v>
      </c>
      <c r="B202" s="9" t="s">
        <v>249</v>
      </c>
      <c r="C202" s="10" t="s">
        <v>696</v>
      </c>
      <c r="D202" s="9" t="s">
        <v>447</v>
      </c>
      <c r="E202" s="9" t="s">
        <v>448</v>
      </c>
      <c r="F202" s="9" t="s">
        <v>449</v>
      </c>
      <c r="G202" s="9">
        <v>2110</v>
      </c>
      <c r="H202" s="9">
        <v>5</v>
      </c>
      <c r="I202" s="9">
        <v>9198</v>
      </c>
      <c r="J202" s="37">
        <v>65110</v>
      </c>
      <c r="K202" s="9"/>
      <c r="L202" s="9" t="s">
        <v>2736</v>
      </c>
      <c r="M202" s="4"/>
      <c r="P202" s="346"/>
      <c r="Q202" s="346"/>
      <c r="S202" s="128"/>
    </row>
    <row r="203" spans="1:19" ht="15" customHeight="1" x14ac:dyDescent="0.25">
      <c r="A203" s="45" t="s">
        <v>93</v>
      </c>
      <c r="B203" s="46" t="s">
        <v>1014</v>
      </c>
      <c r="C203" s="49" t="s">
        <v>1272</v>
      </c>
      <c r="D203" s="46" t="s">
        <v>1053</v>
      </c>
      <c r="E203" s="46" t="s">
        <v>1054</v>
      </c>
      <c r="F203" s="46" t="s">
        <v>1055</v>
      </c>
      <c r="G203" s="46">
        <v>2106</v>
      </c>
      <c r="H203" s="46">
        <v>110</v>
      </c>
      <c r="I203" s="46">
        <v>9198</v>
      </c>
      <c r="J203" s="47">
        <v>65110</v>
      </c>
      <c r="K203" s="46" t="s">
        <v>428</v>
      </c>
      <c r="L203" s="46" t="s">
        <v>2736</v>
      </c>
      <c r="M203" s="4"/>
      <c r="P203" s="346"/>
      <c r="Q203" s="346"/>
      <c r="S203" s="128"/>
    </row>
    <row r="204" spans="1:19" ht="15" customHeight="1" x14ac:dyDescent="0.25">
      <c r="A204" s="23" t="s">
        <v>93</v>
      </c>
      <c r="B204" s="13" t="s">
        <v>4</v>
      </c>
      <c r="C204" s="13" t="s">
        <v>699</v>
      </c>
      <c r="D204" s="13" t="s">
        <v>94</v>
      </c>
      <c r="E204" s="13" t="s">
        <v>1532</v>
      </c>
      <c r="F204" s="13" t="s">
        <v>1533</v>
      </c>
      <c r="G204" s="13">
        <v>2101</v>
      </c>
      <c r="H204" s="13">
        <v>400</v>
      </c>
      <c r="I204" s="13">
        <v>9198</v>
      </c>
      <c r="J204" s="31">
        <v>65110</v>
      </c>
      <c r="K204" s="13"/>
      <c r="L204" s="13" t="s">
        <v>2736</v>
      </c>
      <c r="M204" s="4"/>
      <c r="P204" s="346"/>
      <c r="Q204" s="346"/>
    </row>
    <row r="205" spans="1:19" ht="15" customHeight="1" x14ac:dyDescent="0.25">
      <c r="A205" s="66" t="s">
        <v>93</v>
      </c>
      <c r="B205" s="67" t="s">
        <v>35</v>
      </c>
      <c r="C205" s="67" t="s">
        <v>701</v>
      </c>
      <c r="D205" s="67" t="s">
        <v>171</v>
      </c>
      <c r="E205" s="67" t="s">
        <v>169</v>
      </c>
      <c r="F205" s="67" t="s">
        <v>170</v>
      </c>
      <c r="G205" s="67">
        <v>2109</v>
      </c>
      <c r="H205" s="67">
        <v>50</v>
      </c>
      <c r="I205" s="67">
        <v>9198</v>
      </c>
      <c r="J205" s="68">
        <v>65110</v>
      </c>
      <c r="K205" s="67"/>
      <c r="L205" s="67" t="s">
        <v>2736</v>
      </c>
      <c r="M205" s="4"/>
      <c r="P205" s="346"/>
      <c r="Q205" s="346"/>
    </row>
    <row r="206" spans="1:19" ht="15" customHeight="1" x14ac:dyDescent="0.25">
      <c r="A206" s="25" t="s">
        <v>93</v>
      </c>
      <c r="B206" s="7" t="s">
        <v>11</v>
      </c>
      <c r="C206" s="7" t="s">
        <v>698</v>
      </c>
      <c r="D206" s="7" t="s">
        <v>97</v>
      </c>
      <c r="E206" s="7" t="s">
        <v>98</v>
      </c>
      <c r="F206" s="7" t="s">
        <v>1530</v>
      </c>
      <c r="G206" s="7">
        <v>2105</v>
      </c>
      <c r="H206" s="7">
        <v>9075</v>
      </c>
      <c r="I206" s="7">
        <v>9198</v>
      </c>
      <c r="J206" s="34">
        <v>65110</v>
      </c>
      <c r="K206" s="7" t="s">
        <v>433</v>
      </c>
      <c r="L206" s="7" t="s">
        <v>2736</v>
      </c>
      <c r="M206" s="4"/>
      <c r="P206" s="346"/>
      <c r="Q206" s="346"/>
    </row>
    <row r="207" spans="1:19" ht="15" customHeight="1" x14ac:dyDescent="0.25">
      <c r="A207" s="153" t="s">
        <v>93</v>
      </c>
      <c r="B207" s="154" t="s">
        <v>3781</v>
      </c>
      <c r="C207" s="154" t="s">
        <v>4775</v>
      </c>
      <c r="D207" s="154" t="s">
        <v>4665</v>
      </c>
      <c r="E207" s="154" t="s">
        <v>4666</v>
      </c>
      <c r="F207" s="154" t="s">
        <v>4667</v>
      </c>
      <c r="G207" s="154">
        <v>2115</v>
      </c>
      <c r="H207" s="154">
        <v>1</v>
      </c>
      <c r="I207" s="154">
        <v>9198</v>
      </c>
      <c r="J207" s="155">
        <v>65110</v>
      </c>
      <c r="K207" s="154"/>
      <c r="L207" s="154" t="s">
        <v>2736</v>
      </c>
      <c r="M207" s="4"/>
      <c r="P207" s="346"/>
      <c r="Q207" s="346"/>
    </row>
    <row r="208" spans="1:19" ht="15" customHeight="1" x14ac:dyDescent="0.25">
      <c r="A208" s="45" t="s">
        <v>93</v>
      </c>
      <c r="B208" s="46" t="s">
        <v>1018</v>
      </c>
      <c r="C208" s="46" t="s">
        <v>1507</v>
      </c>
      <c r="D208" s="46" t="s">
        <v>6726</v>
      </c>
      <c r="E208" s="46" t="s">
        <v>6727</v>
      </c>
      <c r="F208" s="46" t="s">
        <v>6728</v>
      </c>
      <c r="G208" s="46"/>
      <c r="H208" s="46">
        <v>10</v>
      </c>
      <c r="I208" s="46">
        <v>9198</v>
      </c>
      <c r="J208" s="47">
        <v>65110</v>
      </c>
      <c r="K208" s="46"/>
      <c r="L208" s="46" t="s">
        <v>2736</v>
      </c>
      <c r="M208" s="4"/>
      <c r="P208" s="346"/>
      <c r="Q208" s="346"/>
    </row>
    <row r="209" spans="1:17" ht="15" customHeight="1" x14ac:dyDescent="0.25">
      <c r="A209" s="225" t="s">
        <v>93</v>
      </c>
      <c r="B209" s="226" t="s">
        <v>4946</v>
      </c>
      <c r="C209" s="226" t="s">
        <v>6815</v>
      </c>
      <c r="D209" s="226" t="s">
        <v>6642</v>
      </c>
      <c r="E209" s="226" t="s">
        <v>6643</v>
      </c>
      <c r="F209" s="226" t="s">
        <v>6644</v>
      </c>
      <c r="G209" s="226">
        <v>2570</v>
      </c>
      <c r="H209" s="226">
        <v>1000</v>
      </c>
      <c r="I209" s="226">
        <v>9198</v>
      </c>
      <c r="J209" s="227">
        <v>65110</v>
      </c>
      <c r="K209" s="226"/>
      <c r="L209" s="226" t="s">
        <v>2736</v>
      </c>
      <c r="M209" s="4"/>
      <c r="P209" s="346"/>
      <c r="Q209" s="346"/>
    </row>
    <row r="210" spans="1:17" ht="15" customHeight="1" x14ac:dyDescent="0.25">
      <c r="A210" s="27" t="s">
        <v>4201</v>
      </c>
      <c r="B210" s="20" t="s">
        <v>597</v>
      </c>
      <c r="C210" s="20" t="s">
        <v>1507</v>
      </c>
      <c r="D210" s="20" t="s">
        <v>7252</v>
      </c>
      <c r="E210" s="20" t="s">
        <v>7253</v>
      </c>
      <c r="F210" s="20" t="s">
        <v>7254</v>
      </c>
      <c r="G210" s="20">
        <v>2185</v>
      </c>
      <c r="H210" s="20">
        <v>5</v>
      </c>
      <c r="I210" s="20">
        <v>9198</v>
      </c>
      <c r="J210" s="36">
        <v>65110</v>
      </c>
      <c r="K210" s="20"/>
      <c r="L210" s="20" t="s">
        <v>2736</v>
      </c>
      <c r="M210" s="4"/>
      <c r="P210" s="347">
        <v>11486</v>
      </c>
      <c r="Q210" s="345">
        <f>P210*100%/(30000)</f>
        <v>0.38286666666666669</v>
      </c>
    </row>
    <row r="211" spans="1:17" ht="15" customHeight="1" x14ac:dyDescent="0.25">
      <c r="A211" s="21" t="s">
        <v>4201</v>
      </c>
      <c r="B211" s="18" t="s">
        <v>198</v>
      </c>
      <c r="C211" s="18" t="s">
        <v>1507</v>
      </c>
      <c r="D211" s="18" t="s">
        <v>7255</v>
      </c>
      <c r="E211" s="18" t="s">
        <v>7262</v>
      </c>
      <c r="F211" s="18" t="s">
        <v>7263</v>
      </c>
      <c r="G211" s="18">
        <v>2103</v>
      </c>
      <c r="H211" s="18">
        <v>30</v>
      </c>
      <c r="I211" s="18">
        <v>9198</v>
      </c>
      <c r="J211" s="33">
        <v>65110</v>
      </c>
      <c r="K211" s="18"/>
      <c r="L211" s="18" t="s">
        <v>2736</v>
      </c>
      <c r="M211" s="4"/>
      <c r="P211" s="347"/>
      <c r="Q211" s="346"/>
    </row>
    <row r="212" spans="1:17" ht="15" customHeight="1" x14ac:dyDescent="0.25">
      <c r="A212" s="22" t="s">
        <v>4201</v>
      </c>
      <c r="B212" s="16" t="s">
        <v>34</v>
      </c>
      <c r="C212" s="16" t="s">
        <v>1507</v>
      </c>
      <c r="D212" s="16" t="s">
        <v>7266</v>
      </c>
      <c r="E212" s="16" t="s">
        <v>7267</v>
      </c>
      <c r="F212" s="16" t="s">
        <v>7264</v>
      </c>
      <c r="G212" s="16">
        <v>2108</v>
      </c>
      <c r="H212" s="16">
        <v>810</v>
      </c>
      <c r="I212" s="16">
        <v>9198</v>
      </c>
      <c r="J212" s="30">
        <v>65110</v>
      </c>
      <c r="K212" s="16"/>
      <c r="L212" s="16" t="s">
        <v>2736</v>
      </c>
      <c r="M212" s="4"/>
      <c r="P212" s="347"/>
      <c r="Q212" s="346"/>
    </row>
    <row r="213" spans="1:17" ht="15" customHeight="1" x14ac:dyDescent="0.25">
      <c r="A213" s="28" t="s">
        <v>4201</v>
      </c>
      <c r="B213" s="9" t="s">
        <v>249</v>
      </c>
      <c r="C213" s="9" t="s">
        <v>1507</v>
      </c>
      <c r="D213" s="9" t="s">
        <v>7265</v>
      </c>
      <c r="E213" s="9" t="s">
        <v>7268</v>
      </c>
      <c r="F213" s="9" t="s">
        <v>7269</v>
      </c>
      <c r="G213" s="9">
        <v>2110</v>
      </c>
      <c r="H213" s="9">
        <v>5</v>
      </c>
      <c r="I213" s="9">
        <v>9198</v>
      </c>
      <c r="J213" s="37">
        <v>65110</v>
      </c>
      <c r="K213" s="9"/>
      <c r="L213" s="9" t="s">
        <v>2736</v>
      </c>
      <c r="M213" s="4"/>
      <c r="P213" s="347"/>
      <c r="Q213" s="346"/>
    </row>
    <row r="214" spans="1:17" ht="15" customHeight="1" x14ac:dyDescent="0.25">
      <c r="A214" s="45" t="s">
        <v>4201</v>
      </c>
      <c r="B214" s="46" t="s">
        <v>1014</v>
      </c>
      <c r="C214" s="46" t="s">
        <v>1507</v>
      </c>
      <c r="D214" s="46" t="s">
        <v>7259</v>
      </c>
      <c r="E214" s="46" t="s">
        <v>7260</v>
      </c>
      <c r="F214" s="46" t="s">
        <v>7261</v>
      </c>
      <c r="G214" s="46">
        <v>2106</v>
      </c>
      <c r="H214" s="46">
        <v>110</v>
      </c>
      <c r="I214" s="46">
        <v>9198</v>
      </c>
      <c r="J214" s="46">
        <v>65110</v>
      </c>
      <c r="K214" s="46"/>
      <c r="L214" s="46" t="s">
        <v>2736</v>
      </c>
      <c r="M214" s="46"/>
      <c r="N214" s="46"/>
      <c r="O214" s="47"/>
      <c r="P214" s="347"/>
      <c r="Q214" s="346"/>
    </row>
    <row r="215" spans="1:17" ht="15" customHeight="1" x14ac:dyDescent="0.25">
      <c r="A215" s="23" t="s">
        <v>4201</v>
      </c>
      <c r="B215" s="13" t="s">
        <v>4</v>
      </c>
      <c r="C215" s="13" t="s">
        <v>1507</v>
      </c>
      <c r="D215" s="13" t="s">
        <v>7270</v>
      </c>
      <c r="E215" s="13" t="s">
        <v>7271</v>
      </c>
      <c r="F215" s="13" t="s">
        <v>7272</v>
      </c>
      <c r="G215" s="13">
        <v>2101</v>
      </c>
      <c r="H215" s="13">
        <v>400</v>
      </c>
      <c r="I215" s="13">
        <v>9198</v>
      </c>
      <c r="J215" s="31">
        <v>65110</v>
      </c>
      <c r="K215" s="13"/>
      <c r="L215" s="13" t="s">
        <v>2736</v>
      </c>
      <c r="M215" s="4"/>
      <c r="P215" s="347"/>
      <c r="Q215" s="346"/>
    </row>
    <row r="216" spans="1:17" ht="15" customHeight="1" x14ac:dyDescent="0.25">
      <c r="A216" s="66" t="s">
        <v>4201</v>
      </c>
      <c r="B216" s="67" t="s">
        <v>35</v>
      </c>
      <c r="C216" s="67" t="s">
        <v>1507</v>
      </c>
      <c r="D216" s="67" t="s">
        <v>7273</v>
      </c>
      <c r="E216" s="67" t="s">
        <v>7274</v>
      </c>
      <c r="F216" s="67" t="s">
        <v>7275</v>
      </c>
      <c r="G216" s="67">
        <v>2109</v>
      </c>
      <c r="H216" s="67">
        <v>50</v>
      </c>
      <c r="I216" s="67">
        <v>9198</v>
      </c>
      <c r="J216" s="67">
        <v>65110</v>
      </c>
      <c r="K216" s="67"/>
      <c r="L216" s="67" t="s">
        <v>2736</v>
      </c>
      <c r="M216" s="4"/>
      <c r="P216" s="347"/>
      <c r="Q216" s="346"/>
    </row>
    <row r="217" spans="1:17" ht="15" customHeight="1" x14ac:dyDescent="0.25">
      <c r="A217" s="25" t="s">
        <v>4201</v>
      </c>
      <c r="B217" s="7" t="s">
        <v>11</v>
      </c>
      <c r="C217" s="7" t="s">
        <v>1507</v>
      </c>
      <c r="D217" s="7" t="s">
        <v>7276</v>
      </c>
      <c r="E217" s="7" t="s">
        <v>7277</v>
      </c>
      <c r="F217" s="7" t="s">
        <v>7278</v>
      </c>
      <c r="G217" s="7">
        <v>2105</v>
      </c>
      <c r="H217" s="7">
        <v>9075</v>
      </c>
      <c r="I217" s="7">
        <v>9198</v>
      </c>
      <c r="J217" s="7">
        <v>65110</v>
      </c>
      <c r="K217" s="7" t="s">
        <v>433</v>
      </c>
      <c r="L217" s="7" t="s">
        <v>2736</v>
      </c>
      <c r="M217" s="4"/>
      <c r="P217" s="347"/>
      <c r="Q217" s="346"/>
    </row>
    <row r="218" spans="1:17" ht="15" customHeight="1" x14ac:dyDescent="0.25">
      <c r="A218" s="153" t="s">
        <v>4201</v>
      </c>
      <c r="B218" s="153" t="s">
        <v>3781</v>
      </c>
      <c r="C218" s="153" t="s">
        <v>1507</v>
      </c>
      <c r="D218" s="153" t="s">
        <v>7256</v>
      </c>
      <c r="E218" s="153" t="s">
        <v>7257</v>
      </c>
      <c r="F218" s="153" t="s">
        <v>7258</v>
      </c>
      <c r="G218" s="153">
        <v>2115</v>
      </c>
      <c r="H218" s="153">
        <v>1</v>
      </c>
      <c r="I218" s="153">
        <v>9198</v>
      </c>
      <c r="J218" s="153">
        <v>65110</v>
      </c>
      <c r="K218" s="154"/>
      <c r="L218" s="154" t="s">
        <v>2736</v>
      </c>
      <c r="M218" s="4"/>
      <c r="P218" s="347"/>
      <c r="Q218" s="346"/>
    </row>
    <row r="219" spans="1:17" ht="15" customHeight="1" x14ac:dyDescent="0.25">
      <c r="A219" s="225" t="s">
        <v>4201</v>
      </c>
      <c r="B219" s="226" t="s">
        <v>4946</v>
      </c>
      <c r="C219" s="312" t="s">
        <v>1507</v>
      </c>
      <c r="D219" s="312" t="s">
        <v>7280</v>
      </c>
      <c r="E219" s="312" t="s">
        <v>7281</v>
      </c>
      <c r="F219" s="312" t="s">
        <v>7282</v>
      </c>
      <c r="G219" s="226">
        <v>2570</v>
      </c>
      <c r="H219" s="312">
        <v>1000</v>
      </c>
      <c r="I219" s="312">
        <v>9198</v>
      </c>
      <c r="J219" s="227">
        <v>65110</v>
      </c>
      <c r="K219" s="312"/>
      <c r="L219" s="226" t="s">
        <v>2736</v>
      </c>
      <c r="M219" s="4"/>
      <c r="P219" s="347"/>
      <c r="Q219" s="346"/>
    </row>
    <row r="220" spans="1:17" ht="15" customHeight="1" x14ac:dyDescent="0.25">
      <c r="A220" s="27" t="s">
        <v>584</v>
      </c>
      <c r="B220" s="20" t="s">
        <v>597</v>
      </c>
      <c r="C220" s="20" t="s">
        <v>1273</v>
      </c>
      <c r="D220" s="20" t="s">
        <v>1173</v>
      </c>
      <c r="E220" s="20" t="s">
        <v>1174</v>
      </c>
      <c r="F220" s="20" t="s">
        <v>1175</v>
      </c>
      <c r="G220" s="20">
        <v>3009</v>
      </c>
      <c r="H220" s="20">
        <v>75</v>
      </c>
      <c r="I220" s="20">
        <v>9198</v>
      </c>
      <c r="J220" s="36">
        <v>65002</v>
      </c>
      <c r="K220" s="20"/>
      <c r="L220" s="20" t="s">
        <v>1973</v>
      </c>
      <c r="M220" s="4"/>
      <c r="P220" s="346">
        <v>8882</v>
      </c>
      <c r="Q220" s="345">
        <f>P220*100%/(10000)</f>
        <v>0.88819999999999999</v>
      </c>
    </row>
    <row r="221" spans="1:17" ht="15" customHeight="1" x14ac:dyDescent="0.25">
      <c r="A221" s="21" t="s">
        <v>584</v>
      </c>
      <c r="B221" s="18" t="s">
        <v>198</v>
      </c>
      <c r="C221" s="18" t="s">
        <v>704</v>
      </c>
      <c r="D221" s="18" t="s">
        <v>101</v>
      </c>
      <c r="E221" s="18" t="s">
        <v>102</v>
      </c>
      <c r="F221" s="18" t="s">
        <v>1534</v>
      </c>
      <c r="G221" s="18">
        <v>797</v>
      </c>
      <c r="H221" s="18">
        <v>15</v>
      </c>
      <c r="I221" s="18">
        <v>9198</v>
      </c>
      <c r="J221" s="33">
        <v>65002</v>
      </c>
      <c r="K221" s="18"/>
      <c r="L221" s="18" t="s">
        <v>1973</v>
      </c>
      <c r="M221" s="4"/>
      <c r="P221" s="346"/>
      <c r="Q221" s="346"/>
    </row>
    <row r="222" spans="1:17" ht="15" customHeight="1" x14ac:dyDescent="0.25">
      <c r="A222" s="22" t="s">
        <v>584</v>
      </c>
      <c r="B222" s="16" t="s">
        <v>34</v>
      </c>
      <c r="C222" s="16" t="s">
        <v>702</v>
      </c>
      <c r="D222" s="16" t="s">
        <v>104</v>
      </c>
      <c r="E222" s="16" t="s">
        <v>105</v>
      </c>
      <c r="F222" s="16" t="s">
        <v>1537</v>
      </c>
      <c r="G222" s="16">
        <v>3008</v>
      </c>
      <c r="H222" s="16">
        <v>3596</v>
      </c>
      <c r="I222" s="16">
        <v>9198</v>
      </c>
      <c r="J222" s="30">
        <v>65002</v>
      </c>
      <c r="K222" s="16"/>
      <c r="L222" s="16" t="s">
        <v>1973</v>
      </c>
      <c r="M222" s="4"/>
      <c r="P222" s="346"/>
      <c r="Q222" s="346"/>
    </row>
    <row r="223" spans="1:17" ht="15" customHeight="1" x14ac:dyDescent="0.25">
      <c r="A223" s="45" t="s">
        <v>584</v>
      </c>
      <c r="B223" s="46" t="s">
        <v>1014</v>
      </c>
      <c r="C223" s="49" t="s">
        <v>1142</v>
      </c>
      <c r="D223" s="46" t="s">
        <v>1071</v>
      </c>
      <c r="E223" s="46" t="s">
        <v>1072</v>
      </c>
      <c r="F223" s="46" t="s">
        <v>1073</v>
      </c>
      <c r="G223" s="46">
        <v>2006</v>
      </c>
      <c r="H223" s="46">
        <v>90</v>
      </c>
      <c r="I223" s="46">
        <v>9198</v>
      </c>
      <c r="J223" s="47">
        <v>65002</v>
      </c>
      <c r="K223" s="46" t="s">
        <v>428</v>
      </c>
      <c r="L223" s="46" t="s">
        <v>1973</v>
      </c>
      <c r="M223" s="4"/>
      <c r="P223" s="346"/>
      <c r="Q223" s="346"/>
    </row>
    <row r="224" spans="1:17" ht="15" customHeight="1" x14ac:dyDescent="0.25">
      <c r="A224" s="23" t="s">
        <v>584</v>
      </c>
      <c r="B224" s="13" t="s">
        <v>4</v>
      </c>
      <c r="C224" s="13" t="s">
        <v>705</v>
      </c>
      <c r="D224" s="13" t="s">
        <v>99</v>
      </c>
      <c r="E224" s="13" t="s">
        <v>100</v>
      </c>
      <c r="F224" s="13" t="s">
        <v>1538</v>
      </c>
      <c r="G224" s="13">
        <v>794</v>
      </c>
      <c r="H224" s="13">
        <v>170</v>
      </c>
      <c r="I224" s="13">
        <v>9198</v>
      </c>
      <c r="J224" s="31">
        <v>65002</v>
      </c>
      <c r="K224" s="13"/>
      <c r="L224" s="13" t="s">
        <v>1973</v>
      </c>
      <c r="M224" s="4"/>
      <c r="P224" s="346"/>
      <c r="Q224" s="346"/>
    </row>
    <row r="225" spans="1:19" ht="15" customHeight="1" x14ac:dyDescent="0.25">
      <c r="A225" s="66" t="s">
        <v>584</v>
      </c>
      <c r="B225" s="67" t="s">
        <v>35</v>
      </c>
      <c r="C225" s="67" t="s">
        <v>706</v>
      </c>
      <c r="D225" s="67" t="s">
        <v>175</v>
      </c>
      <c r="E225" s="67" t="s">
        <v>173</v>
      </c>
      <c r="F225" s="67" t="s">
        <v>174</v>
      </c>
      <c r="G225" s="67">
        <v>2938</v>
      </c>
      <c r="H225" s="67">
        <v>20</v>
      </c>
      <c r="I225" s="67">
        <v>9198</v>
      </c>
      <c r="J225" s="68">
        <v>65002</v>
      </c>
      <c r="K225" s="67"/>
      <c r="L225" s="67" t="s">
        <v>1973</v>
      </c>
      <c r="M225" s="4"/>
      <c r="P225" s="346"/>
      <c r="Q225" s="346"/>
    </row>
    <row r="226" spans="1:19" ht="15" customHeight="1" x14ac:dyDescent="0.25">
      <c r="A226" s="25" t="s">
        <v>584</v>
      </c>
      <c r="B226" s="7" t="s">
        <v>11</v>
      </c>
      <c r="C226" s="7" t="s">
        <v>703</v>
      </c>
      <c r="D226" s="7" t="s">
        <v>103</v>
      </c>
      <c r="E226" s="7" t="s">
        <v>1535</v>
      </c>
      <c r="F226" s="7" t="s">
        <v>1536</v>
      </c>
      <c r="G226" s="7">
        <v>2001</v>
      </c>
      <c r="H226" s="7">
        <v>3800</v>
      </c>
      <c r="I226" s="7">
        <v>9198</v>
      </c>
      <c r="J226" s="34">
        <v>65002</v>
      </c>
      <c r="K226" s="7" t="s">
        <v>433</v>
      </c>
      <c r="L226" s="7" t="s">
        <v>1973</v>
      </c>
      <c r="M226" s="4"/>
      <c r="P226" s="346"/>
      <c r="Q226" s="346"/>
    </row>
    <row r="227" spans="1:19" ht="15" customHeight="1" x14ac:dyDescent="0.25">
      <c r="A227" s="25" t="s">
        <v>584</v>
      </c>
      <c r="B227" s="57" t="s">
        <v>3825</v>
      </c>
      <c r="C227" s="57" t="s">
        <v>4111</v>
      </c>
      <c r="D227" s="7" t="s">
        <v>3832</v>
      </c>
      <c r="E227" s="7" t="s">
        <v>3833</v>
      </c>
      <c r="F227" s="7" t="s">
        <v>3834</v>
      </c>
      <c r="G227" s="7">
        <v>2125</v>
      </c>
      <c r="H227" s="7">
        <v>70</v>
      </c>
      <c r="I227" s="7">
        <v>9198</v>
      </c>
      <c r="J227" s="34">
        <v>65002</v>
      </c>
      <c r="K227" s="7" t="s">
        <v>428</v>
      </c>
      <c r="L227" s="7" t="s">
        <v>1973</v>
      </c>
      <c r="M227" s="4"/>
      <c r="P227" s="346"/>
      <c r="Q227" s="346"/>
    </row>
    <row r="228" spans="1:19" ht="15" customHeight="1" x14ac:dyDescent="0.25">
      <c r="A228" s="153" t="s">
        <v>584</v>
      </c>
      <c r="B228" s="154" t="s">
        <v>3781</v>
      </c>
      <c r="C228" s="154" t="s">
        <v>4305</v>
      </c>
      <c r="D228" s="154" t="s">
        <v>4048</v>
      </c>
      <c r="E228" s="154" t="s">
        <v>4049</v>
      </c>
      <c r="F228" s="154" t="s">
        <v>4050</v>
      </c>
      <c r="G228" s="154">
        <v>1775</v>
      </c>
      <c r="H228" s="154">
        <v>1</v>
      </c>
      <c r="I228" s="154">
        <v>9198</v>
      </c>
      <c r="J228" s="155">
        <v>65002</v>
      </c>
      <c r="K228" s="154"/>
      <c r="L228" s="154" t="s">
        <v>1973</v>
      </c>
      <c r="M228" s="4"/>
      <c r="P228" s="346"/>
      <c r="Q228" s="346"/>
    </row>
    <row r="229" spans="1:19" ht="15" customHeight="1" x14ac:dyDescent="0.25">
      <c r="A229" s="225" t="s">
        <v>584</v>
      </c>
      <c r="B229" s="226" t="s">
        <v>4946</v>
      </c>
      <c r="C229" s="226" t="s">
        <v>6816</v>
      </c>
      <c r="D229" s="226" t="s">
        <v>6645</v>
      </c>
      <c r="E229" s="226" t="s">
        <v>6646</v>
      </c>
      <c r="F229" s="226" t="s">
        <v>6647</v>
      </c>
      <c r="G229" s="226">
        <v>2570</v>
      </c>
      <c r="H229" s="226">
        <v>1000</v>
      </c>
      <c r="I229" s="226">
        <v>9198</v>
      </c>
      <c r="J229" s="227">
        <v>65002</v>
      </c>
      <c r="K229" s="226"/>
      <c r="L229" s="226" t="s">
        <v>1973</v>
      </c>
      <c r="M229" s="4"/>
      <c r="P229" s="346"/>
      <c r="Q229" s="346"/>
    </row>
    <row r="230" spans="1:19" ht="15" customHeight="1" x14ac:dyDescent="0.25">
      <c r="A230" s="27" t="s">
        <v>5970</v>
      </c>
      <c r="B230" s="20" t="s">
        <v>597</v>
      </c>
      <c r="C230" s="20" t="s">
        <v>6272</v>
      </c>
      <c r="D230" s="20" t="s">
        <v>5971</v>
      </c>
      <c r="E230" s="20" t="s">
        <v>5972</v>
      </c>
      <c r="F230" s="20" t="s">
        <v>5973</v>
      </c>
      <c r="G230" s="20">
        <v>3009</v>
      </c>
      <c r="H230" s="20">
        <v>120</v>
      </c>
      <c r="I230" s="20">
        <v>9198</v>
      </c>
      <c r="J230" s="36">
        <v>65002</v>
      </c>
      <c r="K230" s="20"/>
      <c r="L230" s="20" t="s">
        <v>1973</v>
      </c>
      <c r="M230" s="4"/>
      <c r="P230" s="346">
        <v>8882</v>
      </c>
      <c r="Q230" s="345">
        <f>P230*100%/(10000)</f>
        <v>0.88819999999999999</v>
      </c>
    </row>
    <row r="231" spans="1:19" ht="15" customHeight="1" x14ac:dyDescent="0.25">
      <c r="A231" s="21" t="s">
        <v>5970</v>
      </c>
      <c r="B231" s="18" t="s">
        <v>198</v>
      </c>
      <c r="C231" s="18" t="s">
        <v>6273</v>
      </c>
      <c r="D231" s="18" t="s">
        <v>5974</v>
      </c>
      <c r="E231" s="18" t="s">
        <v>5975</v>
      </c>
      <c r="F231" s="18" t="s">
        <v>5976</v>
      </c>
      <c r="G231" s="18">
        <v>2797</v>
      </c>
      <c r="H231" s="18">
        <v>15</v>
      </c>
      <c r="I231" s="18">
        <v>9198</v>
      </c>
      <c r="J231" s="33">
        <v>65002</v>
      </c>
      <c r="K231" s="18"/>
      <c r="L231" s="18" t="s">
        <v>1973</v>
      </c>
      <c r="M231" s="4"/>
      <c r="P231" s="346"/>
      <c r="Q231" s="346"/>
    </row>
    <row r="232" spans="1:19" ht="15" customHeight="1" x14ac:dyDescent="0.25">
      <c r="A232" s="22" t="s">
        <v>5970</v>
      </c>
      <c r="B232" s="16" t="s">
        <v>34</v>
      </c>
      <c r="C232" s="16" t="s">
        <v>6274</v>
      </c>
      <c r="D232" s="16" t="s">
        <v>5977</v>
      </c>
      <c r="E232" s="16" t="s">
        <v>5983</v>
      </c>
      <c r="F232" s="16" t="s">
        <v>5989</v>
      </c>
      <c r="G232" s="16">
        <v>3008</v>
      </c>
      <c r="H232" s="16">
        <v>3596</v>
      </c>
      <c r="I232" s="16">
        <v>9198</v>
      </c>
      <c r="J232" s="30">
        <v>65002</v>
      </c>
      <c r="K232" s="16"/>
      <c r="L232" s="16" t="s">
        <v>1973</v>
      </c>
      <c r="M232" s="4"/>
      <c r="P232" s="346"/>
      <c r="Q232" s="346"/>
    </row>
    <row r="233" spans="1:19" ht="15" customHeight="1" x14ac:dyDescent="0.25">
      <c r="A233" s="45" t="s">
        <v>5970</v>
      </c>
      <c r="B233" s="46" t="s">
        <v>1014</v>
      </c>
      <c r="C233" s="49" t="s">
        <v>6275</v>
      </c>
      <c r="D233" s="46" t="s">
        <v>5978</v>
      </c>
      <c r="E233" s="46" t="s">
        <v>5984</v>
      </c>
      <c r="F233" s="46" t="s">
        <v>5990</v>
      </c>
      <c r="G233" s="46">
        <v>2022</v>
      </c>
      <c r="H233" s="46">
        <v>90</v>
      </c>
      <c r="I233" s="46">
        <v>9198</v>
      </c>
      <c r="J233" s="47">
        <v>65002</v>
      </c>
      <c r="K233" s="46" t="s">
        <v>428</v>
      </c>
      <c r="L233" s="46" t="s">
        <v>1973</v>
      </c>
      <c r="M233" s="4"/>
      <c r="P233" s="346"/>
      <c r="Q233" s="346"/>
    </row>
    <row r="234" spans="1:19" ht="15" customHeight="1" x14ac:dyDescent="0.25">
      <c r="A234" s="23" t="s">
        <v>5970</v>
      </c>
      <c r="B234" s="13" t="s">
        <v>4</v>
      </c>
      <c r="C234" s="13" t="s">
        <v>6276</v>
      </c>
      <c r="D234" s="13" t="s">
        <v>5979</v>
      </c>
      <c r="E234" s="13" t="s">
        <v>5985</v>
      </c>
      <c r="F234" s="13" t="s">
        <v>5991</v>
      </c>
      <c r="G234" s="13">
        <v>1794</v>
      </c>
      <c r="H234" s="13">
        <v>170</v>
      </c>
      <c r="I234" s="13">
        <v>9198</v>
      </c>
      <c r="J234" s="31">
        <v>65002</v>
      </c>
      <c r="K234" s="13"/>
      <c r="L234" s="13" t="s">
        <v>1973</v>
      </c>
      <c r="M234" s="4"/>
      <c r="P234" s="346"/>
      <c r="Q234" s="346"/>
    </row>
    <row r="235" spans="1:19" ht="15" customHeight="1" x14ac:dyDescent="0.25">
      <c r="A235" s="66" t="s">
        <v>5970</v>
      </c>
      <c r="B235" s="67" t="s">
        <v>35</v>
      </c>
      <c r="C235" s="67" t="s">
        <v>6277</v>
      </c>
      <c r="D235" s="67" t="s">
        <v>5980</v>
      </c>
      <c r="E235" s="67" t="s">
        <v>5986</v>
      </c>
      <c r="F235" s="67" t="s">
        <v>5992</v>
      </c>
      <c r="G235" s="67">
        <v>2938</v>
      </c>
      <c r="H235" s="67">
        <v>20</v>
      </c>
      <c r="I235" s="67">
        <v>9198</v>
      </c>
      <c r="J235" s="68">
        <v>65002</v>
      </c>
      <c r="K235" s="67"/>
      <c r="L235" s="67" t="s">
        <v>1973</v>
      </c>
      <c r="M235" s="4"/>
      <c r="P235" s="346"/>
      <c r="Q235" s="346"/>
    </row>
    <row r="236" spans="1:19" ht="15" customHeight="1" x14ac:dyDescent="0.25">
      <c r="A236" s="25" t="s">
        <v>5970</v>
      </c>
      <c r="B236" s="7" t="s">
        <v>11</v>
      </c>
      <c r="C236" s="7" t="s">
        <v>6278</v>
      </c>
      <c r="D236" s="7" t="s">
        <v>5981</v>
      </c>
      <c r="E236" s="7" t="s">
        <v>5987</v>
      </c>
      <c r="F236" s="7" t="s">
        <v>5993</v>
      </c>
      <c r="G236" s="7">
        <v>2111</v>
      </c>
      <c r="H236" s="7">
        <v>3800</v>
      </c>
      <c r="I236" s="7">
        <v>9198</v>
      </c>
      <c r="J236" s="34">
        <v>65002</v>
      </c>
      <c r="K236" s="7" t="s">
        <v>433</v>
      </c>
      <c r="L236" s="7" t="s">
        <v>1973</v>
      </c>
      <c r="M236" s="4"/>
      <c r="P236" s="346"/>
      <c r="Q236" s="346"/>
    </row>
    <row r="237" spans="1:19" ht="15" customHeight="1" x14ac:dyDescent="0.25">
      <c r="A237" s="25" t="s">
        <v>5970</v>
      </c>
      <c r="B237" s="57" t="s">
        <v>3825</v>
      </c>
      <c r="C237" s="57" t="s">
        <v>6279</v>
      </c>
      <c r="D237" s="7" t="s">
        <v>5982</v>
      </c>
      <c r="E237" s="7" t="s">
        <v>5988</v>
      </c>
      <c r="F237" s="7" t="s">
        <v>5994</v>
      </c>
      <c r="G237" s="7">
        <v>2124</v>
      </c>
      <c r="H237" s="7">
        <v>70</v>
      </c>
      <c r="I237" s="7">
        <v>9198</v>
      </c>
      <c r="J237" s="34">
        <v>65002</v>
      </c>
      <c r="K237" s="7" t="s">
        <v>428</v>
      </c>
      <c r="L237" s="7" t="s">
        <v>1973</v>
      </c>
      <c r="M237" s="4"/>
      <c r="P237" s="346"/>
      <c r="Q237" s="346"/>
    </row>
    <row r="238" spans="1:19" ht="15" customHeight="1" x14ac:dyDescent="0.25">
      <c r="A238" s="153" t="s">
        <v>5970</v>
      </c>
      <c r="B238" s="154" t="s">
        <v>3781</v>
      </c>
      <c r="C238" s="154" t="s">
        <v>6280</v>
      </c>
      <c r="D238" s="154" t="s">
        <v>5995</v>
      </c>
      <c r="E238" s="154" t="s">
        <v>5996</v>
      </c>
      <c r="F238" s="154" t="s">
        <v>5997</v>
      </c>
      <c r="G238" s="154">
        <v>1780</v>
      </c>
      <c r="H238" s="154">
        <v>1</v>
      </c>
      <c r="I238" s="154">
        <v>9198</v>
      </c>
      <c r="J238" s="155">
        <v>65002</v>
      </c>
      <c r="K238" s="154"/>
      <c r="L238" s="154" t="s">
        <v>1973</v>
      </c>
      <c r="M238" s="4"/>
      <c r="P238" s="346"/>
      <c r="Q238" s="346"/>
    </row>
    <row r="239" spans="1:19" ht="15" customHeight="1" x14ac:dyDescent="0.25">
      <c r="A239" s="225" t="s">
        <v>5970</v>
      </c>
      <c r="B239" s="226" t="s">
        <v>4946</v>
      </c>
      <c r="C239" s="226" t="s">
        <v>6817</v>
      </c>
      <c r="D239" s="226" t="s">
        <v>6648</v>
      </c>
      <c r="E239" s="226" t="s">
        <v>6649</v>
      </c>
      <c r="F239" s="226" t="s">
        <v>6650</v>
      </c>
      <c r="G239" s="226">
        <v>2570</v>
      </c>
      <c r="H239" s="226">
        <v>1000</v>
      </c>
      <c r="I239" s="226">
        <v>9198</v>
      </c>
      <c r="J239" s="227">
        <v>65002</v>
      </c>
      <c r="K239" s="226"/>
      <c r="L239" s="226" t="s">
        <v>1973</v>
      </c>
      <c r="M239" s="4"/>
      <c r="P239" s="346"/>
      <c r="Q239" s="346"/>
    </row>
    <row r="240" spans="1:19" ht="15" customHeight="1" x14ac:dyDescent="0.25">
      <c r="A240" s="27" t="s">
        <v>106</v>
      </c>
      <c r="B240" s="20" t="s">
        <v>597</v>
      </c>
      <c r="C240" s="20" t="s">
        <v>1274</v>
      </c>
      <c r="D240" s="20" t="s">
        <v>1188</v>
      </c>
      <c r="E240" s="20" t="s">
        <v>1189</v>
      </c>
      <c r="F240" s="20" t="s">
        <v>1190</v>
      </c>
      <c r="G240" s="20">
        <v>1975</v>
      </c>
      <c r="H240" s="20">
        <v>45</v>
      </c>
      <c r="I240" s="20">
        <v>9198</v>
      </c>
      <c r="J240" s="36">
        <v>65234</v>
      </c>
      <c r="K240" s="20"/>
      <c r="L240" s="20" t="s">
        <v>1972</v>
      </c>
      <c r="M240" s="4"/>
      <c r="P240" s="346">
        <v>5072</v>
      </c>
      <c r="Q240" s="345">
        <f>P240*100%/(20000)</f>
        <v>0.25359999999999999</v>
      </c>
      <c r="R240" s="146" t="s">
        <v>3478</v>
      </c>
      <c r="S240" s="128" t="s">
        <v>3479</v>
      </c>
    </row>
    <row r="241" spans="1:20" s="4" customFormat="1" ht="15" customHeight="1" x14ac:dyDescent="0.25">
      <c r="A241" s="21" t="s">
        <v>106</v>
      </c>
      <c r="B241" s="18" t="s">
        <v>198</v>
      </c>
      <c r="C241" s="18" t="s">
        <v>715</v>
      </c>
      <c r="D241" s="18" t="s">
        <v>109</v>
      </c>
      <c r="E241" s="18" t="s">
        <v>1539</v>
      </c>
      <c r="F241" s="18" t="s">
        <v>1540</v>
      </c>
      <c r="G241" s="18">
        <v>3021</v>
      </c>
      <c r="H241" s="18">
        <v>25</v>
      </c>
      <c r="I241" s="18">
        <v>9198</v>
      </c>
      <c r="J241" s="33">
        <v>65234</v>
      </c>
      <c r="K241" s="18"/>
      <c r="L241" s="18" t="s">
        <v>1972</v>
      </c>
      <c r="P241" s="346"/>
      <c r="Q241" s="346"/>
      <c r="R241" s="169" t="s">
        <v>3689</v>
      </c>
      <c r="S241" s="128"/>
      <c r="T241" s="1"/>
    </row>
    <row r="242" spans="1:20" s="4" customFormat="1" ht="15" customHeight="1" x14ac:dyDescent="0.25">
      <c r="A242" s="22" t="s">
        <v>106</v>
      </c>
      <c r="B242" s="16" t="s">
        <v>34</v>
      </c>
      <c r="C242" s="16" t="s">
        <v>717</v>
      </c>
      <c r="D242" s="16" t="s">
        <v>230</v>
      </c>
      <c r="E242" s="16" t="s">
        <v>229</v>
      </c>
      <c r="F242" s="16" t="s">
        <v>228</v>
      </c>
      <c r="G242" s="16">
        <v>3020</v>
      </c>
      <c r="H242" s="16">
        <v>942</v>
      </c>
      <c r="I242" s="16">
        <v>9198</v>
      </c>
      <c r="J242" s="30">
        <v>65234</v>
      </c>
      <c r="K242" s="16"/>
      <c r="L242" s="16" t="s">
        <v>1972</v>
      </c>
      <c r="P242" s="346"/>
      <c r="Q242" s="346"/>
      <c r="R242" s="169" t="s">
        <v>3695</v>
      </c>
      <c r="S242" s="128"/>
      <c r="T242" s="1"/>
    </row>
    <row r="243" spans="1:20" ht="15" customHeight="1" x14ac:dyDescent="0.25">
      <c r="A243" s="45" t="s">
        <v>106</v>
      </c>
      <c r="B243" s="46" t="s">
        <v>1014</v>
      </c>
      <c r="C243" s="46" t="s">
        <v>1143</v>
      </c>
      <c r="D243" s="46" t="s">
        <v>1032</v>
      </c>
      <c r="E243" s="46" t="s">
        <v>1033</v>
      </c>
      <c r="F243" s="46" t="s">
        <v>1034</v>
      </c>
      <c r="G243" s="46">
        <v>3022</v>
      </c>
      <c r="H243" s="46">
        <v>97</v>
      </c>
      <c r="I243" s="46">
        <v>9198</v>
      </c>
      <c r="J243" s="47">
        <v>65234</v>
      </c>
      <c r="K243" s="46" t="s">
        <v>428</v>
      </c>
      <c r="L243" s="46" t="s">
        <v>1972</v>
      </c>
      <c r="M243" s="4"/>
      <c r="P243" s="346"/>
      <c r="Q243" s="346"/>
      <c r="R243" s="182" t="s">
        <v>3932</v>
      </c>
      <c r="S243" s="128" t="s">
        <v>3931</v>
      </c>
    </row>
    <row r="244" spans="1:20" s="4" customFormat="1" ht="15" customHeight="1" x14ac:dyDescent="0.25">
      <c r="A244" s="45" t="s">
        <v>106</v>
      </c>
      <c r="B244" s="46" t="s">
        <v>2623</v>
      </c>
      <c r="C244" s="49" t="s">
        <v>2668</v>
      </c>
      <c r="D244" s="46" t="s">
        <v>2630</v>
      </c>
      <c r="E244" s="46" t="s">
        <v>2631</v>
      </c>
      <c r="F244" s="46" t="s">
        <v>2632</v>
      </c>
      <c r="G244" s="46">
        <v>1365</v>
      </c>
      <c r="H244" s="46">
        <v>70</v>
      </c>
      <c r="I244" s="46">
        <v>9198</v>
      </c>
      <c r="J244" s="47">
        <v>65234</v>
      </c>
      <c r="K244" s="46" t="s">
        <v>428</v>
      </c>
      <c r="L244" s="46" t="s">
        <v>1972</v>
      </c>
      <c r="P244" s="346"/>
      <c r="Q244" s="346"/>
      <c r="R244" s="3"/>
      <c r="S244" s="128"/>
      <c r="T244" s="1"/>
    </row>
    <row r="245" spans="1:20" s="4" customFormat="1" ht="15" customHeight="1" x14ac:dyDescent="0.25">
      <c r="A245" s="23" t="s">
        <v>106</v>
      </c>
      <c r="B245" s="13" t="s">
        <v>4</v>
      </c>
      <c r="C245" s="13" t="s">
        <v>716</v>
      </c>
      <c r="D245" s="13" t="s">
        <v>107</v>
      </c>
      <c r="E245" s="13" t="s">
        <v>108</v>
      </c>
      <c r="F245" s="13" t="s">
        <v>1542</v>
      </c>
      <c r="G245" s="13">
        <v>3025</v>
      </c>
      <c r="H245" s="13">
        <v>250</v>
      </c>
      <c r="I245" s="13">
        <v>9198</v>
      </c>
      <c r="J245" s="31">
        <v>65234</v>
      </c>
      <c r="K245" s="13"/>
      <c r="L245" s="13" t="s">
        <v>1972</v>
      </c>
      <c r="P245" s="346"/>
      <c r="Q245" s="346"/>
      <c r="R245" s="3"/>
      <c r="S245" s="128"/>
      <c r="T245" s="1"/>
    </row>
    <row r="246" spans="1:20" s="4" customFormat="1" ht="15" customHeight="1" x14ac:dyDescent="0.25">
      <c r="A246" s="66" t="s">
        <v>106</v>
      </c>
      <c r="B246" s="67" t="s">
        <v>35</v>
      </c>
      <c r="C246" s="67" t="s">
        <v>714</v>
      </c>
      <c r="D246" s="67" t="s">
        <v>112</v>
      </c>
      <c r="E246" s="67" t="s">
        <v>113</v>
      </c>
      <c r="F246" s="67" t="s">
        <v>1543</v>
      </c>
      <c r="G246" s="67">
        <v>3013</v>
      </c>
      <c r="H246" s="67">
        <v>30</v>
      </c>
      <c r="I246" s="67">
        <v>9198</v>
      </c>
      <c r="J246" s="68">
        <v>65234</v>
      </c>
      <c r="K246" s="67"/>
      <c r="L246" s="67" t="s">
        <v>1972</v>
      </c>
      <c r="P246" s="346"/>
      <c r="Q246" s="346"/>
      <c r="R246" s="3"/>
      <c r="S246" s="128"/>
      <c r="T246" s="1"/>
    </row>
    <row r="247" spans="1:20" s="4" customFormat="1" ht="15" customHeight="1" x14ac:dyDescent="0.25">
      <c r="A247" s="45" t="s">
        <v>106</v>
      </c>
      <c r="B247" s="46" t="s">
        <v>1134</v>
      </c>
      <c r="C247" s="46" t="s">
        <v>1141</v>
      </c>
      <c r="D247" s="46" t="s">
        <v>1139</v>
      </c>
      <c r="E247" s="46" t="s">
        <v>1138</v>
      </c>
      <c r="F247" s="46" t="s">
        <v>1140</v>
      </c>
      <c r="G247" s="46">
        <v>3023</v>
      </c>
      <c r="H247" s="46">
        <v>10</v>
      </c>
      <c r="I247" s="46">
        <v>9198</v>
      </c>
      <c r="J247" s="47">
        <v>65234</v>
      </c>
      <c r="K247" s="46"/>
      <c r="L247" s="46" t="s">
        <v>1972</v>
      </c>
      <c r="P247" s="346"/>
      <c r="Q247" s="346"/>
      <c r="R247" s="3"/>
      <c r="S247" s="128"/>
      <c r="T247" s="1"/>
    </row>
    <row r="248" spans="1:20" s="4" customFormat="1" ht="15" customHeight="1" x14ac:dyDescent="0.25">
      <c r="A248" s="56" t="s">
        <v>106</v>
      </c>
      <c r="B248" s="7" t="s">
        <v>11</v>
      </c>
      <c r="C248" s="7" t="s">
        <v>713</v>
      </c>
      <c r="D248" s="7" t="s">
        <v>110</v>
      </c>
      <c r="E248" s="7" t="s">
        <v>111</v>
      </c>
      <c r="F248" s="7" t="s">
        <v>1541</v>
      </c>
      <c r="G248" s="7">
        <v>3019</v>
      </c>
      <c r="H248" s="7">
        <v>2512</v>
      </c>
      <c r="I248" s="7">
        <v>9198</v>
      </c>
      <c r="J248" s="34">
        <v>65234</v>
      </c>
      <c r="K248" s="7" t="s">
        <v>433</v>
      </c>
      <c r="L248" s="7" t="s">
        <v>1972</v>
      </c>
      <c r="P248" s="346"/>
      <c r="Q248" s="346"/>
      <c r="R248" s="3"/>
      <c r="S248" s="128"/>
      <c r="T248" s="1"/>
    </row>
    <row r="249" spans="1:20" ht="15" customHeight="1" x14ac:dyDescent="0.25">
      <c r="A249" s="25" t="s">
        <v>106</v>
      </c>
      <c r="B249" s="57" t="s">
        <v>3825</v>
      </c>
      <c r="C249" s="57" t="s">
        <v>4347</v>
      </c>
      <c r="D249" s="7" t="s">
        <v>4158</v>
      </c>
      <c r="E249" s="7" t="s">
        <v>4159</v>
      </c>
      <c r="F249" s="7" t="s">
        <v>4160</v>
      </c>
      <c r="G249" s="7">
        <v>3026</v>
      </c>
      <c r="H249" s="7">
        <v>30</v>
      </c>
      <c r="I249" s="7">
        <v>9198</v>
      </c>
      <c r="J249" s="34">
        <v>65234</v>
      </c>
      <c r="K249" s="7" t="s">
        <v>428</v>
      </c>
      <c r="L249" s="7" t="s">
        <v>1972</v>
      </c>
      <c r="M249" s="4"/>
      <c r="P249" s="346"/>
      <c r="Q249" s="346"/>
      <c r="R249" s="3"/>
      <c r="S249" s="128"/>
    </row>
    <row r="250" spans="1:20" ht="15" customHeight="1" x14ac:dyDescent="0.25">
      <c r="A250" s="153" t="s">
        <v>106</v>
      </c>
      <c r="B250" s="154" t="s">
        <v>3781</v>
      </c>
      <c r="C250" s="154" t="s">
        <v>4830</v>
      </c>
      <c r="D250" s="154" t="s">
        <v>4757</v>
      </c>
      <c r="E250" s="154" t="s">
        <v>4758</v>
      </c>
      <c r="F250" s="154" t="s">
        <v>4759</v>
      </c>
      <c r="G250" s="154">
        <v>2115</v>
      </c>
      <c r="H250" s="154">
        <v>1</v>
      </c>
      <c r="I250" s="154">
        <v>9198</v>
      </c>
      <c r="J250" s="155">
        <v>65234</v>
      </c>
      <c r="K250" s="154" t="s">
        <v>433</v>
      </c>
      <c r="L250" s="154" t="s">
        <v>1972</v>
      </c>
      <c r="M250" s="4"/>
      <c r="P250" s="346"/>
      <c r="Q250" s="346"/>
      <c r="R250" s="3"/>
      <c r="S250" s="128"/>
    </row>
    <row r="251" spans="1:20" ht="15" customHeight="1" x14ac:dyDescent="0.25">
      <c r="A251" s="225" t="s">
        <v>106</v>
      </c>
      <c r="B251" s="226" t="s">
        <v>4946</v>
      </c>
      <c r="C251" s="226" t="s">
        <v>6818</v>
      </c>
      <c r="D251" s="226" t="s">
        <v>6651</v>
      </c>
      <c r="E251" s="226" t="s">
        <v>6652</v>
      </c>
      <c r="F251" s="226" t="s">
        <v>6653</v>
      </c>
      <c r="G251" s="226">
        <v>2570</v>
      </c>
      <c r="H251" s="226">
        <v>1000</v>
      </c>
      <c r="I251" s="226">
        <v>9198</v>
      </c>
      <c r="J251" s="227">
        <v>65234</v>
      </c>
      <c r="K251" s="226"/>
      <c r="L251" s="226" t="s">
        <v>1972</v>
      </c>
      <c r="M251" s="4"/>
      <c r="P251" s="346"/>
      <c r="Q251" s="346"/>
      <c r="R251" s="3"/>
      <c r="S251" s="128"/>
    </row>
    <row r="252" spans="1:20" ht="15" customHeight="1" x14ac:dyDescent="0.3">
      <c r="A252" s="179" t="s">
        <v>4767</v>
      </c>
      <c r="B252" s="180" t="s">
        <v>7212</v>
      </c>
      <c r="C252" s="180" t="s">
        <v>4930</v>
      </c>
      <c r="D252" s="180"/>
      <c r="E252" s="180"/>
      <c r="F252" s="180"/>
      <c r="G252" s="180"/>
      <c r="H252" s="180">
        <v>500</v>
      </c>
      <c r="I252" s="180"/>
      <c r="J252" s="180"/>
      <c r="K252" s="180"/>
      <c r="L252" s="180" t="s">
        <v>1973</v>
      </c>
      <c r="M252" s="4"/>
      <c r="P252">
        <v>500</v>
      </c>
      <c r="Q252" s="303">
        <f>P252*100%/(10000)</f>
        <v>0.05</v>
      </c>
      <c r="R252" s="3"/>
      <c r="S252" s="128"/>
    </row>
    <row r="253" spans="1:20" ht="15" customHeight="1" x14ac:dyDescent="0.3">
      <c r="A253" s="179" t="s">
        <v>4767</v>
      </c>
      <c r="B253" s="180" t="s">
        <v>4765</v>
      </c>
      <c r="C253" s="180" t="s">
        <v>7448</v>
      </c>
      <c r="D253" s="180" t="s">
        <v>4452</v>
      </c>
      <c r="E253" s="180" t="s">
        <v>4453</v>
      </c>
      <c r="F253" s="180" t="s">
        <v>4454</v>
      </c>
      <c r="G253" s="180">
        <v>2801</v>
      </c>
      <c r="H253" s="180">
        <v>500</v>
      </c>
      <c r="I253" s="180">
        <v>9198</v>
      </c>
      <c r="J253" s="181">
        <v>65234</v>
      </c>
      <c r="K253" s="180"/>
      <c r="L253" s="180" t="s">
        <v>1973</v>
      </c>
      <c r="M253" s="4"/>
      <c r="P253">
        <v>500</v>
      </c>
      <c r="Q253" s="303">
        <f>P253*100%/(10000)</f>
        <v>0.05</v>
      </c>
      <c r="R253" s="3"/>
      <c r="S253" s="128"/>
    </row>
    <row r="254" spans="1:20" ht="15" customHeight="1" x14ac:dyDescent="0.25">
      <c r="A254" s="27" t="s">
        <v>6135</v>
      </c>
      <c r="B254" s="20" t="s">
        <v>597</v>
      </c>
      <c r="C254" s="20" t="s">
        <v>6111</v>
      </c>
      <c r="D254" s="20" t="s">
        <v>5940</v>
      </c>
      <c r="E254" s="20" t="s">
        <v>5941</v>
      </c>
      <c r="F254" s="20" t="s">
        <v>5942</v>
      </c>
      <c r="G254" s="20">
        <v>1975</v>
      </c>
      <c r="H254" s="20">
        <v>105</v>
      </c>
      <c r="I254" s="20">
        <v>9198</v>
      </c>
      <c r="J254" s="36">
        <v>65234</v>
      </c>
      <c r="K254" s="20"/>
      <c r="L254" s="20" t="s">
        <v>1973</v>
      </c>
      <c r="M254" s="4"/>
      <c r="P254" s="346">
        <v>4908</v>
      </c>
      <c r="Q254" s="345">
        <f>P254*100%/(10000)</f>
        <v>0.49080000000000001</v>
      </c>
      <c r="R254" s="3"/>
      <c r="S254" s="128"/>
    </row>
    <row r="255" spans="1:20" ht="15" customHeight="1" x14ac:dyDescent="0.25">
      <c r="A255" s="21" t="s">
        <v>6135</v>
      </c>
      <c r="B255" s="18" t="s">
        <v>198</v>
      </c>
      <c r="C255" s="18" t="s">
        <v>6112</v>
      </c>
      <c r="D255" s="18" t="s">
        <v>5943</v>
      </c>
      <c r="E255" s="18" t="s">
        <v>5944</v>
      </c>
      <c r="F255" s="18" t="s">
        <v>5945</v>
      </c>
      <c r="G255" s="18">
        <v>3021</v>
      </c>
      <c r="H255" s="18">
        <v>25</v>
      </c>
      <c r="I255" s="18">
        <v>9198</v>
      </c>
      <c r="J255" s="33">
        <v>65234</v>
      </c>
      <c r="K255" s="18"/>
      <c r="L255" s="18" t="s">
        <v>1973</v>
      </c>
      <c r="M255" s="4"/>
      <c r="P255" s="346"/>
      <c r="Q255" s="346"/>
      <c r="R255" s="3"/>
      <c r="S255" s="128"/>
    </row>
    <row r="256" spans="1:20" ht="15" customHeight="1" x14ac:dyDescent="0.25">
      <c r="A256" s="22" t="s">
        <v>6135</v>
      </c>
      <c r="B256" s="16" t="s">
        <v>34</v>
      </c>
      <c r="C256" s="16" t="s">
        <v>6113</v>
      </c>
      <c r="D256" s="16" t="s">
        <v>5946</v>
      </c>
      <c r="E256" s="16" t="s">
        <v>5953</v>
      </c>
      <c r="F256" s="16" t="s">
        <v>5960</v>
      </c>
      <c r="G256" s="16">
        <v>3020</v>
      </c>
      <c r="H256" s="16">
        <v>850</v>
      </c>
      <c r="I256" s="16">
        <v>9198</v>
      </c>
      <c r="J256" s="30">
        <v>65234</v>
      </c>
      <c r="K256" s="16"/>
      <c r="L256" s="16" t="s">
        <v>1973</v>
      </c>
      <c r="M256" s="4"/>
      <c r="P256" s="346"/>
      <c r="Q256" s="346"/>
      <c r="R256" s="3"/>
      <c r="S256" s="128"/>
    </row>
    <row r="257" spans="1:20" ht="15" customHeight="1" x14ac:dyDescent="0.25">
      <c r="A257" s="45" t="s">
        <v>6135</v>
      </c>
      <c r="B257" s="46" t="s">
        <v>1014</v>
      </c>
      <c r="C257" s="46" t="s">
        <v>6114</v>
      </c>
      <c r="D257" s="46" t="s">
        <v>5947</v>
      </c>
      <c r="E257" s="46" t="s">
        <v>5954</v>
      </c>
      <c r="F257" s="46" t="s">
        <v>5961</v>
      </c>
      <c r="G257" s="46">
        <v>3022</v>
      </c>
      <c r="H257" s="46">
        <v>97</v>
      </c>
      <c r="I257" s="46">
        <v>9198</v>
      </c>
      <c r="J257" s="47">
        <v>65234</v>
      </c>
      <c r="K257" s="46" t="s">
        <v>428</v>
      </c>
      <c r="L257" s="46" t="s">
        <v>1973</v>
      </c>
      <c r="M257" s="4"/>
      <c r="P257" s="346"/>
      <c r="Q257" s="346"/>
      <c r="R257" s="3"/>
      <c r="S257" s="128"/>
    </row>
    <row r="258" spans="1:20" ht="15" customHeight="1" x14ac:dyDescent="0.25">
      <c r="A258" s="45" t="s">
        <v>6135</v>
      </c>
      <c r="B258" s="46" t="s">
        <v>2623</v>
      </c>
      <c r="C258" s="49" t="s">
        <v>6115</v>
      </c>
      <c r="D258" s="46" t="s">
        <v>5948</v>
      </c>
      <c r="E258" s="46" t="s">
        <v>5955</v>
      </c>
      <c r="F258" s="46" t="s">
        <v>5962</v>
      </c>
      <c r="G258" s="46">
        <v>1365</v>
      </c>
      <c r="H258" s="46">
        <v>70</v>
      </c>
      <c r="I258" s="46">
        <v>9198</v>
      </c>
      <c r="J258" s="47">
        <v>65234</v>
      </c>
      <c r="K258" s="46" t="s">
        <v>428</v>
      </c>
      <c r="L258" s="46" t="s">
        <v>1973</v>
      </c>
      <c r="M258" s="4"/>
      <c r="P258" s="346"/>
      <c r="Q258" s="346"/>
      <c r="R258" s="3"/>
      <c r="S258" s="128"/>
    </row>
    <row r="259" spans="1:20" ht="15" customHeight="1" x14ac:dyDescent="0.25">
      <c r="A259" s="23" t="s">
        <v>6135</v>
      </c>
      <c r="B259" s="13" t="s">
        <v>4</v>
      </c>
      <c r="C259" s="13" t="s">
        <v>6116</v>
      </c>
      <c r="D259" s="13" t="s">
        <v>5949</v>
      </c>
      <c r="E259" s="13" t="s">
        <v>5956</v>
      </c>
      <c r="F259" s="13" t="s">
        <v>5963</v>
      </c>
      <c r="G259" s="13">
        <v>3025</v>
      </c>
      <c r="H259" s="13">
        <v>250</v>
      </c>
      <c r="I259" s="13">
        <v>9198</v>
      </c>
      <c r="J259" s="31">
        <v>65234</v>
      </c>
      <c r="K259" s="13"/>
      <c r="L259" s="13" t="s">
        <v>1973</v>
      </c>
      <c r="M259" s="4"/>
      <c r="P259" s="346"/>
      <c r="Q259" s="346"/>
      <c r="R259" s="3"/>
      <c r="S259" s="128"/>
    </row>
    <row r="260" spans="1:20" ht="15" customHeight="1" x14ac:dyDescent="0.25">
      <c r="A260" s="66" t="s">
        <v>6135</v>
      </c>
      <c r="B260" s="67" t="s">
        <v>35</v>
      </c>
      <c r="C260" s="67" t="s">
        <v>6117</v>
      </c>
      <c r="D260" s="67" t="s">
        <v>5950</v>
      </c>
      <c r="E260" s="67" t="s">
        <v>5957</v>
      </c>
      <c r="F260" s="67" t="s">
        <v>5964</v>
      </c>
      <c r="G260" s="67">
        <v>3013</v>
      </c>
      <c r="H260" s="67">
        <v>30</v>
      </c>
      <c r="I260" s="67">
        <v>9198</v>
      </c>
      <c r="J260" s="68">
        <v>65234</v>
      </c>
      <c r="K260" s="67"/>
      <c r="L260" s="67" t="s">
        <v>1973</v>
      </c>
      <c r="M260" s="4"/>
      <c r="P260" s="346"/>
      <c r="Q260" s="346"/>
      <c r="R260" s="3"/>
      <c r="S260" s="128"/>
    </row>
    <row r="261" spans="1:20" ht="15" customHeight="1" x14ac:dyDescent="0.25">
      <c r="A261" s="45" t="s">
        <v>6135</v>
      </c>
      <c r="B261" s="46" t="s">
        <v>1134</v>
      </c>
      <c r="C261" s="46" t="s">
        <v>6118</v>
      </c>
      <c r="D261" s="46" t="s">
        <v>5336</v>
      </c>
      <c r="E261" s="46" t="s">
        <v>5337</v>
      </c>
      <c r="F261" s="46" t="s">
        <v>5338</v>
      </c>
      <c r="G261" s="46">
        <v>3023</v>
      </c>
      <c r="H261" s="46">
        <v>10</v>
      </c>
      <c r="I261" s="46">
        <v>9198</v>
      </c>
      <c r="J261" s="47">
        <v>65234</v>
      </c>
      <c r="K261" s="46"/>
      <c r="L261" s="46" t="s">
        <v>1973</v>
      </c>
      <c r="M261" s="4"/>
      <c r="P261" s="346"/>
      <c r="Q261" s="346"/>
      <c r="R261" s="3"/>
      <c r="S261" s="128"/>
    </row>
    <row r="262" spans="1:20" ht="15" customHeight="1" x14ac:dyDescent="0.25">
      <c r="A262" s="56" t="s">
        <v>6135</v>
      </c>
      <c r="B262" s="7" t="s">
        <v>11</v>
      </c>
      <c r="C262" s="7" t="s">
        <v>6119</v>
      </c>
      <c r="D262" s="7" t="s">
        <v>5951</v>
      </c>
      <c r="E262" s="7" t="s">
        <v>5958</v>
      </c>
      <c r="F262" s="7" t="s">
        <v>5965</v>
      </c>
      <c r="G262" s="7">
        <v>3019</v>
      </c>
      <c r="H262" s="7">
        <v>2320</v>
      </c>
      <c r="I262" s="7">
        <v>9198</v>
      </c>
      <c r="J262" s="34">
        <v>65234</v>
      </c>
      <c r="K262" s="7" t="s">
        <v>433</v>
      </c>
      <c r="L262" s="7" t="s">
        <v>1973</v>
      </c>
      <c r="M262" s="4"/>
      <c r="P262" s="346"/>
      <c r="Q262" s="346"/>
      <c r="R262" s="3"/>
      <c r="S262" s="128"/>
    </row>
    <row r="263" spans="1:20" ht="15" customHeight="1" x14ac:dyDescent="0.25">
      <c r="A263" s="25" t="s">
        <v>6135</v>
      </c>
      <c r="B263" s="57" t="s">
        <v>3825</v>
      </c>
      <c r="C263" s="57" t="s">
        <v>6120</v>
      </c>
      <c r="D263" s="7" t="s">
        <v>5952</v>
      </c>
      <c r="E263" s="7" t="s">
        <v>5959</v>
      </c>
      <c r="F263" s="7" t="s">
        <v>5966</v>
      </c>
      <c r="G263" s="7">
        <v>3026</v>
      </c>
      <c r="H263" s="7">
        <v>150</v>
      </c>
      <c r="I263" s="7">
        <v>9198</v>
      </c>
      <c r="J263" s="34">
        <v>65234</v>
      </c>
      <c r="K263" s="7" t="s">
        <v>428</v>
      </c>
      <c r="L263" s="7" t="s">
        <v>1973</v>
      </c>
      <c r="M263" s="4"/>
      <c r="P263" s="346"/>
      <c r="Q263" s="346"/>
      <c r="R263" s="3"/>
      <c r="S263" s="128"/>
    </row>
    <row r="264" spans="1:20" ht="15" customHeight="1" x14ac:dyDescent="0.25">
      <c r="A264" s="153" t="s">
        <v>6135</v>
      </c>
      <c r="B264" s="154" t="s">
        <v>3781</v>
      </c>
      <c r="C264" s="154" t="s">
        <v>6121</v>
      </c>
      <c r="D264" s="154" t="s">
        <v>5967</v>
      </c>
      <c r="E264" s="154" t="s">
        <v>5968</v>
      </c>
      <c r="F264" s="154" t="s">
        <v>5969</v>
      </c>
      <c r="G264" s="154">
        <v>2115</v>
      </c>
      <c r="H264" s="154">
        <v>1</v>
      </c>
      <c r="I264" s="154">
        <v>9198</v>
      </c>
      <c r="J264" s="155">
        <v>65234</v>
      </c>
      <c r="K264" s="154" t="s">
        <v>433</v>
      </c>
      <c r="L264" s="154" t="s">
        <v>1973</v>
      </c>
      <c r="M264" s="4"/>
      <c r="P264" s="346"/>
      <c r="Q264" s="346"/>
      <c r="R264" s="3"/>
      <c r="S264" s="128"/>
    </row>
    <row r="265" spans="1:20" ht="15" customHeight="1" x14ac:dyDescent="0.25">
      <c r="A265" s="225" t="s">
        <v>6135</v>
      </c>
      <c r="B265" s="226" t="s">
        <v>4946</v>
      </c>
      <c r="C265" s="226" t="s">
        <v>6819</v>
      </c>
      <c r="D265" s="226" t="s">
        <v>6654</v>
      </c>
      <c r="E265" s="226" t="s">
        <v>6655</v>
      </c>
      <c r="F265" s="226" t="s">
        <v>6656</v>
      </c>
      <c r="G265" s="226">
        <v>2570</v>
      </c>
      <c r="H265" s="226">
        <v>1000</v>
      </c>
      <c r="I265" s="226">
        <v>9198</v>
      </c>
      <c r="J265" s="227">
        <v>65234</v>
      </c>
      <c r="K265" s="226"/>
      <c r="L265" s="226" t="s">
        <v>1973</v>
      </c>
      <c r="M265" s="4"/>
      <c r="P265" s="346"/>
      <c r="Q265" s="346"/>
      <c r="R265" s="3"/>
      <c r="S265" s="128"/>
    </row>
    <row r="266" spans="1:20" ht="15" customHeight="1" x14ac:dyDescent="0.3">
      <c r="A266" s="179" t="s">
        <v>4768</v>
      </c>
      <c r="B266" s="180" t="s">
        <v>7212</v>
      </c>
      <c r="C266" s="180" t="s">
        <v>4931</v>
      </c>
      <c r="D266" s="180"/>
      <c r="E266" s="180"/>
      <c r="F266" s="180"/>
      <c r="G266" s="180"/>
      <c r="H266" s="180">
        <v>500</v>
      </c>
      <c r="I266" s="180"/>
      <c r="J266" s="180"/>
      <c r="K266" s="180"/>
      <c r="L266" s="180" t="s">
        <v>1973</v>
      </c>
      <c r="M266" s="4"/>
      <c r="P266">
        <v>500</v>
      </c>
      <c r="Q266" s="303">
        <f>P266*100%/(10000)</f>
        <v>0.05</v>
      </c>
      <c r="R266" s="146" t="s">
        <v>3454</v>
      </c>
      <c r="S266" s="128" t="s">
        <v>3457</v>
      </c>
      <c r="T266" s="4"/>
    </row>
    <row r="267" spans="1:20" ht="15" customHeight="1" x14ac:dyDescent="0.3">
      <c r="A267" s="179" t="s">
        <v>4768</v>
      </c>
      <c r="B267" s="180" t="s">
        <v>4765</v>
      </c>
      <c r="C267" s="180" t="s">
        <v>7449</v>
      </c>
      <c r="D267" s="180" t="s">
        <v>4455</v>
      </c>
      <c r="E267" s="180" t="s">
        <v>4456</v>
      </c>
      <c r="F267" s="180" t="s">
        <v>4457</v>
      </c>
      <c r="G267" s="180">
        <v>2802</v>
      </c>
      <c r="H267" s="180">
        <v>500</v>
      </c>
      <c r="I267" s="180">
        <v>9198</v>
      </c>
      <c r="J267" s="181">
        <v>65234</v>
      </c>
      <c r="K267" s="180"/>
      <c r="L267" s="180" t="s">
        <v>1973</v>
      </c>
      <c r="M267" s="4"/>
      <c r="P267">
        <v>500</v>
      </c>
      <c r="Q267" s="303">
        <f>P267*100%/(10000)</f>
        <v>0.05</v>
      </c>
      <c r="R267" s="146" t="s">
        <v>3454</v>
      </c>
      <c r="S267" s="128" t="s">
        <v>3457</v>
      </c>
      <c r="T267" s="4"/>
    </row>
    <row r="268" spans="1:20" ht="15" customHeight="1" x14ac:dyDescent="0.25">
      <c r="A268" s="27" t="s">
        <v>1460</v>
      </c>
      <c r="B268" s="20" t="s">
        <v>597</v>
      </c>
      <c r="C268" s="20" t="s">
        <v>2116</v>
      </c>
      <c r="D268" s="20" t="s">
        <v>2091</v>
      </c>
      <c r="E268" s="20" t="s">
        <v>2092</v>
      </c>
      <c r="F268" s="20" t="s">
        <v>2093</v>
      </c>
      <c r="G268" s="20">
        <v>3017</v>
      </c>
      <c r="H268" s="20">
        <v>30</v>
      </c>
      <c r="I268" s="20">
        <v>9198</v>
      </c>
      <c r="J268" s="36">
        <v>65233</v>
      </c>
      <c r="K268" s="20"/>
      <c r="L268" s="20" t="s">
        <v>1972</v>
      </c>
      <c r="M268" s="4"/>
      <c r="P268" s="346">
        <v>13030</v>
      </c>
      <c r="Q268" s="345">
        <f>P268*100%/(20000)</f>
        <v>0.65149999999999997</v>
      </c>
      <c r="R268" s="169" t="s">
        <v>3689</v>
      </c>
      <c r="S268" s="128"/>
    </row>
    <row r="269" spans="1:20" ht="15" customHeight="1" x14ac:dyDescent="0.25">
      <c r="A269" s="21" t="s">
        <v>1460</v>
      </c>
      <c r="B269" s="18" t="s">
        <v>198</v>
      </c>
      <c r="C269" s="18" t="s">
        <v>710</v>
      </c>
      <c r="D269" s="18" t="s">
        <v>116</v>
      </c>
      <c r="E269" s="18" t="s">
        <v>117</v>
      </c>
      <c r="F269" s="18" t="s">
        <v>1544</v>
      </c>
      <c r="G269" s="18">
        <v>3020</v>
      </c>
      <c r="H269" s="18">
        <v>20</v>
      </c>
      <c r="I269" s="18">
        <v>9198</v>
      </c>
      <c r="J269" s="33">
        <v>65233</v>
      </c>
      <c r="K269" s="18"/>
      <c r="L269" s="18" t="s">
        <v>1972</v>
      </c>
      <c r="M269" s="4"/>
      <c r="P269" s="346"/>
      <c r="Q269" s="346"/>
      <c r="R269" s="169" t="s">
        <v>3928</v>
      </c>
      <c r="S269" s="128"/>
    </row>
    <row r="270" spans="1:20" s="4" customFormat="1" ht="15" customHeight="1" x14ac:dyDescent="0.25">
      <c r="A270" s="22" t="s">
        <v>1460</v>
      </c>
      <c r="B270" s="16" t="s">
        <v>34</v>
      </c>
      <c r="C270" s="54" t="s">
        <v>708</v>
      </c>
      <c r="D270" s="16" t="s">
        <v>265</v>
      </c>
      <c r="E270" s="16" t="s">
        <v>266</v>
      </c>
      <c r="F270" s="16" t="s">
        <v>267</v>
      </c>
      <c r="G270" s="16">
        <v>546</v>
      </c>
      <c r="H270" s="16">
        <v>2670</v>
      </c>
      <c r="I270" s="16">
        <v>9198</v>
      </c>
      <c r="J270" s="30">
        <v>65233</v>
      </c>
      <c r="K270" s="16"/>
      <c r="L270" s="16" t="s">
        <v>1972</v>
      </c>
      <c r="P270" s="346"/>
      <c r="Q270" s="346"/>
      <c r="R270" s="182" t="s">
        <v>4760</v>
      </c>
    </row>
    <row r="271" spans="1:20" s="4" customFormat="1" ht="15" customHeight="1" x14ac:dyDescent="0.25">
      <c r="A271" s="28" t="s">
        <v>1460</v>
      </c>
      <c r="B271" s="9" t="s">
        <v>249</v>
      </c>
      <c r="C271" s="10" t="s">
        <v>712</v>
      </c>
      <c r="D271" s="9" t="s">
        <v>268</v>
      </c>
      <c r="E271" s="9" t="s">
        <v>269</v>
      </c>
      <c r="F271" s="9" t="s">
        <v>270</v>
      </c>
      <c r="G271" s="9">
        <v>545</v>
      </c>
      <c r="H271" s="9">
        <v>13</v>
      </c>
      <c r="I271" s="9">
        <v>9198</v>
      </c>
      <c r="J271" s="37">
        <v>65233</v>
      </c>
      <c r="K271" s="9"/>
      <c r="L271" s="9" t="s">
        <v>1972</v>
      </c>
      <c r="P271" s="346"/>
      <c r="Q271" s="346"/>
      <c r="R271" s="1"/>
      <c r="S271" s="1"/>
      <c r="T271" s="1"/>
    </row>
    <row r="272" spans="1:20" ht="15" customHeight="1" x14ac:dyDescent="0.25">
      <c r="A272" s="45" t="s">
        <v>1460</v>
      </c>
      <c r="B272" s="46" t="s">
        <v>1014</v>
      </c>
      <c r="C272" s="49" t="s">
        <v>1149</v>
      </c>
      <c r="D272" s="46" t="s">
        <v>1074</v>
      </c>
      <c r="E272" s="46" t="s">
        <v>1075</v>
      </c>
      <c r="F272" s="46" t="s">
        <v>1076</v>
      </c>
      <c r="G272" s="46">
        <v>3021</v>
      </c>
      <c r="H272" s="46">
        <v>131</v>
      </c>
      <c r="I272" s="46">
        <v>9198</v>
      </c>
      <c r="J272" s="47">
        <v>65233</v>
      </c>
      <c r="K272" s="46" t="s">
        <v>428</v>
      </c>
      <c r="L272" s="46" t="s">
        <v>1972</v>
      </c>
      <c r="M272" s="4"/>
      <c r="P272" s="346"/>
      <c r="Q272" s="346"/>
    </row>
    <row r="273" spans="1:20" ht="15" customHeight="1" x14ac:dyDescent="0.25">
      <c r="A273" s="23" t="s">
        <v>1460</v>
      </c>
      <c r="B273" s="13" t="s">
        <v>4</v>
      </c>
      <c r="C273" s="13" t="s">
        <v>709</v>
      </c>
      <c r="D273" s="13" t="s">
        <v>114</v>
      </c>
      <c r="E273" s="13" t="s">
        <v>115</v>
      </c>
      <c r="F273" s="13" t="s">
        <v>1546</v>
      </c>
      <c r="G273" s="13">
        <v>3015</v>
      </c>
      <c r="H273" s="13">
        <v>300</v>
      </c>
      <c r="I273" s="13">
        <v>9198</v>
      </c>
      <c r="J273" s="31">
        <v>65233</v>
      </c>
      <c r="K273" s="13"/>
      <c r="L273" s="13" t="s">
        <v>1972</v>
      </c>
      <c r="M273" s="4"/>
      <c r="P273" s="346"/>
      <c r="Q273" s="346"/>
    </row>
    <row r="274" spans="1:20" ht="15" customHeight="1" x14ac:dyDescent="0.25">
      <c r="A274" s="66" t="s">
        <v>1460</v>
      </c>
      <c r="B274" s="67" t="s">
        <v>35</v>
      </c>
      <c r="C274" s="67" t="s">
        <v>707</v>
      </c>
      <c r="D274" s="67" t="s">
        <v>120</v>
      </c>
      <c r="E274" s="67" t="s">
        <v>121</v>
      </c>
      <c r="F274" s="67" t="s">
        <v>1547</v>
      </c>
      <c r="G274" s="67">
        <v>3022</v>
      </c>
      <c r="H274" s="67">
        <v>20</v>
      </c>
      <c r="I274" s="67">
        <v>9198</v>
      </c>
      <c r="J274" s="68">
        <v>65233</v>
      </c>
      <c r="K274" s="67"/>
      <c r="L274" s="67" t="s">
        <v>1972</v>
      </c>
      <c r="M274" s="4"/>
      <c r="P274" s="346"/>
      <c r="Q274" s="346"/>
      <c r="R274" s="3"/>
      <c r="S274" s="128"/>
    </row>
    <row r="275" spans="1:20" ht="15" customHeight="1" x14ac:dyDescent="0.25">
      <c r="A275" s="56" t="s">
        <v>1460</v>
      </c>
      <c r="B275" s="57" t="s">
        <v>11</v>
      </c>
      <c r="C275" s="57" t="s">
        <v>711</v>
      </c>
      <c r="D275" s="57" t="s">
        <v>118</v>
      </c>
      <c r="E275" s="57" t="s">
        <v>119</v>
      </c>
      <c r="F275" s="57" t="s">
        <v>1545</v>
      </c>
      <c r="G275" s="57">
        <v>3025</v>
      </c>
      <c r="H275" s="57">
        <v>8816</v>
      </c>
      <c r="I275" s="57">
        <v>9198</v>
      </c>
      <c r="J275" s="58">
        <v>65233</v>
      </c>
      <c r="K275" s="57" t="s">
        <v>522</v>
      </c>
      <c r="L275" s="57" t="s">
        <v>1972</v>
      </c>
      <c r="M275" s="4"/>
      <c r="P275" s="346"/>
      <c r="Q275" s="346"/>
      <c r="R275" s="146" t="s">
        <v>4337</v>
      </c>
      <c r="S275" s="128"/>
    </row>
    <row r="276" spans="1:20" s="4" customFormat="1" ht="15" customHeight="1" x14ac:dyDescent="0.25">
      <c r="A276" s="153" t="s">
        <v>1460</v>
      </c>
      <c r="B276" s="154" t="s">
        <v>3781</v>
      </c>
      <c r="C276" s="154" t="s">
        <v>5400</v>
      </c>
      <c r="D276" s="154" t="s">
        <v>5123</v>
      </c>
      <c r="E276" s="154" t="s">
        <v>5124</v>
      </c>
      <c r="F276" s="154" t="s">
        <v>5125</v>
      </c>
      <c r="G276" s="154">
        <v>3018</v>
      </c>
      <c r="H276" s="154">
        <v>10</v>
      </c>
      <c r="I276" s="154">
        <v>9198</v>
      </c>
      <c r="J276" s="155">
        <v>65233</v>
      </c>
      <c r="K276" s="154"/>
      <c r="L276" s="154" t="s">
        <v>1972</v>
      </c>
      <c r="P276" s="346"/>
      <c r="Q276" s="346"/>
      <c r="R276" s="169" t="s">
        <v>4495</v>
      </c>
      <c r="S276" s="128"/>
      <c r="T276" s="1"/>
    </row>
    <row r="277" spans="1:20" s="4" customFormat="1" ht="15" customHeight="1" x14ac:dyDescent="0.25">
      <c r="A277" s="225" t="s">
        <v>1460</v>
      </c>
      <c r="B277" s="226" t="s">
        <v>4946</v>
      </c>
      <c r="C277" s="226" t="s">
        <v>6820</v>
      </c>
      <c r="D277" s="226" t="s">
        <v>6657</v>
      </c>
      <c r="E277" s="226" t="s">
        <v>6658</v>
      </c>
      <c r="F277" s="226" t="s">
        <v>6659</v>
      </c>
      <c r="G277" s="226">
        <v>2570</v>
      </c>
      <c r="H277" s="226">
        <v>1000</v>
      </c>
      <c r="I277" s="226">
        <v>9198</v>
      </c>
      <c r="J277" s="227">
        <v>65233</v>
      </c>
      <c r="K277" s="226"/>
      <c r="L277" s="226" t="s">
        <v>1972</v>
      </c>
      <c r="P277" s="346"/>
      <c r="Q277" s="346"/>
      <c r="R277" s="169"/>
      <c r="S277" s="128"/>
      <c r="T277" s="1"/>
    </row>
    <row r="278" spans="1:20" s="4" customFormat="1" ht="15" customHeight="1" x14ac:dyDescent="0.25">
      <c r="A278" s="27" t="s">
        <v>5998</v>
      </c>
      <c r="B278" s="20" t="s">
        <v>597</v>
      </c>
      <c r="C278" s="20" t="s">
        <v>6853</v>
      </c>
      <c r="D278" s="20" t="s">
        <v>5999</v>
      </c>
      <c r="E278" s="20" t="s">
        <v>6000</v>
      </c>
      <c r="F278" s="20" t="s">
        <v>6001</v>
      </c>
      <c r="G278" s="20">
        <v>3017</v>
      </c>
      <c r="H278" s="20">
        <v>30</v>
      </c>
      <c r="I278" s="20">
        <v>9198</v>
      </c>
      <c r="J278" s="36">
        <v>65233</v>
      </c>
      <c r="K278" s="20"/>
      <c r="L278" s="20" t="s">
        <v>1972</v>
      </c>
      <c r="P278" s="346">
        <v>12010</v>
      </c>
      <c r="Q278" s="345">
        <f>P278*100%/(20000)</f>
        <v>0.60050000000000003</v>
      </c>
      <c r="R278" s="169"/>
      <c r="S278" s="128"/>
      <c r="T278" s="1"/>
    </row>
    <row r="279" spans="1:20" s="4" customFormat="1" ht="15" customHeight="1" x14ac:dyDescent="0.25">
      <c r="A279" s="21" t="s">
        <v>5998</v>
      </c>
      <c r="B279" s="18" t="s">
        <v>198</v>
      </c>
      <c r="C279" s="18" t="s">
        <v>6854</v>
      </c>
      <c r="D279" s="18" t="s">
        <v>6002</v>
      </c>
      <c r="E279" s="18" t="s">
        <v>6003</v>
      </c>
      <c r="F279" s="18" t="s">
        <v>6004</v>
      </c>
      <c r="G279" s="18">
        <v>3020</v>
      </c>
      <c r="H279" s="18">
        <v>20</v>
      </c>
      <c r="I279" s="18">
        <v>9198</v>
      </c>
      <c r="J279" s="33">
        <v>65233</v>
      </c>
      <c r="K279" s="18"/>
      <c r="L279" s="18" t="s">
        <v>1972</v>
      </c>
      <c r="P279" s="346"/>
      <c r="Q279" s="346"/>
      <c r="R279" s="169"/>
      <c r="S279" s="128"/>
      <c r="T279" s="1"/>
    </row>
    <row r="280" spans="1:20" s="4" customFormat="1" ht="15" customHeight="1" x14ac:dyDescent="0.25">
      <c r="A280" s="22" t="s">
        <v>5998</v>
      </c>
      <c r="B280" s="16" t="s">
        <v>34</v>
      </c>
      <c r="C280" s="54" t="s">
        <v>6855</v>
      </c>
      <c r="D280" s="16" t="s">
        <v>6005</v>
      </c>
      <c r="E280" s="16" t="s">
        <v>6011</v>
      </c>
      <c r="F280" s="16" t="s">
        <v>6017</v>
      </c>
      <c r="G280" s="16">
        <v>546</v>
      </c>
      <c r="H280" s="16">
        <v>2670</v>
      </c>
      <c r="I280" s="16">
        <v>9198</v>
      </c>
      <c r="J280" s="30">
        <v>65233</v>
      </c>
      <c r="K280" s="16"/>
      <c r="L280" s="16" t="s">
        <v>1972</v>
      </c>
      <c r="P280" s="346"/>
      <c r="Q280" s="346"/>
      <c r="R280" s="169"/>
      <c r="S280" s="128"/>
      <c r="T280" s="1"/>
    </row>
    <row r="281" spans="1:20" s="4" customFormat="1" ht="15" customHeight="1" x14ac:dyDescent="0.25">
      <c r="A281" s="28" t="s">
        <v>5998</v>
      </c>
      <c r="B281" s="9" t="s">
        <v>249</v>
      </c>
      <c r="C281" s="10" t="s">
        <v>6856</v>
      </c>
      <c r="D281" s="9" t="s">
        <v>6006</v>
      </c>
      <c r="E281" s="9" t="s">
        <v>6012</v>
      </c>
      <c r="F281" s="9" t="s">
        <v>6018</v>
      </c>
      <c r="G281" s="9">
        <v>545</v>
      </c>
      <c r="H281" s="9">
        <v>13</v>
      </c>
      <c r="I281" s="9">
        <v>9198</v>
      </c>
      <c r="J281" s="37">
        <v>65233</v>
      </c>
      <c r="K281" s="9"/>
      <c r="L281" s="9" t="s">
        <v>1972</v>
      </c>
      <c r="P281" s="346"/>
      <c r="Q281" s="346"/>
      <c r="R281" s="169"/>
      <c r="S281" s="128"/>
      <c r="T281" s="1"/>
    </row>
    <row r="282" spans="1:20" s="4" customFormat="1" ht="15" customHeight="1" x14ac:dyDescent="0.25">
      <c r="A282" s="45" t="s">
        <v>5998</v>
      </c>
      <c r="B282" s="46" t="s">
        <v>1014</v>
      </c>
      <c r="C282" s="49" t="s">
        <v>6857</v>
      </c>
      <c r="D282" s="46" t="s">
        <v>6007</v>
      </c>
      <c r="E282" s="46" t="s">
        <v>6013</v>
      </c>
      <c r="F282" s="46" t="s">
        <v>6019</v>
      </c>
      <c r="G282" s="46">
        <v>3021</v>
      </c>
      <c r="H282" s="46">
        <v>131</v>
      </c>
      <c r="I282" s="46">
        <v>9198</v>
      </c>
      <c r="J282" s="47">
        <v>65233</v>
      </c>
      <c r="K282" s="46" t="s">
        <v>428</v>
      </c>
      <c r="L282" s="46" t="s">
        <v>1972</v>
      </c>
      <c r="P282" s="346"/>
      <c r="Q282" s="346"/>
      <c r="R282" s="169"/>
      <c r="S282" s="128"/>
      <c r="T282" s="1"/>
    </row>
    <row r="283" spans="1:20" s="4" customFormat="1" ht="15" customHeight="1" x14ac:dyDescent="0.25">
      <c r="A283" s="23" t="s">
        <v>5998</v>
      </c>
      <c r="B283" s="13" t="s">
        <v>4</v>
      </c>
      <c r="C283" s="13" t="s">
        <v>6858</v>
      </c>
      <c r="D283" s="13" t="s">
        <v>6008</v>
      </c>
      <c r="E283" s="13" t="s">
        <v>6014</v>
      </c>
      <c r="F283" s="13" t="s">
        <v>6020</v>
      </c>
      <c r="G283" s="13">
        <v>3015</v>
      </c>
      <c r="H283" s="13">
        <v>300</v>
      </c>
      <c r="I283" s="13">
        <v>9198</v>
      </c>
      <c r="J283" s="31">
        <v>65233</v>
      </c>
      <c r="K283" s="13"/>
      <c r="L283" s="13" t="s">
        <v>1972</v>
      </c>
      <c r="P283" s="346"/>
      <c r="Q283" s="346"/>
      <c r="R283" s="169"/>
      <c r="S283" s="128"/>
      <c r="T283" s="1"/>
    </row>
    <row r="284" spans="1:20" s="4" customFormat="1" ht="15" customHeight="1" x14ac:dyDescent="0.25">
      <c r="A284" s="66" t="s">
        <v>5998</v>
      </c>
      <c r="B284" s="67" t="s">
        <v>35</v>
      </c>
      <c r="C284" s="67" t="s">
        <v>6859</v>
      </c>
      <c r="D284" s="67" t="s">
        <v>6009</v>
      </c>
      <c r="E284" s="67" t="s">
        <v>6015</v>
      </c>
      <c r="F284" s="67" t="s">
        <v>6021</v>
      </c>
      <c r="G284" s="67">
        <v>3022</v>
      </c>
      <c r="H284" s="67">
        <v>20</v>
      </c>
      <c r="I284" s="67">
        <v>9198</v>
      </c>
      <c r="J284" s="68">
        <v>65233</v>
      </c>
      <c r="K284" s="67"/>
      <c r="L284" s="67" t="s">
        <v>1972</v>
      </c>
      <c r="P284" s="346"/>
      <c r="Q284" s="346"/>
      <c r="R284" s="169"/>
      <c r="S284" s="128"/>
      <c r="T284" s="1"/>
    </row>
    <row r="285" spans="1:20" s="4" customFormat="1" ht="15" customHeight="1" x14ac:dyDescent="0.25">
      <c r="A285" s="56" t="s">
        <v>5998</v>
      </c>
      <c r="B285" s="57" t="s">
        <v>11</v>
      </c>
      <c r="C285" s="57" t="s">
        <v>6860</v>
      </c>
      <c r="D285" s="57" t="s">
        <v>6010</v>
      </c>
      <c r="E285" s="57" t="s">
        <v>6016</v>
      </c>
      <c r="F285" s="57" t="s">
        <v>6022</v>
      </c>
      <c r="G285" s="57">
        <v>3025</v>
      </c>
      <c r="H285" s="57">
        <v>8816</v>
      </c>
      <c r="I285" s="57">
        <v>9198</v>
      </c>
      <c r="J285" s="58">
        <v>65233</v>
      </c>
      <c r="K285" s="57" t="s">
        <v>522</v>
      </c>
      <c r="L285" s="57" t="s">
        <v>1972</v>
      </c>
      <c r="P285" s="346"/>
      <c r="Q285" s="346"/>
      <c r="R285" s="169"/>
      <c r="S285" s="128"/>
      <c r="T285" s="1"/>
    </row>
    <row r="286" spans="1:20" s="4" customFormat="1" ht="15" customHeight="1" x14ac:dyDescent="0.25">
      <c r="A286" s="153" t="s">
        <v>5998</v>
      </c>
      <c r="B286" s="154" t="s">
        <v>3781</v>
      </c>
      <c r="C286" s="154" t="s">
        <v>6861</v>
      </c>
      <c r="D286" s="154" t="s">
        <v>6023</v>
      </c>
      <c r="E286" s="154" t="s">
        <v>6024</v>
      </c>
      <c r="F286" s="154" t="s">
        <v>6025</v>
      </c>
      <c r="G286" s="154">
        <v>3018</v>
      </c>
      <c r="H286" s="154">
        <v>10</v>
      </c>
      <c r="I286" s="154">
        <v>9198</v>
      </c>
      <c r="J286" s="155">
        <v>65233</v>
      </c>
      <c r="K286" s="154"/>
      <c r="L286" s="154" t="s">
        <v>1972</v>
      </c>
      <c r="P286" s="346"/>
      <c r="Q286" s="346"/>
      <c r="R286" s="169"/>
      <c r="S286" s="128"/>
      <c r="T286" s="1"/>
    </row>
    <row r="287" spans="1:20" ht="15" customHeight="1" x14ac:dyDescent="0.25">
      <c r="A287" s="27" t="s">
        <v>122</v>
      </c>
      <c r="B287" s="20" t="s">
        <v>597</v>
      </c>
      <c r="C287" s="20" t="s">
        <v>755</v>
      </c>
      <c r="D287" s="20" t="s">
        <v>457</v>
      </c>
      <c r="E287" s="20" t="s">
        <v>458</v>
      </c>
      <c r="F287" s="20" t="s">
        <v>459</v>
      </c>
      <c r="G287" s="20">
        <v>995</v>
      </c>
      <c r="H287" s="20">
        <v>60</v>
      </c>
      <c r="I287" s="20">
        <v>9198</v>
      </c>
      <c r="J287" s="36">
        <v>65008</v>
      </c>
      <c r="K287" s="20"/>
      <c r="L287" s="20" t="s">
        <v>2736</v>
      </c>
      <c r="M287" s="4"/>
      <c r="P287" s="346">
        <v>8840</v>
      </c>
      <c r="Q287" s="345">
        <f>P287*100%/(30000)</f>
        <v>0.29466666666666669</v>
      </c>
      <c r="R287" s="198" t="s">
        <v>6062</v>
      </c>
      <c r="S287" s="128"/>
    </row>
    <row r="288" spans="1:20" ht="15" customHeight="1" x14ac:dyDescent="0.25">
      <c r="A288" s="21" t="s">
        <v>122</v>
      </c>
      <c r="B288" s="18" t="s">
        <v>198</v>
      </c>
      <c r="C288" s="18" t="s">
        <v>751</v>
      </c>
      <c r="D288" s="18" t="s">
        <v>125</v>
      </c>
      <c r="E288" s="18" t="s">
        <v>1548</v>
      </c>
      <c r="F288" s="18" t="s">
        <v>1549</v>
      </c>
      <c r="G288" s="18">
        <v>981</v>
      </c>
      <c r="H288" s="18">
        <v>15</v>
      </c>
      <c r="I288" s="18">
        <v>9198</v>
      </c>
      <c r="J288" s="33">
        <v>65008</v>
      </c>
      <c r="K288" s="18"/>
      <c r="L288" s="18" t="s">
        <v>2736</v>
      </c>
      <c r="M288" s="4"/>
      <c r="P288" s="346"/>
      <c r="Q288" s="346"/>
      <c r="R288" s="262" t="s">
        <v>6224</v>
      </c>
      <c r="S288" s="128"/>
      <c r="T288" s="4"/>
    </row>
    <row r="289" spans="1:20" s="4" customFormat="1" ht="15" customHeight="1" x14ac:dyDescent="0.25">
      <c r="A289" s="22" t="s">
        <v>122</v>
      </c>
      <c r="B289" s="16" t="s">
        <v>34</v>
      </c>
      <c r="C289" s="54" t="s">
        <v>754</v>
      </c>
      <c r="D289" s="16" t="s">
        <v>211</v>
      </c>
      <c r="E289" s="16" t="s">
        <v>209</v>
      </c>
      <c r="F289" s="16" t="s">
        <v>210</v>
      </c>
      <c r="G289" s="16">
        <v>990</v>
      </c>
      <c r="H289" s="16">
        <v>1405</v>
      </c>
      <c r="I289" s="16">
        <v>9198</v>
      </c>
      <c r="J289" s="30">
        <v>65008</v>
      </c>
      <c r="K289" s="16"/>
      <c r="L289" s="16" t="s">
        <v>2736</v>
      </c>
      <c r="P289" s="346"/>
      <c r="Q289" s="346"/>
      <c r="R289" s="3"/>
      <c r="S289" s="128"/>
      <c r="T289" s="1"/>
    </row>
    <row r="290" spans="1:20" ht="15" customHeight="1" x14ac:dyDescent="0.25">
      <c r="A290" s="45" t="s">
        <v>122</v>
      </c>
      <c r="B290" s="46" t="s">
        <v>1014</v>
      </c>
      <c r="C290" s="49" t="s">
        <v>1275</v>
      </c>
      <c r="D290" s="46" t="s">
        <v>2961</v>
      </c>
      <c r="E290" s="46" t="s">
        <v>2962</v>
      </c>
      <c r="F290" s="46" t="s">
        <v>2963</v>
      </c>
      <c r="G290" s="46">
        <v>3061</v>
      </c>
      <c r="H290" s="46">
        <v>190</v>
      </c>
      <c r="I290" s="46">
        <v>9198</v>
      </c>
      <c r="J290" s="47">
        <v>65008</v>
      </c>
      <c r="K290" s="46" t="s">
        <v>428</v>
      </c>
      <c r="L290" s="46" t="s">
        <v>2736</v>
      </c>
      <c r="M290" s="4"/>
      <c r="P290" s="346"/>
      <c r="Q290" s="346"/>
      <c r="R290" s="3"/>
      <c r="S290" s="128"/>
    </row>
    <row r="291" spans="1:20" s="4" customFormat="1" ht="15" customHeight="1" x14ac:dyDescent="0.25">
      <c r="A291" s="23" t="s">
        <v>122</v>
      </c>
      <c r="B291" s="13" t="s">
        <v>4</v>
      </c>
      <c r="C291" s="13" t="s">
        <v>752</v>
      </c>
      <c r="D291" s="13" t="s">
        <v>123</v>
      </c>
      <c r="E291" s="13" t="s">
        <v>124</v>
      </c>
      <c r="F291" s="13" t="s">
        <v>1551</v>
      </c>
      <c r="G291" s="13">
        <v>994</v>
      </c>
      <c r="H291" s="13">
        <v>200</v>
      </c>
      <c r="I291" s="13">
        <v>9198</v>
      </c>
      <c r="J291" s="31">
        <v>65008</v>
      </c>
      <c r="K291" s="13"/>
      <c r="L291" s="13" t="s">
        <v>2736</v>
      </c>
      <c r="P291" s="346"/>
      <c r="Q291" s="346"/>
      <c r="R291" s="3"/>
      <c r="S291" s="128"/>
      <c r="T291" s="1"/>
    </row>
    <row r="292" spans="1:20" ht="15" customHeight="1" x14ac:dyDescent="0.25">
      <c r="A292" s="66" t="s">
        <v>122</v>
      </c>
      <c r="B292" s="67" t="s">
        <v>35</v>
      </c>
      <c r="C292" s="67" t="s">
        <v>753</v>
      </c>
      <c r="D292" s="67" t="s">
        <v>128</v>
      </c>
      <c r="E292" s="67" t="s">
        <v>129</v>
      </c>
      <c r="F292" s="67" t="s">
        <v>1552</v>
      </c>
      <c r="G292" s="67">
        <v>3060</v>
      </c>
      <c r="H292" s="67">
        <v>20</v>
      </c>
      <c r="I292" s="67">
        <v>9198</v>
      </c>
      <c r="J292" s="68">
        <v>65008</v>
      </c>
      <c r="K292" s="67"/>
      <c r="L292" s="67" t="s">
        <v>2736</v>
      </c>
      <c r="M292" s="4"/>
      <c r="P292" s="346"/>
      <c r="Q292" s="346"/>
      <c r="R292" s="3"/>
      <c r="S292" s="128"/>
    </row>
    <row r="293" spans="1:20" ht="15" customHeight="1" x14ac:dyDescent="0.25">
      <c r="A293" s="28" t="s">
        <v>122</v>
      </c>
      <c r="B293" s="9" t="s">
        <v>249</v>
      </c>
      <c r="C293" s="10" t="s">
        <v>2950</v>
      </c>
      <c r="D293" s="9" t="s">
        <v>2925</v>
      </c>
      <c r="E293" s="9" t="s">
        <v>2926</v>
      </c>
      <c r="F293" s="9" t="s">
        <v>2927</v>
      </c>
      <c r="G293" s="9">
        <v>996</v>
      </c>
      <c r="H293" s="9">
        <v>5</v>
      </c>
      <c r="I293" s="9">
        <v>9198</v>
      </c>
      <c r="J293" s="37">
        <v>65008</v>
      </c>
      <c r="K293" s="9"/>
      <c r="L293" s="9" t="s">
        <v>2736</v>
      </c>
      <c r="M293" s="4"/>
      <c r="P293" s="346"/>
      <c r="Q293" s="346"/>
      <c r="R293" s="3"/>
      <c r="S293" s="128"/>
    </row>
    <row r="294" spans="1:20" ht="14.1" customHeight="1" x14ac:dyDescent="0.25">
      <c r="A294" s="56" t="s">
        <v>122</v>
      </c>
      <c r="B294" s="57" t="s">
        <v>11</v>
      </c>
      <c r="C294" s="57" t="s">
        <v>750</v>
      </c>
      <c r="D294" s="57" t="s">
        <v>126</v>
      </c>
      <c r="E294" s="57" t="s">
        <v>127</v>
      </c>
      <c r="F294" s="57" t="s">
        <v>1550</v>
      </c>
      <c r="G294" s="57">
        <v>971</v>
      </c>
      <c r="H294" s="57">
        <v>5849</v>
      </c>
      <c r="I294" s="57">
        <v>9198</v>
      </c>
      <c r="J294" s="58">
        <v>65008</v>
      </c>
      <c r="K294" s="57" t="s">
        <v>574</v>
      </c>
      <c r="L294" s="57" t="s">
        <v>2736</v>
      </c>
      <c r="M294" s="4"/>
      <c r="P294" s="346"/>
      <c r="Q294" s="346"/>
      <c r="R294" s="3"/>
      <c r="S294" s="128"/>
    </row>
    <row r="295" spans="1:20" ht="15" customHeight="1" x14ac:dyDescent="0.25">
      <c r="A295" s="153" t="s">
        <v>122</v>
      </c>
      <c r="B295" s="154" t="s">
        <v>3781</v>
      </c>
      <c r="C295" s="154" t="s">
        <v>5396</v>
      </c>
      <c r="D295" s="154" t="s">
        <v>5072</v>
      </c>
      <c r="E295" s="154" t="s">
        <v>5073</v>
      </c>
      <c r="F295" s="154" t="s">
        <v>5074</v>
      </c>
      <c r="G295" s="154">
        <v>2301</v>
      </c>
      <c r="H295" s="154">
        <v>1</v>
      </c>
      <c r="I295" s="154">
        <v>9198</v>
      </c>
      <c r="J295" s="155">
        <v>65008</v>
      </c>
      <c r="K295" s="154"/>
      <c r="L295" s="154" t="s">
        <v>2736</v>
      </c>
      <c r="M295" s="4"/>
      <c r="P295" s="346"/>
      <c r="Q295" s="346"/>
      <c r="R295" s="3"/>
      <c r="S295" s="128"/>
    </row>
    <row r="296" spans="1:20" ht="15" customHeight="1" x14ac:dyDescent="0.25">
      <c r="A296" s="225" t="s">
        <v>122</v>
      </c>
      <c r="B296" s="226" t="s">
        <v>4946</v>
      </c>
      <c r="C296" s="226" t="s">
        <v>6821</v>
      </c>
      <c r="D296" s="226" t="s">
        <v>6660</v>
      </c>
      <c r="E296" s="226" t="s">
        <v>6661</v>
      </c>
      <c r="F296" s="226" t="s">
        <v>6662</v>
      </c>
      <c r="G296" s="226">
        <v>2570</v>
      </c>
      <c r="H296" s="226">
        <v>1000</v>
      </c>
      <c r="I296" s="226">
        <v>9198</v>
      </c>
      <c r="J296" s="227">
        <v>65008</v>
      </c>
      <c r="K296" s="226"/>
      <c r="L296" s="226" t="s">
        <v>2736</v>
      </c>
      <c r="M296" s="4"/>
      <c r="P296" s="346"/>
      <c r="Q296" s="346"/>
      <c r="R296" s="3"/>
      <c r="S296" s="128"/>
    </row>
    <row r="297" spans="1:20" ht="15" customHeight="1" x14ac:dyDescent="0.25">
      <c r="A297" s="27" t="s">
        <v>5839</v>
      </c>
      <c r="B297" s="20" t="s">
        <v>597</v>
      </c>
      <c r="C297" s="20" t="s">
        <v>6580</v>
      </c>
      <c r="D297" s="20" t="s">
        <v>5840</v>
      </c>
      <c r="E297" s="20" t="s">
        <v>5841</v>
      </c>
      <c r="F297" s="20" t="s">
        <v>5842</v>
      </c>
      <c r="G297" s="20">
        <v>995</v>
      </c>
      <c r="H297" s="20">
        <v>155</v>
      </c>
      <c r="I297" s="20">
        <v>9198</v>
      </c>
      <c r="J297" s="36">
        <v>65008</v>
      </c>
      <c r="K297" s="20"/>
      <c r="L297" s="20" t="s">
        <v>2736</v>
      </c>
      <c r="M297" s="4"/>
      <c r="P297" s="346">
        <v>7781</v>
      </c>
      <c r="Q297" s="345">
        <f>P297*100%/(30000)</f>
        <v>0.25936666666666669</v>
      </c>
      <c r="R297" s="198" t="s">
        <v>6062</v>
      </c>
      <c r="S297" s="128"/>
    </row>
    <row r="298" spans="1:20" ht="15" customHeight="1" x14ac:dyDescent="0.25">
      <c r="A298" s="21" t="s">
        <v>5839</v>
      </c>
      <c r="B298" s="18" t="s">
        <v>198</v>
      </c>
      <c r="C298" s="18" t="s">
        <v>6581</v>
      </c>
      <c r="D298" s="18" t="s">
        <v>5857</v>
      </c>
      <c r="E298" s="18" t="s">
        <v>5858</v>
      </c>
      <c r="F298" s="18" t="s">
        <v>5859</v>
      </c>
      <c r="G298" s="18">
        <v>981</v>
      </c>
      <c r="H298" s="18">
        <v>15</v>
      </c>
      <c r="I298" s="18">
        <v>9198</v>
      </c>
      <c r="J298" s="33">
        <v>65008</v>
      </c>
      <c r="K298" s="18"/>
      <c r="L298" s="18" t="s">
        <v>2736</v>
      </c>
      <c r="M298" s="4"/>
      <c r="P298" s="346"/>
      <c r="Q298" s="346"/>
      <c r="R298" s="3"/>
      <c r="S298" s="128"/>
    </row>
    <row r="299" spans="1:20" ht="15" customHeight="1" x14ac:dyDescent="0.25">
      <c r="A299" s="22" t="s">
        <v>5839</v>
      </c>
      <c r="B299" s="16" t="s">
        <v>34</v>
      </c>
      <c r="C299" s="54" t="s">
        <v>6582</v>
      </c>
      <c r="D299" s="16" t="s">
        <v>5860</v>
      </c>
      <c r="E299" s="16" t="s">
        <v>5866</v>
      </c>
      <c r="F299" s="16" t="s">
        <v>5872</v>
      </c>
      <c r="G299" s="16">
        <v>990</v>
      </c>
      <c r="H299" s="16">
        <v>1405</v>
      </c>
      <c r="I299" s="16">
        <v>9198</v>
      </c>
      <c r="J299" s="30">
        <v>65008</v>
      </c>
      <c r="K299" s="16"/>
      <c r="L299" s="16" t="s">
        <v>2736</v>
      </c>
      <c r="M299" s="4"/>
      <c r="P299" s="346"/>
      <c r="Q299" s="346"/>
      <c r="R299" s="3"/>
      <c r="S299" s="128"/>
    </row>
    <row r="300" spans="1:20" ht="15" customHeight="1" x14ac:dyDescent="0.25">
      <c r="A300" s="45" t="s">
        <v>5839</v>
      </c>
      <c r="B300" s="46" t="s">
        <v>1014</v>
      </c>
      <c r="C300" s="49" t="s">
        <v>6583</v>
      </c>
      <c r="D300" s="46" t="s">
        <v>5861</v>
      </c>
      <c r="E300" s="46" t="s">
        <v>5867</v>
      </c>
      <c r="F300" s="46" t="s">
        <v>5873</v>
      </c>
      <c r="G300" s="46">
        <v>3061</v>
      </c>
      <c r="H300" s="46">
        <v>190</v>
      </c>
      <c r="I300" s="46">
        <v>9198</v>
      </c>
      <c r="J300" s="47">
        <v>65008</v>
      </c>
      <c r="K300" s="46" t="s">
        <v>428</v>
      </c>
      <c r="L300" s="46" t="s">
        <v>2736</v>
      </c>
      <c r="M300" s="4"/>
      <c r="P300" s="346"/>
      <c r="Q300" s="346"/>
      <c r="R300" s="3"/>
      <c r="S300" s="128"/>
    </row>
    <row r="301" spans="1:20" ht="15" customHeight="1" x14ac:dyDescent="0.25">
      <c r="A301" s="23" t="s">
        <v>5839</v>
      </c>
      <c r="B301" s="13" t="s">
        <v>4</v>
      </c>
      <c r="C301" s="13" t="s">
        <v>6584</v>
      </c>
      <c r="D301" s="13" t="s">
        <v>5862</v>
      </c>
      <c r="E301" s="13" t="s">
        <v>5868</v>
      </c>
      <c r="F301" s="13" t="s">
        <v>5874</v>
      </c>
      <c r="G301" s="13">
        <v>994</v>
      </c>
      <c r="H301" s="13">
        <v>200</v>
      </c>
      <c r="I301" s="13">
        <v>9198</v>
      </c>
      <c r="J301" s="31">
        <v>65008</v>
      </c>
      <c r="K301" s="13"/>
      <c r="L301" s="13" t="s">
        <v>2736</v>
      </c>
      <c r="M301" s="4"/>
      <c r="P301" s="346"/>
      <c r="Q301" s="346"/>
      <c r="R301" s="3"/>
      <c r="S301" s="128"/>
    </row>
    <row r="302" spans="1:20" ht="15" customHeight="1" x14ac:dyDescent="0.25">
      <c r="A302" s="66" t="s">
        <v>5839</v>
      </c>
      <c r="B302" s="67" t="s">
        <v>35</v>
      </c>
      <c r="C302" s="67" t="s">
        <v>6585</v>
      </c>
      <c r="D302" s="67" t="s">
        <v>5863</v>
      </c>
      <c r="E302" s="67" t="s">
        <v>5869</v>
      </c>
      <c r="F302" s="67" t="s">
        <v>5875</v>
      </c>
      <c r="G302" s="67">
        <v>3060</v>
      </c>
      <c r="H302" s="67">
        <v>10</v>
      </c>
      <c r="I302" s="67">
        <v>9198</v>
      </c>
      <c r="J302" s="68">
        <v>65008</v>
      </c>
      <c r="K302" s="67"/>
      <c r="L302" s="67" t="s">
        <v>2736</v>
      </c>
      <c r="M302" s="4"/>
      <c r="P302" s="346"/>
      <c r="Q302" s="346"/>
      <c r="R302" s="3"/>
      <c r="S302" s="128"/>
    </row>
    <row r="303" spans="1:20" ht="15" customHeight="1" x14ac:dyDescent="0.25">
      <c r="A303" s="28" t="s">
        <v>5839</v>
      </c>
      <c r="B303" s="9" t="s">
        <v>249</v>
      </c>
      <c r="C303" s="10" t="s">
        <v>6586</v>
      </c>
      <c r="D303" s="9" t="s">
        <v>5864</v>
      </c>
      <c r="E303" s="9" t="s">
        <v>5870</v>
      </c>
      <c r="F303" s="9" t="s">
        <v>5876</v>
      </c>
      <c r="G303" s="9">
        <v>996</v>
      </c>
      <c r="H303" s="9">
        <v>5</v>
      </c>
      <c r="I303" s="9">
        <v>9198</v>
      </c>
      <c r="J303" s="37">
        <v>65008</v>
      </c>
      <c r="K303" s="9"/>
      <c r="L303" s="9" t="s">
        <v>2736</v>
      </c>
      <c r="M303" s="4"/>
      <c r="P303" s="346"/>
      <c r="Q303" s="346"/>
      <c r="R303" s="3"/>
      <c r="S303" s="128"/>
    </row>
    <row r="304" spans="1:20" ht="15" customHeight="1" x14ac:dyDescent="0.25">
      <c r="A304" s="56" t="s">
        <v>5839</v>
      </c>
      <c r="B304" s="57" t="s">
        <v>11</v>
      </c>
      <c r="C304" s="57" t="s">
        <v>6587</v>
      </c>
      <c r="D304" s="57" t="s">
        <v>5865</v>
      </c>
      <c r="E304" s="57" t="s">
        <v>5871</v>
      </c>
      <c r="F304" s="57" t="s">
        <v>5877</v>
      </c>
      <c r="G304" s="57">
        <v>971</v>
      </c>
      <c r="H304" s="57">
        <v>4800</v>
      </c>
      <c r="I304" s="57">
        <v>9198</v>
      </c>
      <c r="J304" s="58">
        <v>65008</v>
      </c>
      <c r="K304" s="57" t="s">
        <v>574</v>
      </c>
      <c r="L304" s="57" t="s">
        <v>2736</v>
      </c>
      <c r="M304" s="4"/>
      <c r="P304" s="346"/>
      <c r="Q304" s="346"/>
      <c r="R304" s="3"/>
      <c r="S304" s="128"/>
    </row>
    <row r="305" spans="1:31" ht="15" customHeight="1" x14ac:dyDescent="0.25">
      <c r="A305" s="153" t="s">
        <v>5839</v>
      </c>
      <c r="B305" s="154" t="s">
        <v>3781</v>
      </c>
      <c r="C305" s="154" t="s">
        <v>6588</v>
      </c>
      <c r="D305" s="154" t="s">
        <v>5878</v>
      </c>
      <c r="E305" s="154" t="s">
        <v>5879</v>
      </c>
      <c r="F305" s="154" t="s">
        <v>5880</v>
      </c>
      <c r="G305" s="154">
        <v>2301</v>
      </c>
      <c r="H305" s="154">
        <v>1</v>
      </c>
      <c r="I305" s="154">
        <v>9198</v>
      </c>
      <c r="J305" s="155">
        <v>65008</v>
      </c>
      <c r="K305" s="154"/>
      <c r="L305" s="154" t="s">
        <v>2736</v>
      </c>
      <c r="M305" s="4"/>
      <c r="P305" s="346"/>
      <c r="Q305" s="346"/>
      <c r="R305" s="3"/>
      <c r="S305" s="128"/>
    </row>
    <row r="306" spans="1:31" ht="15" customHeight="1" x14ac:dyDescent="0.25">
      <c r="A306" s="225" t="s">
        <v>5839</v>
      </c>
      <c r="B306" s="226" t="s">
        <v>4946</v>
      </c>
      <c r="C306" s="226" t="s">
        <v>6822</v>
      </c>
      <c r="D306" s="226" t="s">
        <v>6663</v>
      </c>
      <c r="E306" s="226" t="s">
        <v>6664</v>
      </c>
      <c r="F306" s="226" t="s">
        <v>6665</v>
      </c>
      <c r="G306" s="226">
        <v>2570</v>
      </c>
      <c r="H306" s="226">
        <v>1000</v>
      </c>
      <c r="I306" s="226">
        <v>9198</v>
      </c>
      <c r="J306" s="227">
        <v>65008</v>
      </c>
      <c r="K306" s="226"/>
      <c r="L306" s="226" t="s">
        <v>2736</v>
      </c>
      <c r="M306" s="4"/>
      <c r="P306" s="346"/>
      <c r="Q306" s="346"/>
      <c r="R306" s="3"/>
      <c r="S306" s="128"/>
    </row>
    <row r="307" spans="1:31" s="4" customFormat="1" ht="15" customHeight="1" x14ac:dyDescent="0.25">
      <c r="A307" s="27" t="s">
        <v>130</v>
      </c>
      <c r="B307" s="20" t="s">
        <v>597</v>
      </c>
      <c r="C307" s="20" t="s">
        <v>723</v>
      </c>
      <c r="D307" s="20" t="s">
        <v>135</v>
      </c>
      <c r="E307" s="20" t="s">
        <v>136</v>
      </c>
      <c r="F307" s="20" t="s">
        <v>1553</v>
      </c>
      <c r="G307" s="20">
        <v>2240</v>
      </c>
      <c r="H307" s="20">
        <v>45</v>
      </c>
      <c r="I307" s="20">
        <v>9198</v>
      </c>
      <c r="J307" s="36">
        <v>65002</v>
      </c>
      <c r="K307" s="20"/>
      <c r="L307" s="20" t="s">
        <v>1972</v>
      </c>
      <c r="P307" s="346">
        <v>18417</v>
      </c>
      <c r="Q307" s="345">
        <f>P307*100%/(20000)</f>
        <v>0.92084999999999995</v>
      </c>
      <c r="R307" s="3"/>
      <c r="S307" s="128"/>
      <c r="T307" s="1"/>
    </row>
    <row r="308" spans="1:31" s="4" customFormat="1" ht="15" customHeight="1" x14ac:dyDescent="0.25">
      <c r="A308" s="21" t="s">
        <v>130</v>
      </c>
      <c r="B308" s="18" t="s">
        <v>198</v>
      </c>
      <c r="C308" s="18" t="s">
        <v>721</v>
      </c>
      <c r="D308" s="18" t="s">
        <v>131</v>
      </c>
      <c r="E308" s="18" t="s">
        <v>132</v>
      </c>
      <c r="F308" s="18" t="s">
        <v>1554</v>
      </c>
      <c r="G308" s="18">
        <v>2231</v>
      </c>
      <c r="H308" s="18">
        <v>40</v>
      </c>
      <c r="I308" s="18">
        <v>9198</v>
      </c>
      <c r="J308" s="33">
        <v>65002</v>
      </c>
      <c r="K308" s="18"/>
      <c r="L308" s="18" t="s">
        <v>1972</v>
      </c>
      <c r="P308" s="346"/>
      <c r="Q308" s="346"/>
      <c r="R308" s="3"/>
      <c r="S308" s="128"/>
      <c r="T308" s="1"/>
    </row>
    <row r="309" spans="1:31" s="4" customFormat="1" ht="15" customHeight="1" x14ac:dyDescent="0.25">
      <c r="A309" s="22" t="s">
        <v>130</v>
      </c>
      <c r="B309" s="16" t="s">
        <v>34</v>
      </c>
      <c r="C309" s="16" t="s">
        <v>718</v>
      </c>
      <c r="D309" s="16" t="s">
        <v>137</v>
      </c>
      <c r="E309" s="16" t="s">
        <v>138</v>
      </c>
      <c r="F309" s="16" t="s">
        <v>1556</v>
      </c>
      <c r="G309" s="16">
        <v>2234</v>
      </c>
      <c r="H309" s="16">
        <v>1050</v>
      </c>
      <c r="I309" s="16">
        <v>9198</v>
      </c>
      <c r="J309" s="30">
        <v>65002</v>
      </c>
      <c r="K309" s="16"/>
      <c r="L309" s="16" t="s">
        <v>1972</v>
      </c>
      <c r="P309" s="346"/>
      <c r="Q309" s="346"/>
      <c r="R309" s="3"/>
      <c r="S309" s="128"/>
      <c r="T309" s="1"/>
    </row>
    <row r="310" spans="1:31" s="4" customFormat="1" ht="15" customHeight="1" x14ac:dyDescent="0.25">
      <c r="A310" s="28" t="s">
        <v>130</v>
      </c>
      <c r="B310" s="9" t="s">
        <v>249</v>
      </c>
      <c r="C310" s="10" t="s">
        <v>1276</v>
      </c>
      <c r="D310" s="9" t="s">
        <v>1026</v>
      </c>
      <c r="E310" s="9" t="s">
        <v>1027</v>
      </c>
      <c r="F310" s="9" t="s">
        <v>1028</v>
      </c>
      <c r="G310" s="9">
        <v>2245</v>
      </c>
      <c r="H310" s="9">
        <v>5</v>
      </c>
      <c r="I310" s="9">
        <v>9198</v>
      </c>
      <c r="J310" s="37">
        <v>65002</v>
      </c>
      <c r="K310" s="9"/>
      <c r="L310" s="9" t="s">
        <v>1972</v>
      </c>
      <c r="P310" s="346"/>
      <c r="Q310" s="346"/>
      <c r="R310" s="3"/>
      <c r="S310" s="128"/>
      <c r="T310" s="1"/>
    </row>
    <row r="311" spans="1:31" s="4" customFormat="1" ht="15" customHeight="1" x14ac:dyDescent="0.25">
      <c r="A311" s="45" t="s">
        <v>130</v>
      </c>
      <c r="B311" s="46" t="s">
        <v>1014</v>
      </c>
      <c r="C311" s="49" t="s">
        <v>1277</v>
      </c>
      <c r="D311" s="46" t="s">
        <v>1047</v>
      </c>
      <c r="E311" s="46" t="s">
        <v>1048</v>
      </c>
      <c r="F311" s="46" t="s">
        <v>1049</v>
      </c>
      <c r="G311" s="46">
        <v>2235</v>
      </c>
      <c r="H311" s="46">
        <v>40</v>
      </c>
      <c r="I311" s="46">
        <v>9198</v>
      </c>
      <c r="J311" s="47">
        <v>65002</v>
      </c>
      <c r="K311" s="46" t="s">
        <v>428</v>
      </c>
      <c r="L311" s="46" t="s">
        <v>1972</v>
      </c>
      <c r="P311" s="346"/>
      <c r="Q311" s="346"/>
      <c r="R311" s="184"/>
      <c r="S311" s="128"/>
    </row>
    <row r="312" spans="1:31" ht="15" customHeight="1" x14ac:dyDescent="0.25">
      <c r="A312" s="45" t="s">
        <v>130</v>
      </c>
      <c r="B312" s="46" t="s">
        <v>2623</v>
      </c>
      <c r="C312" s="49" t="s">
        <v>2669</v>
      </c>
      <c r="D312" s="46" t="s">
        <v>2633</v>
      </c>
      <c r="E312" s="46" t="s">
        <v>2634</v>
      </c>
      <c r="F312" s="46" t="s">
        <v>2635</v>
      </c>
      <c r="G312" s="46">
        <v>3042</v>
      </c>
      <c r="H312" s="46">
        <v>100</v>
      </c>
      <c r="I312" s="46">
        <v>9198</v>
      </c>
      <c r="J312" s="47">
        <v>65002</v>
      </c>
      <c r="K312" s="46" t="s">
        <v>428</v>
      </c>
      <c r="L312" s="46" t="s">
        <v>1972</v>
      </c>
      <c r="M312" s="4"/>
      <c r="P312" s="346"/>
      <c r="Q312" s="346"/>
      <c r="R312" s="184"/>
      <c r="S312" s="128"/>
      <c r="T312" s="4"/>
    </row>
    <row r="313" spans="1:31" ht="15" customHeight="1" x14ac:dyDescent="0.25">
      <c r="A313" s="23" t="s">
        <v>130</v>
      </c>
      <c r="B313" s="13" t="s">
        <v>4</v>
      </c>
      <c r="C313" s="13" t="s">
        <v>720</v>
      </c>
      <c r="D313" s="13" t="s">
        <v>139</v>
      </c>
      <c r="E313" s="13" t="s">
        <v>1557</v>
      </c>
      <c r="F313" s="13" t="s">
        <v>1558</v>
      </c>
      <c r="G313" s="13">
        <v>2232</v>
      </c>
      <c r="H313" s="13">
        <v>350</v>
      </c>
      <c r="I313" s="13">
        <v>9198</v>
      </c>
      <c r="J313" s="31">
        <v>65002</v>
      </c>
      <c r="K313" s="13"/>
      <c r="L313" s="13" t="s">
        <v>1972</v>
      </c>
      <c r="M313" s="4"/>
      <c r="P313" s="346"/>
      <c r="Q313" s="346"/>
      <c r="R313" s="3"/>
      <c r="S313" s="128"/>
    </row>
    <row r="314" spans="1:31" ht="15" customHeight="1" x14ac:dyDescent="0.25">
      <c r="A314" s="66" t="s">
        <v>130</v>
      </c>
      <c r="B314" s="67" t="s">
        <v>35</v>
      </c>
      <c r="C314" s="67" t="s">
        <v>722</v>
      </c>
      <c r="D314" s="67" t="s">
        <v>158</v>
      </c>
      <c r="E314" s="67" t="s">
        <v>157</v>
      </c>
      <c r="F314" s="67" t="s">
        <v>156</v>
      </c>
      <c r="G314" s="67">
        <v>3041</v>
      </c>
      <c r="H314" s="67">
        <v>90</v>
      </c>
      <c r="I314" s="67">
        <v>9198</v>
      </c>
      <c r="J314" s="68">
        <v>65002</v>
      </c>
      <c r="K314" s="67"/>
      <c r="L314" s="67" t="s">
        <v>1972</v>
      </c>
      <c r="M314" s="4"/>
      <c r="P314" s="346"/>
      <c r="Q314" s="346"/>
      <c r="R314" s="184"/>
      <c r="S314" s="128"/>
      <c r="T314" s="4"/>
      <c r="V314" s="4"/>
      <c r="W314" s="4"/>
      <c r="X314" s="4"/>
      <c r="Y314" s="4"/>
      <c r="Z314" s="4"/>
      <c r="AA314" s="4"/>
      <c r="AB314" s="4"/>
      <c r="AC314" s="4"/>
      <c r="AD314" s="4"/>
      <c r="AE314" s="4"/>
    </row>
    <row r="315" spans="1:31" ht="15" customHeight="1" x14ac:dyDescent="0.25">
      <c r="A315" s="45" t="s">
        <v>130</v>
      </c>
      <c r="B315" s="46" t="s">
        <v>1109</v>
      </c>
      <c r="C315" s="49" t="s">
        <v>2714</v>
      </c>
      <c r="D315" s="46" t="s">
        <v>2688</v>
      </c>
      <c r="E315" s="46" t="s">
        <v>2689</v>
      </c>
      <c r="F315" s="46" t="s">
        <v>2690</v>
      </c>
      <c r="G315" s="46">
        <v>2247</v>
      </c>
      <c r="H315" s="46">
        <v>34</v>
      </c>
      <c r="I315" s="46">
        <v>9198</v>
      </c>
      <c r="J315" s="47">
        <v>65002</v>
      </c>
      <c r="K315" s="46"/>
      <c r="L315" s="46" t="s">
        <v>2684</v>
      </c>
      <c r="M315" s="4"/>
      <c r="P315" s="346"/>
      <c r="Q315" s="346"/>
      <c r="R315" s="184"/>
      <c r="S315" s="128"/>
      <c r="T315" s="4"/>
      <c r="V315" s="4"/>
      <c r="W315" s="4"/>
      <c r="X315" s="4"/>
      <c r="Y315" s="4"/>
      <c r="Z315" s="4"/>
      <c r="AA315" s="4"/>
      <c r="AB315" s="4"/>
      <c r="AC315" s="4"/>
      <c r="AD315" s="4"/>
      <c r="AE315" s="4"/>
    </row>
    <row r="316" spans="1:31" ht="15" customHeight="1" x14ac:dyDescent="0.25">
      <c r="A316" s="45" t="s">
        <v>130</v>
      </c>
      <c r="B316" s="46" t="s">
        <v>1134</v>
      </c>
      <c r="C316" s="49" t="s">
        <v>1380</v>
      </c>
      <c r="D316" s="46" t="s">
        <v>1363</v>
      </c>
      <c r="E316" s="46" t="s">
        <v>1364</v>
      </c>
      <c r="F316" s="46" t="s">
        <v>1365</v>
      </c>
      <c r="G316" s="46">
        <v>2236</v>
      </c>
      <c r="H316" s="46">
        <v>4</v>
      </c>
      <c r="I316" s="46">
        <v>9198</v>
      </c>
      <c r="J316" s="47">
        <v>65002</v>
      </c>
      <c r="K316" s="46"/>
      <c r="L316" s="46" t="s">
        <v>1972</v>
      </c>
      <c r="M316" s="4"/>
      <c r="P316" s="346"/>
      <c r="Q316" s="346"/>
      <c r="R316" s="184"/>
      <c r="S316" s="128"/>
      <c r="T316" s="4"/>
    </row>
    <row r="317" spans="1:31" ht="15" customHeight="1" x14ac:dyDescent="0.25">
      <c r="A317" s="56" t="s">
        <v>130</v>
      </c>
      <c r="B317" s="57" t="s">
        <v>11</v>
      </c>
      <c r="C317" s="57" t="s">
        <v>719</v>
      </c>
      <c r="D317" s="57" t="s">
        <v>133</v>
      </c>
      <c r="E317" s="57" t="s">
        <v>134</v>
      </c>
      <c r="F317" s="57" t="s">
        <v>1555</v>
      </c>
      <c r="G317" s="57">
        <v>2021</v>
      </c>
      <c r="H317" s="57">
        <v>17125</v>
      </c>
      <c r="I317" s="57">
        <v>9198</v>
      </c>
      <c r="J317" s="58">
        <v>65002</v>
      </c>
      <c r="K317" s="57" t="s">
        <v>574</v>
      </c>
      <c r="L317" s="57" t="s">
        <v>1972</v>
      </c>
      <c r="M317" s="4"/>
      <c r="P317" s="346"/>
      <c r="Q317" s="346"/>
      <c r="R317" s="184"/>
      <c r="S317" s="128"/>
      <c r="T317" s="4"/>
    </row>
    <row r="318" spans="1:31" ht="15" customHeight="1" x14ac:dyDescent="0.25">
      <c r="A318" s="56" t="s">
        <v>130</v>
      </c>
      <c r="B318" s="57" t="s">
        <v>3825</v>
      </c>
      <c r="C318" s="57" t="s">
        <v>4110</v>
      </c>
      <c r="D318" s="57" t="s">
        <v>3826</v>
      </c>
      <c r="E318" s="57" t="s">
        <v>3827</v>
      </c>
      <c r="F318" s="57" t="s">
        <v>3828</v>
      </c>
      <c r="G318" s="57">
        <v>2125</v>
      </c>
      <c r="H318" s="57">
        <v>20</v>
      </c>
      <c r="I318" s="57">
        <v>9198</v>
      </c>
      <c r="J318" s="58">
        <v>65002</v>
      </c>
      <c r="K318" s="57" t="s">
        <v>428</v>
      </c>
      <c r="L318" s="57" t="s">
        <v>1972</v>
      </c>
      <c r="M318" s="4"/>
      <c r="P318" s="346"/>
      <c r="Q318" s="346"/>
      <c r="R318" s="184"/>
      <c r="S318" s="128"/>
      <c r="T318" s="4"/>
    </row>
    <row r="319" spans="1:31" ht="15" customHeight="1" x14ac:dyDescent="0.25">
      <c r="A319" s="153" t="s">
        <v>130</v>
      </c>
      <c r="B319" s="154" t="s">
        <v>3781</v>
      </c>
      <c r="C319" s="154" t="s">
        <v>5398</v>
      </c>
      <c r="D319" s="154" t="s">
        <v>5078</v>
      </c>
      <c r="E319" s="154" t="s">
        <v>5079</v>
      </c>
      <c r="F319" s="154" t="s">
        <v>5080</v>
      </c>
      <c r="G319" s="154">
        <v>2248</v>
      </c>
      <c r="H319" s="154">
        <v>1</v>
      </c>
      <c r="I319" s="154">
        <v>9198</v>
      </c>
      <c r="J319" s="155">
        <v>65002</v>
      </c>
      <c r="K319" s="154"/>
      <c r="L319" s="154" t="s">
        <v>1972</v>
      </c>
      <c r="M319" s="4"/>
      <c r="P319" s="346"/>
      <c r="Q319" s="346"/>
      <c r="R319" s="3"/>
      <c r="S319" s="128"/>
    </row>
    <row r="320" spans="1:31" s="4" customFormat="1" ht="15" customHeight="1" x14ac:dyDescent="0.25">
      <c r="A320" s="45" t="s">
        <v>130</v>
      </c>
      <c r="B320" s="149" t="s">
        <v>5418</v>
      </c>
      <c r="C320" s="252" t="s">
        <v>6107</v>
      </c>
      <c r="D320" s="149" t="s">
        <v>5428</v>
      </c>
      <c r="E320" s="149" t="s">
        <v>5429</v>
      </c>
      <c r="F320" s="149" t="s">
        <v>5430</v>
      </c>
      <c r="G320" s="149">
        <v>2126</v>
      </c>
      <c r="H320" s="149">
        <v>20</v>
      </c>
      <c r="I320" s="149">
        <v>9198</v>
      </c>
      <c r="J320" s="47">
        <v>65002</v>
      </c>
      <c r="K320" s="149"/>
      <c r="L320" s="149" t="s">
        <v>1972</v>
      </c>
      <c r="P320" s="346"/>
      <c r="Q320" s="346"/>
      <c r="R320" s="3"/>
      <c r="S320" s="128"/>
      <c r="T320" s="1"/>
    </row>
    <row r="321" spans="1:20" s="4" customFormat="1" ht="15" customHeight="1" x14ac:dyDescent="0.25">
      <c r="A321" s="225" t="s">
        <v>130</v>
      </c>
      <c r="B321" s="226" t="s">
        <v>4946</v>
      </c>
      <c r="C321" s="226" t="s">
        <v>6823</v>
      </c>
      <c r="D321" s="226" t="s">
        <v>6666</v>
      </c>
      <c r="E321" s="226" t="s">
        <v>6667</v>
      </c>
      <c r="F321" s="226" t="s">
        <v>6668</v>
      </c>
      <c r="G321" s="226">
        <v>2570</v>
      </c>
      <c r="H321" s="226">
        <v>1000</v>
      </c>
      <c r="I321" s="226">
        <v>9198</v>
      </c>
      <c r="J321" s="227">
        <v>65002</v>
      </c>
      <c r="K321" s="226"/>
      <c r="L321" s="226" t="s">
        <v>1972</v>
      </c>
      <c r="P321" s="346"/>
      <c r="Q321" s="346"/>
      <c r="R321" s="3"/>
      <c r="S321" s="128"/>
      <c r="T321" s="1"/>
    </row>
    <row r="322" spans="1:20" s="4" customFormat="1" ht="15" customHeight="1" x14ac:dyDescent="0.3">
      <c r="A322" s="179" t="s">
        <v>4769</v>
      </c>
      <c r="B322" s="180" t="s">
        <v>7212</v>
      </c>
      <c r="C322" s="180" t="s">
        <v>4924</v>
      </c>
      <c r="D322" s="180"/>
      <c r="E322" s="180"/>
      <c r="F322" s="180"/>
      <c r="G322" s="180"/>
      <c r="H322" s="180">
        <v>9450</v>
      </c>
      <c r="I322" s="180"/>
      <c r="J322" s="180"/>
      <c r="K322" s="180"/>
      <c r="L322" s="180" t="s">
        <v>1973</v>
      </c>
      <c r="P322">
        <v>7500</v>
      </c>
      <c r="Q322" s="303">
        <f>P322*100%/(10000)</f>
        <v>0.75</v>
      </c>
      <c r="R322" s="3"/>
      <c r="S322" s="128"/>
      <c r="T322" s="1"/>
    </row>
    <row r="323" spans="1:20" s="4" customFormat="1" ht="15" customHeight="1" x14ac:dyDescent="0.3">
      <c r="A323" s="179" t="s">
        <v>4769</v>
      </c>
      <c r="B323" s="180" t="s">
        <v>4765</v>
      </c>
      <c r="C323" s="180" t="s">
        <v>7450</v>
      </c>
      <c r="D323" s="180" t="s">
        <v>4458</v>
      </c>
      <c r="E323" s="180" t="s">
        <v>4459</v>
      </c>
      <c r="F323" s="180" t="s">
        <v>4460</v>
      </c>
      <c r="G323" s="180">
        <v>2801</v>
      </c>
      <c r="H323" s="180">
        <v>9450</v>
      </c>
      <c r="I323" s="180">
        <v>9198</v>
      </c>
      <c r="J323" s="181">
        <v>65002</v>
      </c>
      <c r="K323" s="180"/>
      <c r="L323" s="180" t="s">
        <v>1973</v>
      </c>
      <c r="P323">
        <v>7500</v>
      </c>
      <c r="Q323" s="303">
        <f>P323*100%/(10000)</f>
        <v>0.75</v>
      </c>
      <c r="R323" s="3"/>
      <c r="S323" s="128"/>
      <c r="T323" s="1"/>
    </row>
    <row r="324" spans="1:20" s="4" customFormat="1" ht="15" customHeight="1" x14ac:dyDescent="0.25">
      <c r="A324" s="27" t="s">
        <v>5355</v>
      </c>
      <c r="B324" s="20" t="s">
        <v>597</v>
      </c>
      <c r="C324" s="20" t="s">
        <v>6161</v>
      </c>
      <c r="D324" s="20" t="s">
        <v>5356</v>
      </c>
      <c r="E324" s="20" t="s">
        <v>5357</v>
      </c>
      <c r="F324" s="20" t="s">
        <v>5358</v>
      </c>
      <c r="G324" s="20">
        <v>2240</v>
      </c>
      <c r="H324" s="20">
        <v>45</v>
      </c>
      <c r="I324" s="20">
        <v>9198</v>
      </c>
      <c r="J324" s="36">
        <v>65002</v>
      </c>
      <c r="K324" s="20"/>
      <c r="L324" s="20" t="s">
        <v>1972</v>
      </c>
      <c r="P324" s="346">
        <v>18397</v>
      </c>
      <c r="Q324" s="345">
        <f>P324*100%/(20000)</f>
        <v>0.91984999999999995</v>
      </c>
      <c r="R324" s="3"/>
      <c r="S324" s="128"/>
      <c r="T324" s="1"/>
    </row>
    <row r="325" spans="1:20" s="4" customFormat="1" ht="15" customHeight="1" x14ac:dyDescent="0.25">
      <c r="A325" s="21" t="s">
        <v>5355</v>
      </c>
      <c r="B325" s="18" t="s">
        <v>198</v>
      </c>
      <c r="C325" s="18" t="s">
        <v>6162</v>
      </c>
      <c r="D325" s="18" t="s">
        <v>5359</v>
      </c>
      <c r="E325" s="18" t="s">
        <v>5360</v>
      </c>
      <c r="F325" s="18" t="s">
        <v>5361</v>
      </c>
      <c r="G325" s="18">
        <v>2231</v>
      </c>
      <c r="H325" s="18">
        <v>40</v>
      </c>
      <c r="I325" s="18">
        <v>9198</v>
      </c>
      <c r="J325" s="33">
        <v>65002</v>
      </c>
      <c r="K325" s="18"/>
      <c r="L325" s="18" t="s">
        <v>1972</v>
      </c>
      <c r="P325" s="346"/>
      <c r="Q325" s="346"/>
      <c r="R325" s="3"/>
      <c r="S325" s="128"/>
      <c r="T325" s="1"/>
    </row>
    <row r="326" spans="1:20" s="4" customFormat="1" ht="15" customHeight="1" x14ac:dyDescent="0.25">
      <c r="A326" s="22" t="s">
        <v>5355</v>
      </c>
      <c r="B326" s="16" t="s">
        <v>34</v>
      </c>
      <c r="C326" s="16" t="s">
        <v>6163</v>
      </c>
      <c r="D326" s="16" t="s">
        <v>5362</v>
      </c>
      <c r="E326" s="16" t="s">
        <v>5368</v>
      </c>
      <c r="F326" s="16" t="s">
        <v>5374</v>
      </c>
      <c r="G326" s="16">
        <v>2234</v>
      </c>
      <c r="H326" s="16">
        <v>1050</v>
      </c>
      <c r="I326" s="16">
        <v>9198</v>
      </c>
      <c r="J326" s="30">
        <v>65002</v>
      </c>
      <c r="K326" s="16"/>
      <c r="L326" s="16" t="s">
        <v>1972</v>
      </c>
      <c r="P326" s="346"/>
      <c r="Q326" s="346"/>
      <c r="R326" s="3"/>
      <c r="S326" s="128"/>
      <c r="T326" s="1"/>
    </row>
    <row r="327" spans="1:20" s="4" customFormat="1" ht="15" customHeight="1" x14ac:dyDescent="0.25">
      <c r="A327" s="28" t="s">
        <v>5355</v>
      </c>
      <c r="B327" s="9" t="s">
        <v>249</v>
      </c>
      <c r="C327" s="10" t="s">
        <v>6164</v>
      </c>
      <c r="D327" s="9" t="s">
        <v>5363</v>
      </c>
      <c r="E327" s="9" t="s">
        <v>5369</v>
      </c>
      <c r="F327" s="9" t="s">
        <v>5375</v>
      </c>
      <c r="G327" s="9">
        <v>2245</v>
      </c>
      <c r="H327" s="9">
        <v>5</v>
      </c>
      <c r="I327" s="9">
        <v>9198</v>
      </c>
      <c r="J327" s="37">
        <v>65002</v>
      </c>
      <c r="K327" s="9"/>
      <c r="L327" s="9" t="s">
        <v>1972</v>
      </c>
      <c r="P327" s="346"/>
      <c r="Q327" s="346"/>
      <c r="R327" s="184"/>
      <c r="S327" s="128"/>
    </row>
    <row r="328" spans="1:20" s="4" customFormat="1" ht="15" customHeight="1" x14ac:dyDescent="0.25">
      <c r="A328" s="45" t="s">
        <v>5355</v>
      </c>
      <c r="B328" s="46" t="s">
        <v>1014</v>
      </c>
      <c r="C328" s="49" t="s">
        <v>6165</v>
      </c>
      <c r="D328" s="46" t="s">
        <v>5364</v>
      </c>
      <c r="E328" s="46" t="s">
        <v>5370</v>
      </c>
      <c r="F328" s="46" t="s">
        <v>5376</v>
      </c>
      <c r="G328" s="46">
        <v>2235</v>
      </c>
      <c r="H328" s="46">
        <v>40</v>
      </c>
      <c r="I328" s="46">
        <v>9198</v>
      </c>
      <c r="J328" s="47">
        <v>65002</v>
      </c>
      <c r="K328" s="46" t="s">
        <v>428</v>
      </c>
      <c r="L328" s="46" t="s">
        <v>1972</v>
      </c>
      <c r="P328" s="346"/>
      <c r="Q328" s="346"/>
      <c r="R328" s="184"/>
      <c r="S328" s="128"/>
    </row>
    <row r="329" spans="1:20" s="4" customFormat="1" ht="15" customHeight="1" x14ac:dyDescent="0.25">
      <c r="A329" s="45" t="s">
        <v>5355</v>
      </c>
      <c r="B329" s="46" t="s">
        <v>2623</v>
      </c>
      <c r="C329" s="49" t="s">
        <v>6166</v>
      </c>
      <c r="D329" s="46" t="s">
        <v>5365</v>
      </c>
      <c r="E329" s="46" t="s">
        <v>5371</v>
      </c>
      <c r="F329" s="46" t="s">
        <v>5377</v>
      </c>
      <c r="G329" s="46">
        <v>3042</v>
      </c>
      <c r="H329" s="46">
        <v>100</v>
      </c>
      <c r="I329" s="46">
        <v>9198</v>
      </c>
      <c r="J329" s="47">
        <v>65002</v>
      </c>
      <c r="K329" s="46" t="s">
        <v>428</v>
      </c>
      <c r="L329" s="46" t="s">
        <v>1972</v>
      </c>
      <c r="P329" s="346"/>
      <c r="Q329" s="346"/>
      <c r="R329" s="3"/>
      <c r="S329" s="128"/>
      <c r="T329" s="1"/>
    </row>
    <row r="330" spans="1:20" s="4" customFormat="1" ht="15" customHeight="1" x14ac:dyDescent="0.25">
      <c r="A330" s="23" t="s">
        <v>5355</v>
      </c>
      <c r="B330" s="13" t="s">
        <v>4</v>
      </c>
      <c r="C330" s="13" t="s">
        <v>6167</v>
      </c>
      <c r="D330" s="13" t="s">
        <v>5366</v>
      </c>
      <c r="E330" s="13" t="s">
        <v>5372</v>
      </c>
      <c r="F330" s="13" t="s">
        <v>5378</v>
      </c>
      <c r="G330" s="13">
        <v>2232</v>
      </c>
      <c r="H330" s="13">
        <v>350</v>
      </c>
      <c r="I330" s="13">
        <v>9198</v>
      </c>
      <c r="J330" s="31">
        <v>65002</v>
      </c>
      <c r="K330" s="13"/>
      <c r="L330" s="13" t="s">
        <v>1972</v>
      </c>
      <c r="P330" s="346"/>
      <c r="Q330" s="346"/>
      <c r="R330" s="3"/>
      <c r="S330" s="128"/>
      <c r="T330" s="1"/>
    </row>
    <row r="331" spans="1:20" s="4" customFormat="1" ht="15" customHeight="1" x14ac:dyDescent="0.25">
      <c r="A331" s="66" t="s">
        <v>5355</v>
      </c>
      <c r="B331" s="67" t="s">
        <v>35</v>
      </c>
      <c r="C331" s="67" t="s">
        <v>6168</v>
      </c>
      <c r="D331" s="67" t="s">
        <v>5367</v>
      </c>
      <c r="E331" s="67" t="s">
        <v>5373</v>
      </c>
      <c r="F331" s="67" t="s">
        <v>5379</v>
      </c>
      <c r="G331" s="67">
        <v>3041</v>
      </c>
      <c r="H331" s="67">
        <v>90</v>
      </c>
      <c r="I331" s="67">
        <v>9198</v>
      </c>
      <c r="J331" s="68">
        <v>65002</v>
      </c>
      <c r="K331" s="67"/>
      <c r="L331" s="67" t="s">
        <v>1972</v>
      </c>
      <c r="P331" s="346"/>
      <c r="Q331" s="346"/>
      <c r="R331" s="3"/>
      <c r="S331" s="128"/>
      <c r="T331" s="1"/>
    </row>
    <row r="332" spans="1:20" s="4" customFormat="1" ht="15" customHeight="1" x14ac:dyDescent="0.25">
      <c r="A332" s="45" t="s">
        <v>5355</v>
      </c>
      <c r="B332" s="46" t="s">
        <v>1109</v>
      </c>
      <c r="C332" s="49" t="s">
        <v>6169</v>
      </c>
      <c r="D332" s="46" t="s">
        <v>5392</v>
      </c>
      <c r="E332" s="46" t="s">
        <v>5393</v>
      </c>
      <c r="F332" s="46" t="s">
        <v>5394</v>
      </c>
      <c r="G332" s="46">
        <v>2247</v>
      </c>
      <c r="H332" s="46">
        <v>34</v>
      </c>
      <c r="I332" s="46">
        <v>9198</v>
      </c>
      <c r="J332" s="47">
        <v>65002</v>
      </c>
      <c r="K332" s="46"/>
      <c r="L332" s="46" t="s">
        <v>2684</v>
      </c>
      <c r="P332" s="346"/>
      <c r="Q332" s="346"/>
      <c r="R332" s="3"/>
      <c r="S332" s="128"/>
      <c r="T332" s="1"/>
    </row>
    <row r="333" spans="1:20" s="4" customFormat="1" ht="15" customHeight="1" x14ac:dyDescent="0.25">
      <c r="A333" s="45" t="s">
        <v>5355</v>
      </c>
      <c r="B333" s="46" t="s">
        <v>1134</v>
      </c>
      <c r="C333" s="49" t="s">
        <v>6170</v>
      </c>
      <c r="D333" s="46" t="s">
        <v>5389</v>
      </c>
      <c r="E333" s="46" t="s">
        <v>5390</v>
      </c>
      <c r="F333" s="46" t="s">
        <v>5391</v>
      </c>
      <c r="G333" s="46">
        <v>2236</v>
      </c>
      <c r="H333" s="46">
        <v>4</v>
      </c>
      <c r="I333" s="46">
        <v>9198</v>
      </c>
      <c r="J333" s="47">
        <v>65002</v>
      </c>
      <c r="K333" s="46"/>
      <c r="L333" s="46" t="s">
        <v>1972</v>
      </c>
      <c r="P333" s="346"/>
      <c r="Q333" s="346"/>
      <c r="R333" s="184"/>
      <c r="S333" s="128"/>
    </row>
    <row r="334" spans="1:20" s="4" customFormat="1" ht="15" customHeight="1" x14ac:dyDescent="0.25">
      <c r="A334" s="56" t="s">
        <v>5355</v>
      </c>
      <c r="B334" s="57" t="s">
        <v>11</v>
      </c>
      <c r="C334" s="57" t="s">
        <v>6171</v>
      </c>
      <c r="D334" s="57" t="s">
        <v>5383</v>
      </c>
      <c r="E334" s="57" t="s">
        <v>5384</v>
      </c>
      <c r="F334" s="57" t="s">
        <v>5385</v>
      </c>
      <c r="G334" s="57">
        <v>2021</v>
      </c>
      <c r="H334" s="57">
        <v>17125</v>
      </c>
      <c r="I334" s="57">
        <v>9198</v>
      </c>
      <c r="J334" s="58">
        <v>65002</v>
      </c>
      <c r="K334" s="57" t="s">
        <v>574</v>
      </c>
      <c r="L334" s="57" t="s">
        <v>1972</v>
      </c>
      <c r="P334" s="346"/>
      <c r="Q334" s="346"/>
      <c r="R334" s="3"/>
      <c r="S334" s="128"/>
      <c r="T334" s="1"/>
    </row>
    <row r="335" spans="1:20" s="4" customFormat="1" ht="15" customHeight="1" x14ac:dyDescent="0.25">
      <c r="A335" s="56" t="s">
        <v>5355</v>
      </c>
      <c r="B335" s="57" t="s">
        <v>3825</v>
      </c>
      <c r="C335" s="57" t="s">
        <v>6172</v>
      </c>
      <c r="D335" s="57" t="s">
        <v>5386</v>
      </c>
      <c r="E335" s="57" t="s">
        <v>5387</v>
      </c>
      <c r="F335" s="57" t="s">
        <v>5388</v>
      </c>
      <c r="G335" s="57">
        <v>2125</v>
      </c>
      <c r="H335" s="57">
        <v>20</v>
      </c>
      <c r="I335" s="57">
        <v>9198</v>
      </c>
      <c r="J335" s="58">
        <v>65002</v>
      </c>
      <c r="K335" s="57" t="s">
        <v>428</v>
      </c>
      <c r="L335" s="57" t="s">
        <v>1972</v>
      </c>
      <c r="P335" s="346"/>
      <c r="Q335" s="346"/>
      <c r="R335" s="146" t="s">
        <v>3459</v>
      </c>
      <c r="S335" s="128"/>
      <c r="T335" s="1"/>
    </row>
    <row r="336" spans="1:20" s="4" customFormat="1" ht="15" customHeight="1" x14ac:dyDescent="0.25">
      <c r="A336" s="153" t="s">
        <v>5355</v>
      </c>
      <c r="B336" s="154" t="s">
        <v>3781</v>
      </c>
      <c r="C336" s="154" t="s">
        <v>6173</v>
      </c>
      <c r="D336" s="154" t="s">
        <v>5380</v>
      </c>
      <c r="E336" s="154" t="s">
        <v>5381</v>
      </c>
      <c r="F336" s="154" t="s">
        <v>5382</v>
      </c>
      <c r="G336" s="154">
        <v>2248</v>
      </c>
      <c r="H336" s="154">
        <v>1</v>
      </c>
      <c r="I336" s="154">
        <v>9198</v>
      </c>
      <c r="J336" s="155">
        <v>65002</v>
      </c>
      <c r="K336" s="154"/>
      <c r="L336" s="154" t="s">
        <v>1972</v>
      </c>
      <c r="P336" s="346"/>
      <c r="Q336" s="346"/>
      <c r="R336" s="146" t="s">
        <v>4337</v>
      </c>
      <c r="S336" s="128"/>
    </row>
    <row r="337" spans="1:20" s="4" customFormat="1" ht="15" customHeight="1" x14ac:dyDescent="0.25">
      <c r="A337" s="225" t="s">
        <v>5355</v>
      </c>
      <c r="B337" s="226" t="s">
        <v>4946</v>
      </c>
      <c r="C337" s="226" t="s">
        <v>6824</v>
      </c>
      <c r="D337" s="226" t="s">
        <v>6669</v>
      </c>
      <c r="E337" s="226" t="s">
        <v>6670</v>
      </c>
      <c r="F337" s="226" t="s">
        <v>6671</v>
      </c>
      <c r="G337" s="226">
        <v>2570</v>
      </c>
      <c r="H337" s="226">
        <v>1000</v>
      </c>
      <c r="I337" s="226">
        <v>9198</v>
      </c>
      <c r="J337" s="227">
        <v>65002</v>
      </c>
      <c r="K337" s="226"/>
      <c r="L337" s="226" t="s">
        <v>1972</v>
      </c>
      <c r="P337" s="346"/>
      <c r="Q337" s="346"/>
      <c r="R337" s="145"/>
      <c r="S337" s="128"/>
    </row>
    <row r="338" spans="1:20" s="4" customFormat="1" ht="15" customHeight="1" x14ac:dyDescent="0.3">
      <c r="A338" s="179" t="s">
        <v>4790</v>
      </c>
      <c r="B338" s="180" t="s">
        <v>7212</v>
      </c>
      <c r="C338" s="180" t="s">
        <v>4925</v>
      </c>
      <c r="D338" s="180"/>
      <c r="E338" s="180"/>
      <c r="F338" s="180"/>
      <c r="G338" s="180"/>
      <c r="H338" s="180">
        <v>9450</v>
      </c>
      <c r="I338" s="180"/>
      <c r="J338" s="180"/>
      <c r="K338" s="180"/>
      <c r="L338" s="180" t="s">
        <v>1973</v>
      </c>
      <c r="P338">
        <v>7500</v>
      </c>
      <c r="Q338" s="303">
        <f>P338*100%/(10000)</f>
        <v>0.75</v>
      </c>
      <c r="R338" s="169" t="s">
        <v>4496</v>
      </c>
      <c r="S338" s="128"/>
      <c r="T338" s="1"/>
    </row>
    <row r="339" spans="1:20" s="4" customFormat="1" ht="15" customHeight="1" x14ac:dyDescent="0.3">
      <c r="A339" s="179" t="s">
        <v>4790</v>
      </c>
      <c r="B339" s="180" t="s">
        <v>4765</v>
      </c>
      <c r="C339" s="180" t="s">
        <v>7443</v>
      </c>
      <c r="D339" s="180" t="s">
        <v>4461</v>
      </c>
      <c r="E339" s="180" t="s">
        <v>4462</v>
      </c>
      <c r="F339" s="180" t="s">
        <v>4463</v>
      </c>
      <c r="G339" s="180">
        <v>2802</v>
      </c>
      <c r="H339" s="180">
        <v>9450</v>
      </c>
      <c r="I339" s="180">
        <v>9198</v>
      </c>
      <c r="J339" s="181">
        <v>65002</v>
      </c>
      <c r="K339" s="180"/>
      <c r="L339" s="180" t="s">
        <v>1973</v>
      </c>
      <c r="P339">
        <v>7500</v>
      </c>
      <c r="Q339" s="303">
        <f>P339*100%/(10000)</f>
        <v>0.75</v>
      </c>
      <c r="R339" s="169" t="s">
        <v>4496</v>
      </c>
      <c r="S339" s="128"/>
      <c r="T339" s="1"/>
    </row>
    <row r="340" spans="1:20" ht="15" customHeight="1" x14ac:dyDescent="0.25">
      <c r="A340" s="27" t="s">
        <v>1456</v>
      </c>
      <c r="B340" s="20" t="s">
        <v>597</v>
      </c>
      <c r="C340" s="20" t="s">
        <v>1278</v>
      </c>
      <c r="D340" s="20" t="s">
        <v>1120</v>
      </c>
      <c r="E340" s="20" t="s">
        <v>1121</v>
      </c>
      <c r="F340" s="20" t="s">
        <v>1122</v>
      </c>
      <c r="G340" s="20">
        <v>3964</v>
      </c>
      <c r="H340" s="20">
        <v>90</v>
      </c>
      <c r="I340" s="20">
        <v>9198</v>
      </c>
      <c r="J340" s="36">
        <v>65232</v>
      </c>
      <c r="K340" s="20"/>
      <c r="L340" s="20" t="s">
        <v>1973</v>
      </c>
      <c r="M340" s="4"/>
      <c r="P340" s="346">
        <v>7254</v>
      </c>
      <c r="Q340" s="345">
        <f>P340*100%/(10000)</f>
        <v>0.72540000000000004</v>
      </c>
      <c r="R340" s="184"/>
      <c r="S340" s="128"/>
      <c r="T340" s="4"/>
    </row>
    <row r="341" spans="1:20" ht="15" customHeight="1" x14ac:dyDescent="0.25">
      <c r="A341" s="21" t="s">
        <v>1456</v>
      </c>
      <c r="B341" s="18" t="s">
        <v>198</v>
      </c>
      <c r="C341" s="18" t="s">
        <v>727</v>
      </c>
      <c r="D341" s="18" t="s">
        <v>226</v>
      </c>
      <c r="E341" s="18" t="s">
        <v>222</v>
      </c>
      <c r="F341" s="18" t="s">
        <v>224</v>
      </c>
      <c r="G341" s="18">
        <v>3005</v>
      </c>
      <c r="H341" s="18">
        <v>12</v>
      </c>
      <c r="I341" s="18">
        <v>9198</v>
      </c>
      <c r="J341" s="33">
        <v>65232</v>
      </c>
      <c r="K341" s="18"/>
      <c r="L341" s="18" t="s">
        <v>1973</v>
      </c>
      <c r="M341" s="4"/>
      <c r="P341" s="346"/>
      <c r="Q341" s="346"/>
      <c r="R341" s="146" t="s">
        <v>4337</v>
      </c>
      <c r="S341" s="128"/>
    </row>
    <row r="342" spans="1:20" ht="15" customHeight="1" x14ac:dyDescent="0.25">
      <c r="A342" s="22" t="s">
        <v>1456</v>
      </c>
      <c r="B342" s="16" t="s">
        <v>34</v>
      </c>
      <c r="C342" s="16" t="s">
        <v>1279</v>
      </c>
      <c r="D342" s="16" t="s">
        <v>1117</v>
      </c>
      <c r="E342" s="16" t="s">
        <v>1118</v>
      </c>
      <c r="F342" s="16" t="s">
        <v>1119</v>
      </c>
      <c r="G342" s="16">
        <v>3965</v>
      </c>
      <c r="H342" s="16">
        <v>2378</v>
      </c>
      <c r="I342" s="16">
        <v>9198</v>
      </c>
      <c r="J342" s="30">
        <v>65232</v>
      </c>
      <c r="K342" s="16"/>
      <c r="L342" s="16" t="s">
        <v>1973</v>
      </c>
      <c r="M342" s="4"/>
      <c r="P342" s="346"/>
      <c r="Q342" s="346"/>
      <c r="R342" s="169" t="s">
        <v>4495</v>
      </c>
      <c r="S342" s="128"/>
    </row>
    <row r="343" spans="1:20" ht="15" customHeight="1" x14ac:dyDescent="0.25">
      <c r="A343" s="28" t="s">
        <v>1456</v>
      </c>
      <c r="B343" s="9" t="s">
        <v>249</v>
      </c>
      <c r="C343" s="10" t="s">
        <v>1280</v>
      </c>
      <c r="D343" s="9" t="s">
        <v>1123</v>
      </c>
      <c r="E343" s="9" t="s">
        <v>1124</v>
      </c>
      <c r="F343" s="9" t="s">
        <v>1125</v>
      </c>
      <c r="G343" s="9">
        <v>3966</v>
      </c>
      <c r="H343" s="9">
        <v>1</v>
      </c>
      <c r="I343" s="9">
        <v>9198</v>
      </c>
      <c r="J343" s="37">
        <v>65232</v>
      </c>
      <c r="K343" s="9"/>
      <c r="L343" s="9" t="s">
        <v>1973</v>
      </c>
      <c r="M343" s="4"/>
      <c r="P343" s="346"/>
      <c r="Q343" s="346"/>
    </row>
    <row r="344" spans="1:20" s="4" customFormat="1" ht="15" customHeight="1" x14ac:dyDescent="0.25">
      <c r="A344" s="45" t="s">
        <v>1456</v>
      </c>
      <c r="B344" s="46" t="s">
        <v>1014</v>
      </c>
      <c r="C344" s="49" t="s">
        <v>1281</v>
      </c>
      <c r="D344" s="46" t="s">
        <v>1157</v>
      </c>
      <c r="E344" s="46" t="s">
        <v>1158</v>
      </c>
      <c r="F344" s="46" t="s">
        <v>1159</v>
      </c>
      <c r="G344" s="46">
        <v>3967</v>
      </c>
      <c r="H344" s="46">
        <v>120</v>
      </c>
      <c r="I344" s="46">
        <v>9198</v>
      </c>
      <c r="J344" s="47">
        <v>65232</v>
      </c>
      <c r="K344" s="46" t="s">
        <v>428</v>
      </c>
      <c r="L344" s="46" t="s">
        <v>1973</v>
      </c>
      <c r="P344" s="346"/>
      <c r="Q344" s="346"/>
    </row>
    <row r="345" spans="1:20" s="4" customFormat="1" ht="15" customHeight="1" x14ac:dyDescent="0.25">
      <c r="A345" s="51" t="s">
        <v>1456</v>
      </c>
      <c r="B345" s="13" t="s">
        <v>4</v>
      </c>
      <c r="C345" s="13" t="s">
        <v>726</v>
      </c>
      <c r="D345" s="13" t="s">
        <v>225</v>
      </c>
      <c r="E345" s="13" t="s">
        <v>221</v>
      </c>
      <c r="F345" s="13" t="s">
        <v>223</v>
      </c>
      <c r="G345" s="13">
        <v>3001</v>
      </c>
      <c r="H345" s="13">
        <v>90</v>
      </c>
      <c r="I345" s="13">
        <v>9198</v>
      </c>
      <c r="J345" s="31">
        <v>65232</v>
      </c>
      <c r="K345" s="13"/>
      <c r="L345" s="13" t="s">
        <v>1973</v>
      </c>
      <c r="P345" s="346"/>
      <c r="Q345" s="346"/>
    </row>
    <row r="346" spans="1:20" ht="15" customHeight="1" x14ac:dyDescent="0.25">
      <c r="A346" s="66" t="s">
        <v>1456</v>
      </c>
      <c r="B346" s="67" t="s">
        <v>35</v>
      </c>
      <c r="C346" s="67" t="s">
        <v>724</v>
      </c>
      <c r="D346" s="67" t="s">
        <v>80</v>
      </c>
      <c r="E346" s="67" t="s">
        <v>81</v>
      </c>
      <c r="F346" s="67" t="s">
        <v>1560</v>
      </c>
      <c r="G346" s="67">
        <v>3009</v>
      </c>
      <c r="H346" s="67">
        <v>20</v>
      </c>
      <c r="I346" s="67">
        <v>9198</v>
      </c>
      <c r="J346" s="68">
        <v>65232</v>
      </c>
      <c r="K346" s="67"/>
      <c r="L346" s="67" t="s">
        <v>1973</v>
      </c>
      <c r="M346" s="4"/>
      <c r="P346" s="346"/>
      <c r="Q346" s="346"/>
    </row>
    <row r="347" spans="1:20" ht="15" customHeight="1" x14ac:dyDescent="0.25">
      <c r="A347" s="45" t="s">
        <v>1456</v>
      </c>
      <c r="B347" s="46" t="s">
        <v>1109</v>
      </c>
      <c r="C347" s="49" t="s">
        <v>1512</v>
      </c>
      <c r="D347" s="46" t="s">
        <v>1515</v>
      </c>
      <c r="E347" s="46" t="s">
        <v>1514</v>
      </c>
      <c r="F347" s="46" t="s">
        <v>1513</v>
      </c>
      <c r="G347" s="46">
        <v>2422</v>
      </c>
      <c r="H347" s="46">
        <v>2</v>
      </c>
      <c r="I347" s="46">
        <v>9198</v>
      </c>
      <c r="J347" s="47">
        <v>65232</v>
      </c>
      <c r="K347" s="46"/>
      <c r="L347" s="46" t="s">
        <v>1973</v>
      </c>
      <c r="M347" s="4"/>
      <c r="P347" s="346"/>
      <c r="Q347" s="346"/>
    </row>
    <row r="348" spans="1:20" ht="15" customHeight="1" x14ac:dyDescent="0.25">
      <c r="A348" s="56" t="s">
        <v>1456</v>
      </c>
      <c r="B348" s="57" t="s">
        <v>11</v>
      </c>
      <c r="C348" s="57" t="s">
        <v>725</v>
      </c>
      <c r="D348" s="57" t="s">
        <v>78</v>
      </c>
      <c r="E348" s="57" t="s">
        <v>79</v>
      </c>
      <c r="F348" s="57" t="s">
        <v>1559</v>
      </c>
      <c r="G348" s="57">
        <v>750</v>
      </c>
      <c r="H348" s="57">
        <v>4300</v>
      </c>
      <c r="I348" s="57">
        <v>9198</v>
      </c>
      <c r="J348" s="58">
        <v>65232</v>
      </c>
      <c r="K348" s="7" t="s">
        <v>433</v>
      </c>
      <c r="L348" s="57" t="s">
        <v>1973</v>
      </c>
      <c r="M348" s="4"/>
      <c r="P348" s="346"/>
      <c r="Q348" s="346"/>
    </row>
    <row r="349" spans="1:20" ht="15" customHeight="1" x14ac:dyDescent="0.25">
      <c r="A349" s="56" t="s">
        <v>1456</v>
      </c>
      <c r="B349" s="57" t="s">
        <v>3825</v>
      </c>
      <c r="C349" s="57" t="s">
        <v>4112</v>
      </c>
      <c r="D349" s="57" t="s">
        <v>3829</v>
      </c>
      <c r="E349" s="57" t="s">
        <v>3830</v>
      </c>
      <c r="F349" s="57" t="s">
        <v>3831</v>
      </c>
      <c r="G349" s="57">
        <v>2125</v>
      </c>
      <c r="H349" s="57">
        <v>110</v>
      </c>
      <c r="I349" s="57">
        <v>9198</v>
      </c>
      <c r="J349" s="58">
        <v>65232</v>
      </c>
      <c r="K349" s="57" t="s">
        <v>428</v>
      </c>
      <c r="L349" s="57" t="s">
        <v>1973</v>
      </c>
      <c r="M349" s="4"/>
      <c r="P349" s="346"/>
      <c r="Q349" s="346"/>
    </row>
    <row r="350" spans="1:20" ht="15" customHeight="1" x14ac:dyDescent="0.25">
      <c r="A350" s="153" t="s">
        <v>1456</v>
      </c>
      <c r="B350" s="154" t="s">
        <v>3781</v>
      </c>
      <c r="C350" s="154" t="s">
        <v>4306</v>
      </c>
      <c r="D350" s="154" t="s">
        <v>4045</v>
      </c>
      <c r="E350" s="154" t="s">
        <v>4046</v>
      </c>
      <c r="F350" s="154" t="s">
        <v>4047</v>
      </c>
      <c r="G350" s="154">
        <v>1770</v>
      </c>
      <c r="H350" s="154">
        <v>1</v>
      </c>
      <c r="I350" s="154">
        <v>9198</v>
      </c>
      <c r="J350" s="155">
        <v>65232</v>
      </c>
      <c r="K350" s="154"/>
      <c r="L350" s="154" t="s">
        <v>1973</v>
      </c>
      <c r="M350" s="4"/>
      <c r="P350" s="346"/>
      <c r="Q350" s="346"/>
    </row>
    <row r="351" spans="1:20" ht="15" customHeight="1" x14ac:dyDescent="0.25">
      <c r="A351" s="225" t="s">
        <v>1456</v>
      </c>
      <c r="B351" s="226" t="s">
        <v>4946</v>
      </c>
      <c r="C351" s="226" t="s">
        <v>6825</v>
      </c>
      <c r="D351" s="226" t="s">
        <v>6672</v>
      </c>
      <c r="E351" s="226" t="s">
        <v>6673</v>
      </c>
      <c r="F351" s="226" t="s">
        <v>6674</v>
      </c>
      <c r="G351" s="226">
        <v>2570</v>
      </c>
      <c r="H351" s="226">
        <v>100</v>
      </c>
      <c r="I351" s="226">
        <v>9198</v>
      </c>
      <c r="J351" s="227">
        <v>65232</v>
      </c>
      <c r="K351" s="226"/>
      <c r="L351" s="226" t="s">
        <v>1973</v>
      </c>
      <c r="M351" s="4"/>
      <c r="P351" s="346"/>
      <c r="Q351" s="346"/>
    </row>
    <row r="352" spans="1:20" ht="15" customHeight="1" x14ac:dyDescent="0.25">
      <c r="A352" s="27" t="s">
        <v>5907</v>
      </c>
      <c r="B352" s="20" t="s">
        <v>597</v>
      </c>
      <c r="C352" s="20" t="s">
        <v>6993</v>
      </c>
      <c r="D352" s="20" t="s">
        <v>5914</v>
      </c>
      <c r="E352" s="20" t="s">
        <v>5915</v>
      </c>
      <c r="F352" s="20" t="s">
        <v>5916</v>
      </c>
      <c r="G352" s="20">
        <v>3964</v>
      </c>
      <c r="H352" s="20">
        <v>120</v>
      </c>
      <c r="I352" s="20">
        <v>9198</v>
      </c>
      <c r="J352" s="36">
        <v>65232</v>
      </c>
      <c r="K352" s="20"/>
      <c r="L352" s="20" t="s">
        <v>1973</v>
      </c>
      <c r="M352" s="4"/>
      <c r="P352" s="346">
        <v>7086</v>
      </c>
      <c r="Q352" s="345">
        <f>P352*100%/(10000)</f>
        <v>0.70860000000000001</v>
      </c>
    </row>
    <row r="353" spans="1:17" ht="15" customHeight="1" x14ac:dyDescent="0.25">
      <c r="A353" s="21" t="s">
        <v>5907</v>
      </c>
      <c r="B353" s="18" t="s">
        <v>198</v>
      </c>
      <c r="C353" s="18" t="s">
        <v>6994</v>
      </c>
      <c r="D353" s="18" t="s">
        <v>5917</v>
      </c>
      <c r="E353" s="18" t="s">
        <v>5918</v>
      </c>
      <c r="F353" s="18" t="s">
        <v>5919</v>
      </c>
      <c r="G353" s="18">
        <v>3005</v>
      </c>
      <c r="H353" s="18">
        <v>12</v>
      </c>
      <c r="I353" s="18">
        <v>9198</v>
      </c>
      <c r="J353" s="33">
        <v>65232</v>
      </c>
      <c r="K353" s="18"/>
      <c r="L353" s="18" t="s">
        <v>1973</v>
      </c>
      <c r="M353" s="4"/>
      <c r="P353" s="346"/>
      <c r="Q353" s="346"/>
    </row>
    <row r="354" spans="1:17" ht="15" customHeight="1" x14ac:dyDescent="0.25">
      <c r="A354" s="22" t="s">
        <v>5907</v>
      </c>
      <c r="B354" s="16" t="s">
        <v>34</v>
      </c>
      <c r="C354" s="16" t="s">
        <v>6995</v>
      </c>
      <c r="D354" s="16" t="s">
        <v>5920</v>
      </c>
      <c r="E354" s="16" t="s">
        <v>5927</v>
      </c>
      <c r="F354" s="16" t="s">
        <v>5933</v>
      </c>
      <c r="G354" s="16">
        <v>3965</v>
      </c>
      <c r="H354" s="16">
        <v>2210</v>
      </c>
      <c r="I354" s="16">
        <v>9198</v>
      </c>
      <c r="J354" s="30">
        <v>65232</v>
      </c>
      <c r="K354" s="16"/>
      <c r="L354" s="16" t="s">
        <v>1973</v>
      </c>
      <c r="M354" s="4"/>
      <c r="P354" s="346"/>
      <c r="Q354" s="346"/>
    </row>
    <row r="355" spans="1:17" ht="15" customHeight="1" x14ac:dyDescent="0.25">
      <c r="A355" s="28" t="s">
        <v>5907</v>
      </c>
      <c r="B355" s="9" t="s">
        <v>249</v>
      </c>
      <c r="C355" s="10" t="s">
        <v>6996</v>
      </c>
      <c r="D355" s="9" t="s">
        <v>5921</v>
      </c>
      <c r="E355" s="9" t="s">
        <v>5928</v>
      </c>
      <c r="F355" s="9" t="s">
        <v>5934</v>
      </c>
      <c r="G355" s="9">
        <v>3966</v>
      </c>
      <c r="H355" s="9">
        <v>1</v>
      </c>
      <c r="I355" s="9">
        <v>9198</v>
      </c>
      <c r="J355" s="37">
        <v>65232</v>
      </c>
      <c r="K355" s="9"/>
      <c r="L355" s="9" t="s">
        <v>1973</v>
      </c>
      <c r="M355" s="4"/>
      <c r="P355" s="346"/>
      <c r="Q355" s="346"/>
    </row>
    <row r="356" spans="1:17" ht="15" customHeight="1" x14ac:dyDescent="0.25">
      <c r="A356" s="45" t="s">
        <v>5907</v>
      </c>
      <c r="B356" s="46" t="s">
        <v>1014</v>
      </c>
      <c r="C356" s="49" t="s">
        <v>6997</v>
      </c>
      <c r="D356" s="46" t="s">
        <v>5922</v>
      </c>
      <c r="E356" s="46" t="s">
        <v>5929</v>
      </c>
      <c r="F356" s="46" t="s">
        <v>5935</v>
      </c>
      <c r="G356" s="46">
        <v>3967</v>
      </c>
      <c r="H356" s="46">
        <v>120</v>
      </c>
      <c r="I356" s="46">
        <v>9198</v>
      </c>
      <c r="J356" s="47">
        <v>65232</v>
      </c>
      <c r="K356" s="46" t="s">
        <v>428</v>
      </c>
      <c r="L356" s="46" t="s">
        <v>1973</v>
      </c>
      <c r="M356" s="4"/>
      <c r="P356" s="346"/>
      <c r="Q356" s="346"/>
    </row>
    <row r="357" spans="1:17" ht="15" customHeight="1" x14ac:dyDescent="0.25">
      <c r="A357" s="51" t="s">
        <v>5907</v>
      </c>
      <c r="B357" s="13" t="s">
        <v>4</v>
      </c>
      <c r="C357" s="13" t="s">
        <v>6998</v>
      </c>
      <c r="D357" s="13" t="s">
        <v>5923</v>
      </c>
      <c r="E357" s="13" t="s">
        <v>5930</v>
      </c>
      <c r="F357" s="13" t="s">
        <v>5936</v>
      </c>
      <c r="G357" s="13">
        <v>3001</v>
      </c>
      <c r="H357" s="13">
        <v>90</v>
      </c>
      <c r="I357" s="13">
        <v>9198</v>
      </c>
      <c r="J357" s="31">
        <v>65232</v>
      </c>
      <c r="K357" s="13"/>
      <c r="L357" s="13" t="s">
        <v>1973</v>
      </c>
      <c r="M357" s="4"/>
      <c r="P357" s="346"/>
      <c r="Q357" s="346"/>
    </row>
    <row r="358" spans="1:17" ht="15" customHeight="1" x14ac:dyDescent="0.25">
      <c r="A358" s="66" t="s">
        <v>5907</v>
      </c>
      <c r="B358" s="67" t="s">
        <v>35</v>
      </c>
      <c r="C358" s="67" t="s">
        <v>6999</v>
      </c>
      <c r="D358" s="67" t="s">
        <v>5924</v>
      </c>
      <c r="E358" s="67" t="s">
        <v>5931</v>
      </c>
      <c r="F358" s="67" t="s">
        <v>5937</v>
      </c>
      <c r="G358" s="67">
        <v>3009</v>
      </c>
      <c r="H358" s="67">
        <v>20</v>
      </c>
      <c r="I358" s="67">
        <v>9198</v>
      </c>
      <c r="J358" s="68">
        <v>65232</v>
      </c>
      <c r="K358" s="67"/>
      <c r="L358" s="67" t="s">
        <v>1973</v>
      </c>
      <c r="M358" s="4"/>
      <c r="P358" s="346"/>
      <c r="Q358" s="346"/>
    </row>
    <row r="359" spans="1:17" ht="15" customHeight="1" x14ac:dyDescent="0.25">
      <c r="A359" s="45" t="s">
        <v>5907</v>
      </c>
      <c r="B359" s="46" t="s">
        <v>1109</v>
      </c>
      <c r="C359" s="49" t="s">
        <v>7000</v>
      </c>
      <c r="D359" s="46" t="s">
        <v>5911</v>
      </c>
      <c r="E359" s="46" t="s">
        <v>5912</v>
      </c>
      <c r="F359" s="46" t="s">
        <v>5913</v>
      </c>
      <c r="G359" s="46">
        <v>2420</v>
      </c>
      <c r="H359" s="46">
        <v>2</v>
      </c>
      <c r="I359" s="46">
        <v>9198</v>
      </c>
      <c r="J359" s="47">
        <v>65232</v>
      </c>
      <c r="K359" s="46"/>
      <c r="L359" s="46" t="s">
        <v>1973</v>
      </c>
      <c r="M359" s="4"/>
      <c r="P359" s="346"/>
      <c r="Q359" s="346"/>
    </row>
    <row r="360" spans="1:17" ht="15" customHeight="1" x14ac:dyDescent="0.25">
      <c r="A360" s="56" t="s">
        <v>5907</v>
      </c>
      <c r="B360" s="57" t="s">
        <v>11</v>
      </c>
      <c r="C360" s="57" t="s">
        <v>7001</v>
      </c>
      <c r="D360" s="57" t="s">
        <v>5925</v>
      </c>
      <c r="E360" s="57" t="s">
        <v>5932</v>
      </c>
      <c r="F360" s="57" t="s">
        <v>5938</v>
      </c>
      <c r="G360" s="57">
        <v>750</v>
      </c>
      <c r="H360" s="57">
        <v>4300</v>
      </c>
      <c r="I360" s="57">
        <v>9198</v>
      </c>
      <c r="J360" s="58">
        <v>65232</v>
      </c>
      <c r="K360" s="7" t="s">
        <v>433</v>
      </c>
      <c r="L360" s="57" t="s">
        <v>1973</v>
      </c>
      <c r="M360" s="4"/>
      <c r="P360" s="346"/>
      <c r="Q360" s="346"/>
    </row>
    <row r="361" spans="1:17" ht="15" customHeight="1" x14ac:dyDescent="0.25">
      <c r="A361" s="56" t="s">
        <v>5907</v>
      </c>
      <c r="B361" s="57" t="s">
        <v>3825</v>
      </c>
      <c r="C361" s="57" t="s">
        <v>7002</v>
      </c>
      <c r="D361" s="57" t="s">
        <v>5926</v>
      </c>
      <c r="E361" s="57" t="s">
        <v>5939</v>
      </c>
      <c r="F361" s="57" t="s">
        <v>5939</v>
      </c>
      <c r="G361" s="57">
        <v>2125</v>
      </c>
      <c r="H361" s="57">
        <v>110</v>
      </c>
      <c r="I361" s="57">
        <v>9198</v>
      </c>
      <c r="J361" s="58">
        <v>65232</v>
      </c>
      <c r="K361" s="57" t="s">
        <v>428</v>
      </c>
      <c r="L361" s="57" t="s">
        <v>1973</v>
      </c>
      <c r="M361" s="4"/>
      <c r="P361" s="346"/>
      <c r="Q361" s="346"/>
    </row>
    <row r="362" spans="1:17" ht="15" customHeight="1" x14ac:dyDescent="0.25">
      <c r="A362" s="153" t="s">
        <v>5907</v>
      </c>
      <c r="B362" s="154" t="s">
        <v>3781</v>
      </c>
      <c r="C362" s="154" t="s">
        <v>7003</v>
      </c>
      <c r="D362" s="154" t="s">
        <v>5908</v>
      </c>
      <c r="E362" s="154" t="s">
        <v>5909</v>
      </c>
      <c r="F362" s="154" t="s">
        <v>5910</v>
      </c>
      <c r="G362" s="154">
        <v>1770</v>
      </c>
      <c r="H362" s="154">
        <v>1</v>
      </c>
      <c r="I362" s="154">
        <v>9198</v>
      </c>
      <c r="J362" s="155">
        <v>65232</v>
      </c>
      <c r="K362" s="154"/>
      <c r="L362" s="154" t="s">
        <v>1973</v>
      </c>
      <c r="M362" s="4"/>
      <c r="P362" s="346"/>
      <c r="Q362" s="346"/>
    </row>
    <row r="363" spans="1:17" ht="15" customHeight="1" x14ac:dyDescent="0.25">
      <c r="A363" s="225" t="s">
        <v>5907</v>
      </c>
      <c r="B363" s="226" t="s">
        <v>4946</v>
      </c>
      <c r="C363" s="226" t="s">
        <v>6826</v>
      </c>
      <c r="D363" s="226" t="s">
        <v>6675</v>
      </c>
      <c r="E363" s="226" t="s">
        <v>6676</v>
      </c>
      <c r="F363" s="226" t="s">
        <v>6677</v>
      </c>
      <c r="G363" s="226">
        <v>2570</v>
      </c>
      <c r="H363" s="226">
        <v>100</v>
      </c>
      <c r="I363" s="226">
        <v>9198</v>
      </c>
      <c r="J363" s="227">
        <v>65232</v>
      </c>
      <c r="K363" s="226"/>
      <c r="L363" s="226" t="s">
        <v>1973</v>
      </c>
      <c r="M363" s="4"/>
      <c r="P363" s="346"/>
      <c r="Q363" s="346"/>
    </row>
    <row r="364" spans="1:17" ht="15" customHeight="1" x14ac:dyDescent="0.25">
      <c r="A364" s="27" t="s">
        <v>1505</v>
      </c>
      <c r="B364" s="20" t="s">
        <v>597</v>
      </c>
      <c r="C364" s="20" t="s">
        <v>6868</v>
      </c>
      <c r="D364" s="20" t="s">
        <v>6508</v>
      </c>
      <c r="E364" s="20" t="s">
        <v>6509</v>
      </c>
      <c r="F364" s="20" t="s">
        <v>6510</v>
      </c>
      <c r="G364" s="20">
        <v>2134</v>
      </c>
      <c r="H364" s="20">
        <v>10</v>
      </c>
      <c r="I364" s="20">
        <v>9198</v>
      </c>
      <c r="J364" s="36">
        <v>29355</v>
      </c>
      <c r="K364" s="20"/>
      <c r="L364" s="20" t="s">
        <v>1973</v>
      </c>
      <c r="M364" s="4"/>
      <c r="P364" s="346">
        <v>7701</v>
      </c>
      <c r="Q364" s="345">
        <f>P364*100%/(10000)</f>
        <v>0.77010000000000001</v>
      </c>
    </row>
    <row r="365" spans="1:17" ht="15" customHeight="1" x14ac:dyDescent="0.25">
      <c r="A365" s="21" t="s">
        <v>1505</v>
      </c>
      <c r="B365" s="18" t="s">
        <v>198</v>
      </c>
      <c r="C365" s="18" t="s">
        <v>1282</v>
      </c>
      <c r="D365" s="18" t="s">
        <v>1154</v>
      </c>
      <c r="E365" s="18" t="s">
        <v>1155</v>
      </c>
      <c r="F365" s="18" t="s">
        <v>1156</v>
      </c>
      <c r="G365" s="18">
        <v>566</v>
      </c>
      <c r="H365" s="18">
        <v>6</v>
      </c>
      <c r="I365" s="18">
        <v>9198</v>
      </c>
      <c r="J365" s="33">
        <v>29355</v>
      </c>
      <c r="K365" s="18"/>
      <c r="L365" s="18" t="s">
        <v>1973</v>
      </c>
      <c r="P365" s="346"/>
      <c r="Q365" s="346"/>
    </row>
    <row r="366" spans="1:17" ht="15" customHeight="1" x14ac:dyDescent="0.25">
      <c r="A366" s="22" t="s">
        <v>1505</v>
      </c>
      <c r="B366" s="16" t="s">
        <v>34</v>
      </c>
      <c r="C366" s="16" t="s">
        <v>828</v>
      </c>
      <c r="D366" s="16" t="s">
        <v>525</v>
      </c>
      <c r="E366" s="16" t="s">
        <v>526</v>
      </c>
      <c r="F366" s="16" t="s">
        <v>523</v>
      </c>
      <c r="G366" s="16">
        <v>554</v>
      </c>
      <c r="H366" s="16">
        <v>3033</v>
      </c>
      <c r="I366" s="16">
        <v>9198</v>
      </c>
      <c r="J366" s="30">
        <v>29355</v>
      </c>
      <c r="K366" s="16" t="s">
        <v>522</v>
      </c>
      <c r="L366" s="16" t="s">
        <v>1973</v>
      </c>
      <c r="P366" s="346"/>
      <c r="Q366" s="346"/>
    </row>
    <row r="367" spans="1:17" ht="15" customHeight="1" x14ac:dyDescent="0.25">
      <c r="A367" s="28" t="s">
        <v>1505</v>
      </c>
      <c r="B367" s="9" t="s">
        <v>249</v>
      </c>
      <c r="C367" s="9" t="s">
        <v>829</v>
      </c>
      <c r="D367" s="9" t="s">
        <v>527</v>
      </c>
      <c r="E367" s="9" t="s">
        <v>528</v>
      </c>
      <c r="F367" s="9" t="s">
        <v>524</v>
      </c>
      <c r="G367" s="9">
        <v>555</v>
      </c>
      <c r="H367" s="9">
        <v>5</v>
      </c>
      <c r="I367" s="9">
        <v>9198</v>
      </c>
      <c r="J367" s="37">
        <v>29355</v>
      </c>
      <c r="K367" s="9"/>
      <c r="L367" s="9" t="s">
        <v>1973</v>
      </c>
      <c r="M367" s="4"/>
      <c r="P367" s="346"/>
      <c r="Q367" s="346"/>
    </row>
    <row r="368" spans="1:17" s="4" customFormat="1" ht="15" customHeight="1" x14ac:dyDescent="0.25">
      <c r="A368" s="45" t="s">
        <v>1505</v>
      </c>
      <c r="B368" s="46" t="s">
        <v>1014</v>
      </c>
      <c r="C368" s="49" t="s">
        <v>2957</v>
      </c>
      <c r="D368" s="46" t="s">
        <v>2935</v>
      </c>
      <c r="E368" s="46" t="s">
        <v>2936</v>
      </c>
      <c r="F368" s="46" t="s">
        <v>2937</v>
      </c>
      <c r="G368" s="46">
        <v>578</v>
      </c>
      <c r="H368" s="46">
        <v>10</v>
      </c>
      <c r="I368" s="46">
        <v>9198</v>
      </c>
      <c r="J368" s="47">
        <v>29355</v>
      </c>
      <c r="K368" s="46" t="s">
        <v>428</v>
      </c>
      <c r="L368" s="46" t="s">
        <v>1973</v>
      </c>
      <c r="P368" s="346"/>
      <c r="Q368" s="346"/>
    </row>
    <row r="369" spans="1:19" ht="15" customHeight="1" x14ac:dyDescent="0.25">
      <c r="A369" s="51" t="s">
        <v>1505</v>
      </c>
      <c r="B369" s="52" t="s">
        <v>4</v>
      </c>
      <c r="C369" s="52" t="s">
        <v>1283</v>
      </c>
      <c r="D369" s="52" t="s">
        <v>1151</v>
      </c>
      <c r="E369" s="52" t="s">
        <v>1152</v>
      </c>
      <c r="F369" s="52" t="s">
        <v>1153</v>
      </c>
      <c r="G369" s="52">
        <v>567</v>
      </c>
      <c r="H369" s="52">
        <v>150</v>
      </c>
      <c r="I369" s="52">
        <v>9198</v>
      </c>
      <c r="J369" s="53">
        <v>29355</v>
      </c>
      <c r="K369" s="52"/>
      <c r="L369" s="52" t="s">
        <v>1973</v>
      </c>
      <c r="M369" s="4"/>
      <c r="P369" s="346"/>
      <c r="Q369" s="346"/>
    </row>
    <row r="370" spans="1:19" ht="15" customHeight="1" x14ac:dyDescent="0.25">
      <c r="A370" s="66" t="s">
        <v>1505</v>
      </c>
      <c r="B370" s="66" t="s">
        <v>35</v>
      </c>
      <c r="C370" s="66" t="s">
        <v>1381</v>
      </c>
      <c r="D370" s="66" t="s">
        <v>1267</v>
      </c>
      <c r="E370" s="66" t="s">
        <v>1268</v>
      </c>
      <c r="F370" s="66" t="s">
        <v>1269</v>
      </c>
      <c r="G370" s="66">
        <v>553</v>
      </c>
      <c r="H370" s="66">
        <v>10</v>
      </c>
      <c r="I370" s="66">
        <v>9198</v>
      </c>
      <c r="J370" s="66">
        <v>29355</v>
      </c>
      <c r="K370" s="66"/>
      <c r="L370" s="66" t="s">
        <v>1973</v>
      </c>
      <c r="M370" s="4"/>
      <c r="P370" s="346"/>
      <c r="Q370" s="346"/>
      <c r="R370" s="3"/>
      <c r="S370" s="128"/>
    </row>
    <row r="371" spans="1:19" ht="15" customHeight="1" x14ac:dyDescent="0.25">
      <c r="A371" s="56" t="s">
        <v>1505</v>
      </c>
      <c r="B371" s="57" t="s">
        <v>11</v>
      </c>
      <c r="C371" s="57" t="s">
        <v>827</v>
      </c>
      <c r="D371" s="57" t="s">
        <v>648</v>
      </c>
      <c r="E371" s="57" t="s">
        <v>646</v>
      </c>
      <c r="F371" s="57" t="s">
        <v>647</v>
      </c>
      <c r="G371" s="57">
        <v>370</v>
      </c>
      <c r="H371" s="57">
        <v>4377</v>
      </c>
      <c r="I371" s="57">
        <v>9198</v>
      </c>
      <c r="J371" s="58">
        <v>29355</v>
      </c>
      <c r="K371" s="57" t="s">
        <v>522</v>
      </c>
      <c r="L371" s="57" t="s">
        <v>1973</v>
      </c>
      <c r="M371" s="4"/>
      <c r="P371" s="346"/>
      <c r="Q371" s="346"/>
      <c r="R371" s="3"/>
      <c r="S371" s="128"/>
    </row>
    <row r="372" spans="1:19" ht="15" customHeight="1" x14ac:dyDescent="0.25">
      <c r="A372" s="225" t="s">
        <v>1505</v>
      </c>
      <c r="B372" s="226" t="s">
        <v>4946</v>
      </c>
      <c r="C372" s="226" t="s">
        <v>6827</v>
      </c>
      <c r="D372" s="226" t="s">
        <v>6678</v>
      </c>
      <c r="E372" s="226" t="s">
        <v>6679</v>
      </c>
      <c r="F372" s="226" t="s">
        <v>6680</v>
      </c>
      <c r="G372" s="226">
        <v>2570</v>
      </c>
      <c r="H372" s="226">
        <v>100</v>
      </c>
      <c r="I372" s="226">
        <v>9198</v>
      </c>
      <c r="J372" s="227">
        <v>29355</v>
      </c>
      <c r="K372" s="226"/>
      <c r="L372" s="226" t="s">
        <v>1973</v>
      </c>
      <c r="M372" s="4"/>
      <c r="P372" s="346"/>
      <c r="Q372" s="346"/>
      <c r="R372" s="3"/>
      <c r="S372" s="128"/>
    </row>
    <row r="373" spans="1:19" ht="15" customHeight="1" x14ac:dyDescent="0.25">
      <c r="A373" s="27" t="s">
        <v>360</v>
      </c>
      <c r="B373" s="20" t="s">
        <v>597</v>
      </c>
      <c r="C373" s="20" t="s">
        <v>1751</v>
      </c>
      <c r="D373" s="20" t="s">
        <v>1729</v>
      </c>
      <c r="E373" s="20" t="s">
        <v>1730</v>
      </c>
      <c r="F373" s="20" t="s">
        <v>1731</v>
      </c>
      <c r="G373" s="20">
        <v>3034</v>
      </c>
      <c r="H373" s="20">
        <v>31</v>
      </c>
      <c r="I373" s="20">
        <v>9198</v>
      </c>
      <c r="J373" s="36">
        <v>65232</v>
      </c>
      <c r="K373" s="20"/>
      <c r="L373" s="20" t="s">
        <v>1973</v>
      </c>
      <c r="M373" s="4"/>
      <c r="P373" s="346">
        <v>8485</v>
      </c>
      <c r="Q373" s="345">
        <f>P373*100%/(10000)</f>
        <v>0.84850000000000003</v>
      </c>
      <c r="R373" s="3"/>
      <c r="S373" s="128"/>
    </row>
    <row r="374" spans="1:19" ht="15" customHeight="1" x14ac:dyDescent="0.25">
      <c r="A374" s="21" t="s">
        <v>360</v>
      </c>
      <c r="B374" s="18" t="s">
        <v>198</v>
      </c>
      <c r="C374" s="18" t="s">
        <v>731</v>
      </c>
      <c r="D374" s="18" t="s">
        <v>336</v>
      </c>
      <c r="E374" s="18" t="s">
        <v>337</v>
      </c>
      <c r="F374" s="18" t="s">
        <v>338</v>
      </c>
      <c r="G374" s="18">
        <v>3006</v>
      </c>
      <c r="H374" s="18">
        <v>15</v>
      </c>
      <c r="I374" s="18">
        <v>9198</v>
      </c>
      <c r="J374" s="33">
        <v>65232</v>
      </c>
      <c r="K374" s="18"/>
      <c r="L374" s="18" t="s">
        <v>1973</v>
      </c>
      <c r="M374" s="4"/>
      <c r="P374" s="346"/>
      <c r="Q374" s="346"/>
      <c r="R374" s="3"/>
      <c r="S374" s="128"/>
    </row>
    <row r="375" spans="1:19" ht="15" customHeight="1" x14ac:dyDescent="0.25">
      <c r="A375" s="22" t="s">
        <v>360</v>
      </c>
      <c r="B375" s="16" t="s">
        <v>34</v>
      </c>
      <c r="C375" s="16" t="s">
        <v>728</v>
      </c>
      <c r="D375" s="16" t="s">
        <v>82</v>
      </c>
      <c r="E375" s="16" t="s">
        <v>83</v>
      </c>
      <c r="F375" s="16" t="s">
        <v>1562</v>
      </c>
      <c r="G375" s="16">
        <v>3004</v>
      </c>
      <c r="H375" s="16">
        <v>1130</v>
      </c>
      <c r="I375" s="16">
        <v>9198</v>
      </c>
      <c r="J375" s="30">
        <v>65232</v>
      </c>
      <c r="K375" s="16"/>
      <c r="L375" s="16" t="s">
        <v>1973</v>
      </c>
      <c r="M375" s="4"/>
      <c r="P375" s="346"/>
      <c r="Q375" s="346"/>
      <c r="R375" s="3"/>
      <c r="S375" s="128"/>
    </row>
    <row r="376" spans="1:19" s="4" customFormat="1" ht="15" customHeight="1" x14ac:dyDescent="0.25">
      <c r="A376" s="45" t="s">
        <v>360</v>
      </c>
      <c r="B376" s="46" t="s">
        <v>1014</v>
      </c>
      <c r="C376" s="49" t="s">
        <v>1284</v>
      </c>
      <c r="D376" s="46" t="s">
        <v>1058</v>
      </c>
      <c r="E376" s="46" t="s">
        <v>1057</v>
      </c>
      <c r="F376" s="46" t="s">
        <v>1056</v>
      </c>
      <c r="G376" s="46">
        <v>3008</v>
      </c>
      <c r="H376" s="46">
        <v>134</v>
      </c>
      <c r="I376" s="46">
        <v>9198</v>
      </c>
      <c r="J376" s="47">
        <v>65232</v>
      </c>
      <c r="K376" s="46" t="s">
        <v>428</v>
      </c>
      <c r="L376" s="46" t="s">
        <v>1973</v>
      </c>
      <c r="P376" s="346"/>
      <c r="Q376" s="346"/>
    </row>
    <row r="377" spans="1:19" ht="15" customHeight="1" x14ac:dyDescent="0.25">
      <c r="A377" s="23" t="s">
        <v>360</v>
      </c>
      <c r="B377" s="13" t="s">
        <v>4</v>
      </c>
      <c r="C377" s="13" t="s">
        <v>732</v>
      </c>
      <c r="D377" s="13" t="s">
        <v>339</v>
      </c>
      <c r="E377" s="13" t="s">
        <v>340</v>
      </c>
      <c r="F377" s="13" t="s">
        <v>341</v>
      </c>
      <c r="G377" s="13">
        <v>3007</v>
      </c>
      <c r="H377" s="13">
        <v>200</v>
      </c>
      <c r="I377" s="13">
        <v>9198</v>
      </c>
      <c r="J377" s="31">
        <v>65232</v>
      </c>
      <c r="K377" s="13"/>
      <c r="L377" s="13" t="s">
        <v>1973</v>
      </c>
      <c r="M377" s="4"/>
      <c r="P377" s="346"/>
      <c r="Q377" s="346"/>
    </row>
    <row r="378" spans="1:19" ht="15" customHeight="1" x14ac:dyDescent="0.25">
      <c r="A378" s="66" t="s">
        <v>360</v>
      </c>
      <c r="B378" s="66" t="s">
        <v>35</v>
      </c>
      <c r="C378" s="66" t="s">
        <v>730</v>
      </c>
      <c r="D378" s="66" t="s">
        <v>86</v>
      </c>
      <c r="E378" s="66" t="s">
        <v>87</v>
      </c>
      <c r="F378" s="66" t="s">
        <v>1563</v>
      </c>
      <c r="G378" s="66">
        <v>3033</v>
      </c>
      <c r="H378" s="66">
        <v>10</v>
      </c>
      <c r="I378" s="66">
        <v>9198</v>
      </c>
      <c r="J378" s="66">
        <v>65232</v>
      </c>
      <c r="K378" s="66"/>
      <c r="L378" s="66" t="s">
        <v>1973</v>
      </c>
      <c r="M378" s="4"/>
      <c r="P378" s="346"/>
      <c r="Q378" s="346"/>
    </row>
    <row r="379" spans="1:19" ht="15" customHeight="1" x14ac:dyDescent="0.25">
      <c r="A379" s="56" t="s">
        <v>360</v>
      </c>
      <c r="B379" s="57" t="s">
        <v>11</v>
      </c>
      <c r="C379" s="57" t="s">
        <v>729</v>
      </c>
      <c r="D379" s="57" t="s">
        <v>84</v>
      </c>
      <c r="E379" s="57" t="s">
        <v>85</v>
      </c>
      <c r="F379" s="57" t="s">
        <v>1561</v>
      </c>
      <c r="G379" s="57">
        <v>3005</v>
      </c>
      <c r="H379" s="57">
        <v>5940</v>
      </c>
      <c r="I379" s="57">
        <v>9198</v>
      </c>
      <c r="J379" s="58">
        <v>65232</v>
      </c>
      <c r="K379" s="57" t="s">
        <v>574</v>
      </c>
      <c r="L379" s="57" t="s">
        <v>1973</v>
      </c>
      <c r="M379" s="4"/>
      <c r="P379" s="346"/>
      <c r="Q379" s="346"/>
    </row>
    <row r="380" spans="1:19" ht="15" customHeight="1" x14ac:dyDescent="0.25">
      <c r="A380" s="153" t="s">
        <v>360</v>
      </c>
      <c r="B380" s="154" t="s">
        <v>3781</v>
      </c>
      <c r="C380" s="154" t="s">
        <v>5397</v>
      </c>
      <c r="D380" s="154" t="s">
        <v>5075</v>
      </c>
      <c r="E380" s="154" t="s">
        <v>5076</v>
      </c>
      <c r="F380" s="154" t="s">
        <v>5077</v>
      </c>
      <c r="G380" s="154">
        <v>2304</v>
      </c>
      <c r="H380" s="154">
        <v>1</v>
      </c>
      <c r="I380" s="154">
        <v>9198</v>
      </c>
      <c r="J380" s="155">
        <v>65232</v>
      </c>
      <c r="K380" s="154"/>
      <c r="L380" s="154" t="s">
        <v>1973</v>
      </c>
      <c r="M380" s="4"/>
      <c r="P380" s="346"/>
      <c r="Q380" s="346"/>
    </row>
    <row r="381" spans="1:19" ht="15" customHeight="1" x14ac:dyDescent="0.25">
      <c r="A381" s="225" t="s">
        <v>360</v>
      </c>
      <c r="B381" s="226" t="s">
        <v>4946</v>
      </c>
      <c r="C381" s="226" t="s">
        <v>6828</v>
      </c>
      <c r="D381" s="226" t="s">
        <v>6681</v>
      </c>
      <c r="E381" s="226" t="s">
        <v>6682</v>
      </c>
      <c r="F381" s="226" t="s">
        <v>6683</v>
      </c>
      <c r="G381" s="226">
        <v>2570</v>
      </c>
      <c r="H381" s="226">
        <v>1000</v>
      </c>
      <c r="I381" s="226">
        <v>9198</v>
      </c>
      <c r="J381" s="227">
        <v>65232</v>
      </c>
      <c r="K381" s="226"/>
      <c r="L381" s="226" t="s">
        <v>1973</v>
      </c>
      <c r="M381" s="4"/>
      <c r="P381" s="346"/>
      <c r="Q381" s="346"/>
    </row>
    <row r="382" spans="1:19" ht="15" customHeight="1" x14ac:dyDescent="0.25">
      <c r="A382" s="27" t="s">
        <v>5831</v>
      </c>
      <c r="B382" s="20" t="s">
        <v>597</v>
      </c>
      <c r="C382" s="20" t="s">
        <v>6974</v>
      </c>
      <c r="D382" s="20" t="s">
        <v>5832</v>
      </c>
      <c r="E382" s="20" t="s">
        <v>5833</v>
      </c>
      <c r="F382" s="20" t="s">
        <v>5834</v>
      </c>
      <c r="G382" s="20">
        <v>3034</v>
      </c>
      <c r="H382" s="20">
        <v>55</v>
      </c>
      <c r="I382" s="20">
        <v>9198</v>
      </c>
      <c r="J382" s="36">
        <v>65232</v>
      </c>
      <c r="K382" s="20"/>
      <c r="L382" s="20" t="s">
        <v>1972</v>
      </c>
      <c r="M382" s="4"/>
      <c r="P382" s="346">
        <v>7754</v>
      </c>
      <c r="Q382" s="345">
        <f>P382*100%/(20000)</f>
        <v>0.38769999999999999</v>
      </c>
    </row>
    <row r="383" spans="1:19" ht="15" customHeight="1" x14ac:dyDescent="0.25">
      <c r="A383" s="21" t="s">
        <v>5831</v>
      </c>
      <c r="B383" s="18" t="s">
        <v>198</v>
      </c>
      <c r="C383" s="18" t="s">
        <v>6975</v>
      </c>
      <c r="D383" s="18" t="s">
        <v>5835</v>
      </c>
      <c r="E383" s="18" t="s">
        <v>5836</v>
      </c>
      <c r="F383" s="18" t="s">
        <v>5837</v>
      </c>
      <c r="G383" s="18">
        <v>3006</v>
      </c>
      <c r="H383" s="18">
        <v>15</v>
      </c>
      <c r="I383" s="18">
        <v>9198</v>
      </c>
      <c r="J383" s="33">
        <v>65232</v>
      </c>
      <c r="K383" s="18"/>
      <c r="L383" s="18" t="s">
        <v>1972</v>
      </c>
      <c r="M383" s="4"/>
      <c r="P383" s="346"/>
      <c r="Q383" s="346"/>
    </row>
    <row r="384" spans="1:19" ht="15" customHeight="1" x14ac:dyDescent="0.25">
      <c r="A384" s="22" t="s">
        <v>5831</v>
      </c>
      <c r="B384" s="16" t="s">
        <v>34</v>
      </c>
      <c r="C384" s="16" t="s">
        <v>6976</v>
      </c>
      <c r="D384" s="16" t="s">
        <v>5838</v>
      </c>
      <c r="E384" s="16" t="s">
        <v>5849</v>
      </c>
      <c r="F384" s="16" t="s">
        <v>5853</v>
      </c>
      <c r="G384" s="16">
        <v>3004</v>
      </c>
      <c r="H384" s="16">
        <v>1400</v>
      </c>
      <c r="I384" s="16">
        <v>9198</v>
      </c>
      <c r="J384" s="30">
        <v>65232</v>
      </c>
      <c r="K384" s="16"/>
      <c r="L384" s="16" t="s">
        <v>1972</v>
      </c>
      <c r="M384" s="4"/>
      <c r="P384" s="346"/>
      <c r="Q384" s="346"/>
    </row>
    <row r="385" spans="1:23" ht="15" customHeight="1" x14ac:dyDescent="0.25">
      <c r="A385" s="45" t="s">
        <v>5831</v>
      </c>
      <c r="B385" s="46" t="s">
        <v>1014</v>
      </c>
      <c r="C385" s="49" t="s">
        <v>6977</v>
      </c>
      <c r="D385" s="46" t="s">
        <v>5843</v>
      </c>
      <c r="E385" s="46" t="s">
        <v>5850</v>
      </c>
      <c r="F385" s="46" t="s">
        <v>5854</v>
      </c>
      <c r="G385" s="46">
        <v>3008</v>
      </c>
      <c r="H385" s="46">
        <v>134</v>
      </c>
      <c r="I385" s="46">
        <v>9198</v>
      </c>
      <c r="J385" s="47">
        <v>65232</v>
      </c>
      <c r="K385" s="46" t="s">
        <v>428</v>
      </c>
      <c r="L385" s="46" t="s">
        <v>1972</v>
      </c>
      <c r="M385" s="4"/>
      <c r="P385" s="346"/>
      <c r="Q385" s="346"/>
    </row>
    <row r="386" spans="1:23" ht="15" customHeight="1" x14ac:dyDescent="0.25">
      <c r="A386" s="23" t="s">
        <v>5831</v>
      </c>
      <c r="B386" s="13" t="s">
        <v>4</v>
      </c>
      <c r="C386" s="13" t="s">
        <v>6978</v>
      </c>
      <c r="D386" s="13" t="s">
        <v>5844</v>
      </c>
      <c r="E386" s="13" t="s">
        <v>5851</v>
      </c>
      <c r="F386" s="13" t="s">
        <v>5855</v>
      </c>
      <c r="G386" s="13">
        <v>3007</v>
      </c>
      <c r="H386" s="13">
        <v>200</v>
      </c>
      <c r="I386" s="13">
        <v>9198</v>
      </c>
      <c r="J386" s="31">
        <v>65232</v>
      </c>
      <c r="K386" s="13"/>
      <c r="L386" s="13" t="s">
        <v>1972</v>
      </c>
      <c r="M386" s="4"/>
      <c r="P386" s="346"/>
      <c r="Q386" s="346"/>
    </row>
    <row r="387" spans="1:23" ht="15" customHeight="1" x14ac:dyDescent="0.25">
      <c r="A387" s="66" t="s">
        <v>5831</v>
      </c>
      <c r="B387" s="66" t="s">
        <v>35</v>
      </c>
      <c r="C387" s="66" t="s">
        <v>6979</v>
      </c>
      <c r="D387" s="66" t="s">
        <v>5845</v>
      </c>
      <c r="E387" s="66" t="s">
        <v>5847</v>
      </c>
      <c r="F387" s="66" t="s">
        <v>5856</v>
      </c>
      <c r="G387" s="66">
        <v>3033</v>
      </c>
      <c r="H387" s="66">
        <v>10</v>
      </c>
      <c r="I387" s="66">
        <v>9198</v>
      </c>
      <c r="J387" s="66">
        <v>65232</v>
      </c>
      <c r="K387" s="66"/>
      <c r="L387" s="66" t="s">
        <v>1972</v>
      </c>
      <c r="M387" s="4"/>
      <c r="P387" s="346"/>
      <c r="Q387" s="346"/>
    </row>
    <row r="388" spans="1:23" ht="15" customHeight="1" x14ac:dyDescent="0.25">
      <c r="A388" s="56" t="s">
        <v>5831</v>
      </c>
      <c r="B388" s="57" t="s">
        <v>11</v>
      </c>
      <c r="C388" s="57" t="s">
        <v>6980</v>
      </c>
      <c r="D388" s="57" t="s">
        <v>5846</v>
      </c>
      <c r="E388" s="57" t="s">
        <v>5852</v>
      </c>
      <c r="F388" s="57" t="s">
        <v>5848</v>
      </c>
      <c r="G388" s="57">
        <v>3005</v>
      </c>
      <c r="H388" s="57">
        <v>5940</v>
      </c>
      <c r="I388" s="57">
        <v>9198</v>
      </c>
      <c r="J388" s="58">
        <v>65232</v>
      </c>
      <c r="K388" s="57" t="s">
        <v>574</v>
      </c>
      <c r="L388" s="57" t="s">
        <v>1972</v>
      </c>
      <c r="M388" s="4"/>
      <c r="P388" s="346"/>
      <c r="Q388" s="346"/>
    </row>
    <row r="389" spans="1:23" ht="15" customHeight="1" x14ac:dyDescent="0.25">
      <c r="A389" s="27" t="s">
        <v>361</v>
      </c>
      <c r="B389" s="20" t="s">
        <v>597</v>
      </c>
      <c r="C389" s="20" t="s">
        <v>2117</v>
      </c>
      <c r="D389" s="20" t="s">
        <v>2094</v>
      </c>
      <c r="E389" s="20" t="s">
        <v>2095</v>
      </c>
      <c r="F389" s="20" t="s">
        <v>2096</v>
      </c>
      <c r="G389" s="20">
        <v>2071</v>
      </c>
      <c r="H389" s="20">
        <v>20</v>
      </c>
      <c r="I389" s="20">
        <v>9198</v>
      </c>
      <c r="J389" s="36">
        <v>29355</v>
      </c>
      <c r="K389" s="20"/>
      <c r="L389" s="147" t="s">
        <v>5122</v>
      </c>
      <c r="M389" s="4"/>
      <c r="P389" s="346">
        <v>66415</v>
      </c>
      <c r="Q389" s="345">
        <f>P389*100%/(100000)</f>
        <v>0.66415000000000002</v>
      </c>
      <c r="R389" s="146" t="s">
        <v>3454</v>
      </c>
      <c r="S389" s="128" t="s">
        <v>3456</v>
      </c>
    </row>
    <row r="390" spans="1:23" ht="15" customHeight="1" x14ac:dyDescent="0.25">
      <c r="A390" s="21" t="s">
        <v>361</v>
      </c>
      <c r="B390" s="18" t="s">
        <v>198</v>
      </c>
      <c r="C390" s="18" t="s">
        <v>764</v>
      </c>
      <c r="D390" s="18" t="s">
        <v>1564</v>
      </c>
      <c r="E390" s="18" t="s">
        <v>1565</v>
      </c>
      <c r="F390" s="18" t="s">
        <v>1566</v>
      </c>
      <c r="G390" s="18">
        <v>2069</v>
      </c>
      <c r="H390" s="18">
        <v>120</v>
      </c>
      <c r="I390" s="18">
        <v>9198</v>
      </c>
      <c r="J390" s="33">
        <v>29355</v>
      </c>
      <c r="K390" s="18"/>
      <c r="L390" s="148" t="s">
        <v>5122</v>
      </c>
      <c r="P390" s="346"/>
      <c r="Q390" s="346"/>
      <c r="R390" s="146"/>
      <c r="S390" s="128"/>
    </row>
    <row r="391" spans="1:23" ht="15" customHeight="1" x14ac:dyDescent="0.25">
      <c r="A391" s="60" t="s">
        <v>361</v>
      </c>
      <c r="B391" s="16" t="s">
        <v>34</v>
      </c>
      <c r="C391" s="16" t="s">
        <v>760</v>
      </c>
      <c r="D391" s="16" t="s">
        <v>42</v>
      </c>
      <c r="E391" s="16" t="s">
        <v>43</v>
      </c>
      <c r="F391" s="16" t="s">
        <v>44</v>
      </c>
      <c r="G391" s="16">
        <v>3012</v>
      </c>
      <c r="H391" s="16">
        <v>9935</v>
      </c>
      <c r="I391" s="16">
        <v>9198</v>
      </c>
      <c r="J391" s="30">
        <v>29355</v>
      </c>
      <c r="K391" s="16"/>
      <c r="L391" s="143" t="s">
        <v>5122</v>
      </c>
      <c r="P391" s="346"/>
      <c r="Q391" s="346"/>
      <c r="R391" s="146" t="s">
        <v>3566</v>
      </c>
      <c r="S391" s="128" t="s">
        <v>3567</v>
      </c>
      <c r="T391" s="4"/>
      <c r="U391" s="4"/>
    </row>
    <row r="392" spans="1:23" ht="15" customHeight="1" x14ac:dyDescent="0.25">
      <c r="A392" s="28" t="s">
        <v>361</v>
      </c>
      <c r="B392" s="9" t="s">
        <v>249</v>
      </c>
      <c r="C392" s="9" t="s">
        <v>765</v>
      </c>
      <c r="D392" s="9" t="s">
        <v>540</v>
      </c>
      <c r="E392" s="9" t="s">
        <v>541</v>
      </c>
      <c r="F392" s="9" t="s">
        <v>539</v>
      </c>
      <c r="G392" s="9">
        <v>2663</v>
      </c>
      <c r="H392" s="9">
        <v>20</v>
      </c>
      <c r="I392" s="9">
        <v>9198</v>
      </c>
      <c r="J392" s="37">
        <v>29355</v>
      </c>
      <c r="K392" s="9"/>
      <c r="L392" s="142" t="s">
        <v>5122</v>
      </c>
      <c r="P392" s="346"/>
      <c r="Q392" s="346"/>
      <c r="R392" s="169" t="s">
        <v>3689</v>
      </c>
      <c r="S392" s="128"/>
      <c r="T392" s="4"/>
      <c r="U392" s="4"/>
    </row>
    <row r="393" spans="1:23" ht="15" customHeight="1" x14ac:dyDescent="0.25">
      <c r="A393" s="45" t="s">
        <v>361</v>
      </c>
      <c r="B393" s="46" t="s">
        <v>1014</v>
      </c>
      <c r="C393" s="49" t="s">
        <v>1285</v>
      </c>
      <c r="D393" s="46" t="s">
        <v>1029</v>
      </c>
      <c r="E393" s="46" t="s">
        <v>1030</v>
      </c>
      <c r="F393" s="46" t="s">
        <v>1031</v>
      </c>
      <c r="G393" s="46">
        <v>2070</v>
      </c>
      <c r="H393" s="46">
        <v>270</v>
      </c>
      <c r="I393" s="46">
        <v>9198</v>
      </c>
      <c r="J393" s="47">
        <v>29355</v>
      </c>
      <c r="K393" s="46" t="s">
        <v>428</v>
      </c>
      <c r="L393" s="149" t="s">
        <v>5122</v>
      </c>
      <c r="P393" s="346"/>
      <c r="Q393" s="346"/>
      <c r="R393" s="188" t="s">
        <v>3755</v>
      </c>
      <c r="S393" s="128"/>
    </row>
    <row r="394" spans="1:23" s="4" customFormat="1" ht="15" customHeight="1" x14ac:dyDescent="0.25">
      <c r="A394" s="45" t="s">
        <v>361</v>
      </c>
      <c r="B394" s="46" t="s">
        <v>2623</v>
      </c>
      <c r="C394" s="49" t="s">
        <v>2671</v>
      </c>
      <c r="D394" s="46" t="s">
        <v>2636</v>
      </c>
      <c r="E394" s="46" t="s">
        <v>2637</v>
      </c>
      <c r="F394" s="46" t="s">
        <v>2638</v>
      </c>
      <c r="G394" s="46">
        <v>2072</v>
      </c>
      <c r="H394" s="46">
        <v>500</v>
      </c>
      <c r="I394" s="46">
        <v>9198</v>
      </c>
      <c r="J394" s="47">
        <v>29355</v>
      </c>
      <c r="K394" s="46" t="s">
        <v>428</v>
      </c>
      <c r="L394" s="149" t="s">
        <v>5122</v>
      </c>
      <c r="M394" s="1"/>
      <c r="P394" s="346"/>
      <c r="Q394" s="346"/>
      <c r="R394" s="169" t="s">
        <v>3928</v>
      </c>
      <c r="S394" s="128"/>
      <c r="T394" s="1"/>
      <c r="U394" s="1"/>
    </row>
    <row r="395" spans="1:23" ht="15" customHeight="1" x14ac:dyDescent="0.25">
      <c r="A395" s="23" t="s">
        <v>361</v>
      </c>
      <c r="B395" s="13" t="s">
        <v>4</v>
      </c>
      <c r="C395" s="13" t="s">
        <v>761</v>
      </c>
      <c r="D395" s="13" t="s">
        <v>39</v>
      </c>
      <c r="E395" s="13" t="s">
        <v>40</v>
      </c>
      <c r="F395" s="13" t="s">
        <v>41</v>
      </c>
      <c r="G395" s="13">
        <v>2068</v>
      </c>
      <c r="H395" s="13">
        <v>1000</v>
      </c>
      <c r="I395" s="13">
        <v>9198</v>
      </c>
      <c r="J395" s="31">
        <v>29355</v>
      </c>
      <c r="K395" s="13"/>
      <c r="L395" s="150" t="s">
        <v>5122</v>
      </c>
      <c r="M395" s="4"/>
      <c r="P395" s="346"/>
      <c r="Q395" s="346"/>
      <c r="R395" s="188" t="s">
        <v>4358</v>
      </c>
      <c r="S395" s="128"/>
    </row>
    <row r="396" spans="1:23" ht="15" customHeight="1" x14ac:dyDescent="0.25">
      <c r="A396" s="66" t="s">
        <v>361</v>
      </c>
      <c r="B396" s="67" t="s">
        <v>35</v>
      </c>
      <c r="C396" s="67" t="s">
        <v>763</v>
      </c>
      <c r="D396" s="67" t="s">
        <v>45</v>
      </c>
      <c r="E396" s="67" t="s">
        <v>46</v>
      </c>
      <c r="F396" s="67" t="s">
        <v>47</v>
      </c>
      <c r="G396" s="67">
        <v>3013</v>
      </c>
      <c r="H396" s="67">
        <v>310</v>
      </c>
      <c r="I396" s="67">
        <v>9198</v>
      </c>
      <c r="J396" s="68">
        <v>29355</v>
      </c>
      <c r="K396" s="67"/>
      <c r="L396" s="151" t="s">
        <v>5122</v>
      </c>
      <c r="M396" s="4"/>
      <c r="P396" s="346"/>
      <c r="Q396" s="346"/>
      <c r="R396" s="146" t="s">
        <v>4338</v>
      </c>
    </row>
    <row r="397" spans="1:23" ht="15" customHeight="1" x14ac:dyDescent="0.25">
      <c r="A397" s="56" t="s">
        <v>361</v>
      </c>
      <c r="B397" s="57" t="s">
        <v>11</v>
      </c>
      <c r="C397" s="57" t="s">
        <v>762</v>
      </c>
      <c r="D397" s="57" t="s">
        <v>36</v>
      </c>
      <c r="E397" s="57" t="s">
        <v>37</v>
      </c>
      <c r="F397" s="57" t="s">
        <v>38</v>
      </c>
      <c r="G397" s="57">
        <v>2027</v>
      </c>
      <c r="H397" s="57">
        <v>53000</v>
      </c>
      <c r="I397" s="57">
        <v>9198</v>
      </c>
      <c r="J397" s="58">
        <v>29355</v>
      </c>
      <c r="K397" s="57" t="s">
        <v>522</v>
      </c>
      <c r="L397" s="152" t="s">
        <v>5122</v>
      </c>
      <c r="M397" s="4"/>
      <c r="P397" s="346"/>
      <c r="Q397" s="346"/>
      <c r="R397" s="169" t="s">
        <v>4495</v>
      </c>
      <c r="S397" s="4"/>
      <c r="T397" s="4"/>
      <c r="U397" s="4"/>
    </row>
    <row r="398" spans="1:23" ht="15" customHeight="1" x14ac:dyDescent="0.25">
      <c r="A398" s="200" t="s">
        <v>361</v>
      </c>
      <c r="B398" s="201" t="s">
        <v>5184</v>
      </c>
      <c r="C398" s="201" t="s">
        <v>4620</v>
      </c>
      <c r="D398" s="201"/>
      <c r="E398" s="201"/>
      <c r="F398" s="201" t="s">
        <v>6255</v>
      </c>
      <c r="G398" s="201">
        <v>2300</v>
      </c>
      <c r="H398" s="201">
        <v>90</v>
      </c>
      <c r="I398" s="202" t="s">
        <v>1454</v>
      </c>
      <c r="J398" s="202" t="s">
        <v>1454</v>
      </c>
      <c r="K398" s="201" t="s">
        <v>428</v>
      </c>
      <c r="L398" s="203" t="s">
        <v>5122</v>
      </c>
      <c r="P398" s="346"/>
      <c r="Q398" s="346"/>
      <c r="R398" s="146" t="s">
        <v>4967</v>
      </c>
      <c r="S398" s="4"/>
      <c r="T398" s="4"/>
      <c r="U398" s="4"/>
    </row>
    <row r="399" spans="1:23" s="4" customFormat="1" ht="15" customHeight="1" x14ac:dyDescent="0.25">
      <c r="A399" s="153" t="s">
        <v>361</v>
      </c>
      <c r="B399" s="154" t="s">
        <v>3781</v>
      </c>
      <c r="C399" s="154" t="s">
        <v>4979</v>
      </c>
      <c r="D399" s="154" t="s">
        <v>4937</v>
      </c>
      <c r="E399" s="154" t="s">
        <v>4938</v>
      </c>
      <c r="F399" s="154" t="s">
        <v>4939</v>
      </c>
      <c r="G399" s="154">
        <v>2633</v>
      </c>
      <c r="H399" s="154">
        <v>100</v>
      </c>
      <c r="I399" s="154">
        <v>9198</v>
      </c>
      <c r="J399" s="155">
        <v>29355</v>
      </c>
      <c r="K399" s="154"/>
      <c r="L399" s="154" t="s">
        <v>5122</v>
      </c>
      <c r="M399" s="1"/>
      <c r="P399" s="346"/>
      <c r="Q399" s="346"/>
      <c r="R399" s="184"/>
      <c r="W399" s="1"/>
    </row>
    <row r="400" spans="1:23" ht="15" customHeight="1" x14ac:dyDescent="0.25">
      <c r="A400" s="45" t="s">
        <v>361</v>
      </c>
      <c r="B400" s="149" t="s">
        <v>5418</v>
      </c>
      <c r="C400" s="252" t="s">
        <v>6108</v>
      </c>
      <c r="D400" s="149" t="s">
        <v>5431</v>
      </c>
      <c r="E400" s="149" t="s">
        <v>5432</v>
      </c>
      <c r="F400" s="149" t="s">
        <v>5433</v>
      </c>
      <c r="G400" s="149">
        <v>2634</v>
      </c>
      <c r="H400" s="149">
        <v>50</v>
      </c>
      <c r="I400" s="149">
        <v>9198</v>
      </c>
      <c r="J400" s="47">
        <v>29355</v>
      </c>
      <c r="K400" s="149"/>
      <c r="L400" s="149" t="s">
        <v>5122</v>
      </c>
      <c r="P400" s="346"/>
      <c r="Q400" s="346"/>
      <c r="R400" s="184"/>
      <c r="S400" s="4"/>
      <c r="T400" s="4"/>
      <c r="U400" s="4"/>
    </row>
    <row r="401" spans="1:21" ht="15" customHeight="1" x14ac:dyDescent="0.25">
      <c r="A401" s="225" t="s">
        <v>361</v>
      </c>
      <c r="B401" s="226" t="s">
        <v>4946</v>
      </c>
      <c r="C401" s="226" t="s">
        <v>6829</v>
      </c>
      <c r="D401" s="226" t="s">
        <v>6684</v>
      </c>
      <c r="E401" s="226" t="s">
        <v>6685</v>
      </c>
      <c r="F401" s="226" t="s">
        <v>6686</v>
      </c>
      <c r="G401" s="226">
        <v>2570</v>
      </c>
      <c r="H401" s="226">
        <v>1000</v>
      </c>
      <c r="I401" s="226">
        <v>9198</v>
      </c>
      <c r="J401" s="227">
        <v>29355</v>
      </c>
      <c r="K401" s="226"/>
      <c r="L401" s="226" t="s">
        <v>5122</v>
      </c>
      <c r="P401" s="346"/>
      <c r="Q401" s="346"/>
      <c r="R401" s="184"/>
      <c r="S401" s="4"/>
      <c r="T401" s="4"/>
      <c r="U401" s="4"/>
    </row>
    <row r="402" spans="1:21" ht="15" customHeight="1" x14ac:dyDescent="0.3">
      <c r="A402" s="179" t="s">
        <v>4928</v>
      </c>
      <c r="B402" s="180" t="s">
        <v>7212</v>
      </c>
      <c r="C402" s="180" t="s">
        <v>4926</v>
      </c>
      <c r="D402" s="180"/>
      <c r="E402" s="180"/>
      <c r="F402" s="180"/>
      <c r="G402" s="180"/>
      <c r="H402" s="180">
        <v>2480</v>
      </c>
      <c r="I402" s="180"/>
      <c r="J402" s="180"/>
      <c r="K402" s="180"/>
      <c r="L402" s="180" t="s">
        <v>1973</v>
      </c>
      <c r="P402">
        <v>2000</v>
      </c>
      <c r="Q402" s="303">
        <f>P402*100%/(10000)</f>
        <v>0.2</v>
      </c>
      <c r="R402" s="184"/>
      <c r="S402" s="4"/>
      <c r="T402" s="4"/>
      <c r="U402" s="4"/>
    </row>
    <row r="403" spans="1:21" ht="15" customHeight="1" x14ac:dyDescent="0.3">
      <c r="A403" s="179" t="s">
        <v>4928</v>
      </c>
      <c r="B403" s="180" t="s">
        <v>4765</v>
      </c>
      <c r="C403" s="180" t="s">
        <v>7451</v>
      </c>
      <c r="D403" s="180" t="s">
        <v>4464</v>
      </c>
      <c r="E403" s="180" t="s">
        <v>4465</v>
      </c>
      <c r="F403" s="180" t="s">
        <v>4466</v>
      </c>
      <c r="G403" s="180">
        <v>2801</v>
      </c>
      <c r="H403" s="180">
        <v>2480</v>
      </c>
      <c r="I403" s="180">
        <v>9198</v>
      </c>
      <c r="J403" s="181">
        <v>29355</v>
      </c>
      <c r="K403" s="180"/>
      <c r="L403" s="180" t="s">
        <v>1973</v>
      </c>
      <c r="P403">
        <v>2000</v>
      </c>
      <c r="Q403" s="303">
        <f>P403*100%/(10000)</f>
        <v>0.2</v>
      </c>
      <c r="R403" s="184"/>
      <c r="S403" s="4"/>
      <c r="T403" s="4"/>
      <c r="U403" s="4"/>
    </row>
    <row r="404" spans="1:21" ht="15" customHeight="1" x14ac:dyDescent="0.25">
      <c r="A404" s="27" t="s">
        <v>5233</v>
      </c>
      <c r="B404" s="20" t="s">
        <v>597</v>
      </c>
      <c r="C404" s="20" t="s">
        <v>6094</v>
      </c>
      <c r="D404" s="20" t="s">
        <v>5234</v>
      </c>
      <c r="E404" s="20" t="s">
        <v>5235</v>
      </c>
      <c r="F404" s="20" t="s">
        <v>5236</v>
      </c>
      <c r="G404" s="20">
        <v>2071</v>
      </c>
      <c r="H404" s="20">
        <v>20</v>
      </c>
      <c r="I404" s="20">
        <v>9198</v>
      </c>
      <c r="J404" s="36">
        <v>29355</v>
      </c>
      <c r="K404" s="20"/>
      <c r="L404" s="147" t="s">
        <v>5122</v>
      </c>
      <c r="P404" s="346">
        <v>66305</v>
      </c>
      <c r="Q404" s="345">
        <f>P404*100%/(100000)</f>
        <v>0.66305000000000003</v>
      </c>
      <c r="R404" s="184"/>
      <c r="S404" s="4"/>
      <c r="T404" s="4"/>
      <c r="U404" s="4"/>
    </row>
    <row r="405" spans="1:21" ht="15" customHeight="1" x14ac:dyDescent="0.25">
      <c r="A405" s="21" t="s">
        <v>5233</v>
      </c>
      <c r="B405" s="18" t="s">
        <v>198</v>
      </c>
      <c r="C405" s="18" t="s">
        <v>6095</v>
      </c>
      <c r="D405" s="18" t="s">
        <v>5237</v>
      </c>
      <c r="E405" s="18" t="s">
        <v>5238</v>
      </c>
      <c r="F405" s="18" t="s">
        <v>5239</v>
      </c>
      <c r="G405" s="18">
        <v>2069</v>
      </c>
      <c r="H405" s="18">
        <v>120</v>
      </c>
      <c r="I405" s="18">
        <v>9198</v>
      </c>
      <c r="J405" s="33">
        <v>29355</v>
      </c>
      <c r="K405" s="18"/>
      <c r="L405" s="148" t="s">
        <v>5122</v>
      </c>
      <c r="P405" s="346"/>
      <c r="Q405" s="346"/>
      <c r="R405" s="184"/>
      <c r="S405" s="4"/>
      <c r="T405" s="4"/>
      <c r="U405" s="4"/>
    </row>
    <row r="406" spans="1:21" ht="15" customHeight="1" x14ac:dyDescent="0.25">
      <c r="A406" s="60" t="s">
        <v>5233</v>
      </c>
      <c r="B406" s="16" t="s">
        <v>34</v>
      </c>
      <c r="C406" s="16" t="s">
        <v>6096</v>
      </c>
      <c r="D406" s="16" t="s">
        <v>5240</v>
      </c>
      <c r="E406" s="16" t="s">
        <v>5241</v>
      </c>
      <c r="F406" s="16" t="s">
        <v>5242</v>
      </c>
      <c r="G406" s="16">
        <v>3012</v>
      </c>
      <c r="H406" s="16">
        <v>9935</v>
      </c>
      <c r="I406" s="16">
        <v>9198</v>
      </c>
      <c r="J406" s="30">
        <v>29355</v>
      </c>
      <c r="K406" s="16"/>
      <c r="L406" s="143" t="s">
        <v>5122</v>
      </c>
      <c r="P406" s="346"/>
      <c r="Q406" s="346"/>
      <c r="R406" s="184"/>
      <c r="S406" s="4"/>
      <c r="T406" s="4"/>
      <c r="U406" s="4"/>
    </row>
    <row r="407" spans="1:21" ht="15" customHeight="1" x14ac:dyDescent="0.25">
      <c r="A407" s="28" t="s">
        <v>5233</v>
      </c>
      <c r="B407" s="9" t="s">
        <v>249</v>
      </c>
      <c r="C407" s="9" t="s">
        <v>6097</v>
      </c>
      <c r="D407" s="9" t="s">
        <v>5243</v>
      </c>
      <c r="E407" s="9" t="s">
        <v>5244</v>
      </c>
      <c r="F407" s="9" t="s">
        <v>5245</v>
      </c>
      <c r="G407" s="9">
        <v>2663</v>
      </c>
      <c r="H407" s="9">
        <v>20</v>
      </c>
      <c r="I407" s="9">
        <v>9198</v>
      </c>
      <c r="J407" s="37">
        <v>29355</v>
      </c>
      <c r="K407" s="9"/>
      <c r="L407" s="142" t="s">
        <v>5122</v>
      </c>
      <c r="P407" s="346"/>
      <c r="Q407" s="346"/>
      <c r="R407" s="184"/>
      <c r="S407" s="4"/>
      <c r="T407" s="4"/>
      <c r="U407" s="4"/>
    </row>
    <row r="408" spans="1:21" ht="15" customHeight="1" x14ac:dyDescent="0.25">
      <c r="A408" s="45" t="s">
        <v>5233</v>
      </c>
      <c r="B408" s="46" t="s">
        <v>1014</v>
      </c>
      <c r="C408" s="49" t="s">
        <v>6098</v>
      </c>
      <c r="D408" s="46" t="s">
        <v>5246</v>
      </c>
      <c r="E408" s="46" t="s">
        <v>5247</v>
      </c>
      <c r="F408" s="46" t="s">
        <v>5248</v>
      </c>
      <c r="G408" s="46">
        <v>2070</v>
      </c>
      <c r="H408" s="46">
        <v>270</v>
      </c>
      <c r="I408" s="46">
        <v>9198</v>
      </c>
      <c r="J408" s="47">
        <v>29355</v>
      </c>
      <c r="K408" s="46" t="s">
        <v>428</v>
      </c>
      <c r="L408" s="149" t="s">
        <v>5122</v>
      </c>
      <c r="P408" s="346"/>
      <c r="Q408" s="346"/>
      <c r="R408" s="184"/>
      <c r="S408" s="4"/>
      <c r="T408" s="4"/>
      <c r="U408" s="4"/>
    </row>
    <row r="409" spans="1:21" ht="15" customHeight="1" x14ac:dyDescent="0.25">
      <c r="A409" s="45" t="s">
        <v>5233</v>
      </c>
      <c r="B409" s="46" t="s">
        <v>2623</v>
      </c>
      <c r="C409" s="49" t="s">
        <v>6099</v>
      </c>
      <c r="D409" s="46" t="s">
        <v>5249</v>
      </c>
      <c r="E409" s="46" t="s">
        <v>5250</v>
      </c>
      <c r="F409" s="46" t="s">
        <v>5251</v>
      </c>
      <c r="G409" s="46">
        <v>2072</v>
      </c>
      <c r="H409" s="46">
        <v>500</v>
      </c>
      <c r="I409" s="46">
        <v>9198</v>
      </c>
      <c r="J409" s="47">
        <v>29355</v>
      </c>
      <c r="K409" s="46" t="s">
        <v>428</v>
      </c>
      <c r="L409" s="149" t="s">
        <v>5122</v>
      </c>
      <c r="P409" s="346"/>
      <c r="Q409" s="346"/>
      <c r="R409" s="184"/>
      <c r="S409" s="4"/>
      <c r="T409" s="4"/>
      <c r="U409" s="4"/>
    </row>
    <row r="410" spans="1:21" ht="14.85" customHeight="1" x14ac:dyDescent="0.25">
      <c r="A410" s="23" t="s">
        <v>5233</v>
      </c>
      <c r="B410" s="13" t="s">
        <v>4</v>
      </c>
      <c r="C410" s="13" t="s">
        <v>6100</v>
      </c>
      <c r="D410" s="13" t="s">
        <v>5252</v>
      </c>
      <c r="E410" s="13" t="s">
        <v>5253</v>
      </c>
      <c r="F410" s="13" t="s">
        <v>5254</v>
      </c>
      <c r="G410" s="13">
        <v>2068</v>
      </c>
      <c r="H410" s="13">
        <v>1000</v>
      </c>
      <c r="I410" s="13">
        <v>9198</v>
      </c>
      <c r="J410" s="31">
        <v>29355</v>
      </c>
      <c r="K410" s="13"/>
      <c r="L410" s="150" t="s">
        <v>5122</v>
      </c>
      <c r="P410" s="346"/>
      <c r="Q410" s="346"/>
      <c r="R410" s="184"/>
      <c r="S410" s="4"/>
      <c r="T410" s="4"/>
      <c r="U410" s="4"/>
    </row>
    <row r="411" spans="1:21" ht="14.25" customHeight="1" x14ac:dyDescent="0.25">
      <c r="A411" s="66" t="s">
        <v>5233</v>
      </c>
      <c r="B411" s="67" t="s">
        <v>35</v>
      </c>
      <c r="C411" s="67" t="s">
        <v>6101</v>
      </c>
      <c r="D411" s="67" t="s">
        <v>5255</v>
      </c>
      <c r="E411" s="67" t="s">
        <v>5256</v>
      </c>
      <c r="F411" s="67" t="s">
        <v>5257</v>
      </c>
      <c r="G411" s="67">
        <v>3013</v>
      </c>
      <c r="H411" s="67">
        <v>310</v>
      </c>
      <c r="I411" s="67">
        <v>9198</v>
      </c>
      <c r="J411" s="68">
        <v>29355</v>
      </c>
      <c r="K411" s="67"/>
      <c r="L411" s="151" t="s">
        <v>5122</v>
      </c>
      <c r="P411" s="346"/>
      <c r="Q411" s="346"/>
      <c r="R411" s="184"/>
      <c r="S411" s="4"/>
      <c r="T411" s="4"/>
      <c r="U411" s="4"/>
    </row>
    <row r="412" spans="1:21" ht="14.25" customHeight="1" x14ac:dyDescent="0.25">
      <c r="A412" s="56" t="s">
        <v>5233</v>
      </c>
      <c r="B412" s="57" t="s">
        <v>11</v>
      </c>
      <c r="C412" s="57" t="s">
        <v>6102</v>
      </c>
      <c r="D412" s="57" t="s">
        <v>5258</v>
      </c>
      <c r="E412" s="57" t="s">
        <v>5259</v>
      </c>
      <c r="F412" s="57" t="s">
        <v>5260</v>
      </c>
      <c r="G412" s="57">
        <v>2027</v>
      </c>
      <c r="H412" s="57">
        <v>53000</v>
      </c>
      <c r="I412" s="57">
        <v>9198</v>
      </c>
      <c r="J412" s="58">
        <v>29355</v>
      </c>
      <c r="K412" s="57" t="s">
        <v>522</v>
      </c>
      <c r="L412" s="152" t="s">
        <v>5122</v>
      </c>
      <c r="P412" s="346"/>
      <c r="Q412" s="346"/>
      <c r="R412" s="184"/>
      <c r="S412" s="4"/>
      <c r="T412" s="4"/>
      <c r="U412" s="4"/>
    </row>
    <row r="413" spans="1:21" ht="14.25" customHeight="1" x14ac:dyDescent="0.25">
      <c r="A413" s="200" t="s">
        <v>5233</v>
      </c>
      <c r="B413" s="201" t="s">
        <v>5184</v>
      </c>
      <c r="C413" s="201" t="s">
        <v>6264</v>
      </c>
      <c r="D413" s="201"/>
      <c r="E413" s="201"/>
      <c r="F413" s="201" t="s">
        <v>6267</v>
      </c>
      <c r="G413" s="201">
        <v>2369</v>
      </c>
      <c r="H413" s="201">
        <v>30</v>
      </c>
      <c r="I413" s="202" t="s">
        <v>1454</v>
      </c>
      <c r="J413" s="202" t="s">
        <v>1454</v>
      </c>
      <c r="K413" s="201" t="s">
        <v>428</v>
      </c>
      <c r="L413" s="203" t="s">
        <v>5122</v>
      </c>
      <c r="P413" s="346"/>
      <c r="Q413" s="346"/>
      <c r="R413" s="184"/>
      <c r="S413" s="4"/>
      <c r="T413" s="4"/>
      <c r="U413" s="4"/>
    </row>
    <row r="414" spans="1:21" ht="14.25" customHeight="1" x14ac:dyDescent="0.25">
      <c r="A414" s="153" t="s">
        <v>5233</v>
      </c>
      <c r="B414" s="154" t="s">
        <v>3781</v>
      </c>
      <c r="C414" s="154" t="s">
        <v>6103</v>
      </c>
      <c r="D414" s="154" t="s">
        <v>5261</v>
      </c>
      <c r="E414" s="154" t="s">
        <v>5262</v>
      </c>
      <c r="F414" s="154" t="s">
        <v>5263</v>
      </c>
      <c r="G414" s="154">
        <v>2633</v>
      </c>
      <c r="H414" s="154">
        <v>100</v>
      </c>
      <c r="I414" s="154">
        <v>9198</v>
      </c>
      <c r="J414" s="155">
        <v>29355</v>
      </c>
      <c r="K414" s="154"/>
      <c r="L414" s="154" t="s">
        <v>5122</v>
      </c>
      <c r="P414" s="346"/>
      <c r="Q414" s="346"/>
      <c r="R414" s="184"/>
      <c r="S414" s="4"/>
      <c r="T414" s="4"/>
      <c r="U414" s="4"/>
    </row>
    <row r="415" spans="1:21" ht="14.25" customHeight="1" x14ac:dyDescent="0.25">
      <c r="A415" s="225" t="s">
        <v>5233</v>
      </c>
      <c r="B415" s="226" t="s">
        <v>4946</v>
      </c>
      <c r="C415" s="226" t="s">
        <v>6830</v>
      </c>
      <c r="D415" s="226" t="s">
        <v>6687</v>
      </c>
      <c r="E415" s="226" t="s">
        <v>6688</v>
      </c>
      <c r="F415" s="226" t="s">
        <v>6689</v>
      </c>
      <c r="G415" s="226">
        <v>2570</v>
      </c>
      <c r="H415" s="226">
        <v>1000</v>
      </c>
      <c r="I415" s="226">
        <v>9198</v>
      </c>
      <c r="J415" s="227">
        <v>29355</v>
      </c>
      <c r="K415" s="226"/>
      <c r="L415" s="226" t="s">
        <v>5122</v>
      </c>
      <c r="P415" s="346"/>
      <c r="Q415" s="346"/>
      <c r="R415" s="184"/>
      <c r="S415" s="4"/>
      <c r="T415" s="4"/>
      <c r="U415" s="4"/>
    </row>
    <row r="416" spans="1:21" ht="14.25" customHeight="1" x14ac:dyDescent="0.3">
      <c r="A416" s="179" t="s">
        <v>4929</v>
      </c>
      <c r="B416" s="180" t="s">
        <v>7212</v>
      </c>
      <c r="C416" s="180" t="s">
        <v>4927</v>
      </c>
      <c r="D416" s="180"/>
      <c r="E416" s="180"/>
      <c r="F416" s="180"/>
      <c r="G416" s="180"/>
      <c r="H416" s="180">
        <v>2480</v>
      </c>
      <c r="I416" s="180"/>
      <c r="J416" s="180"/>
      <c r="K416" s="180"/>
      <c r="L416" s="180" t="s">
        <v>1973</v>
      </c>
      <c r="P416">
        <v>2000</v>
      </c>
      <c r="Q416" s="303">
        <f>P416*100%/(10000)</f>
        <v>0.2</v>
      </c>
      <c r="R416" s="3"/>
      <c r="S416" s="128"/>
    </row>
    <row r="417" spans="1:21" ht="14.25" customHeight="1" x14ac:dyDescent="0.3">
      <c r="A417" s="179" t="s">
        <v>4929</v>
      </c>
      <c r="B417" s="180" t="s">
        <v>4765</v>
      </c>
      <c r="C417" s="180" t="s">
        <v>7452</v>
      </c>
      <c r="D417" s="180" t="s">
        <v>463</v>
      </c>
      <c r="E417" s="180" t="s">
        <v>464</v>
      </c>
      <c r="F417" s="180" t="s">
        <v>465</v>
      </c>
      <c r="G417" s="180">
        <v>2802</v>
      </c>
      <c r="H417" s="180">
        <v>2480</v>
      </c>
      <c r="I417" s="180">
        <v>9198</v>
      </c>
      <c r="J417" s="181">
        <v>29355</v>
      </c>
      <c r="K417" s="180"/>
      <c r="L417" s="180" t="s">
        <v>1973</v>
      </c>
      <c r="P417">
        <v>2000</v>
      </c>
      <c r="Q417" s="303">
        <f>P417*100%/(10000)</f>
        <v>0.2</v>
      </c>
      <c r="R417" s="3"/>
      <c r="S417" s="128"/>
    </row>
    <row r="418" spans="1:21" ht="14.25" customHeight="1" x14ac:dyDescent="0.25">
      <c r="A418" s="27" t="s">
        <v>1457</v>
      </c>
      <c r="B418" s="20" t="s">
        <v>597</v>
      </c>
      <c r="C418" s="20" t="s">
        <v>1723</v>
      </c>
      <c r="D418" s="20" t="s">
        <v>1680</v>
      </c>
      <c r="E418" s="20" t="s">
        <v>1678</v>
      </c>
      <c r="F418" s="20" t="s">
        <v>1679</v>
      </c>
      <c r="G418" s="20">
        <v>3026</v>
      </c>
      <c r="H418" s="20">
        <v>2</v>
      </c>
      <c r="I418" s="20">
        <v>9198</v>
      </c>
      <c r="J418" s="36">
        <v>65231</v>
      </c>
      <c r="K418" s="20"/>
      <c r="L418" s="20" t="s">
        <v>1973</v>
      </c>
      <c r="P418" s="346">
        <v>6903</v>
      </c>
      <c r="Q418" s="345">
        <f>P418*100%/(10000)</f>
        <v>0.69030000000000002</v>
      </c>
      <c r="R418" s="3"/>
      <c r="S418" s="128"/>
    </row>
    <row r="419" spans="1:21" ht="14.25" customHeight="1" x14ac:dyDescent="0.25">
      <c r="A419" s="21" t="s">
        <v>1457</v>
      </c>
      <c r="B419" s="18" t="s">
        <v>198</v>
      </c>
      <c r="C419" s="18" t="s">
        <v>736</v>
      </c>
      <c r="D419" s="18" t="s">
        <v>233</v>
      </c>
      <c r="E419" s="18" t="s">
        <v>231</v>
      </c>
      <c r="F419" s="18" t="s">
        <v>232</v>
      </c>
      <c r="G419" s="18">
        <v>3023</v>
      </c>
      <c r="H419" s="18">
        <v>15</v>
      </c>
      <c r="I419" s="18">
        <v>9198</v>
      </c>
      <c r="J419" s="33">
        <v>65231</v>
      </c>
      <c r="K419" s="18"/>
      <c r="L419" s="18" t="s">
        <v>1973</v>
      </c>
      <c r="P419" s="346"/>
      <c r="Q419" s="346"/>
      <c r="R419" s="3"/>
      <c r="S419" s="128"/>
    </row>
    <row r="420" spans="1:21" ht="14.25" customHeight="1" x14ac:dyDescent="0.25">
      <c r="A420" s="60" t="s">
        <v>1457</v>
      </c>
      <c r="B420" s="61" t="s">
        <v>34</v>
      </c>
      <c r="C420" s="61" t="s">
        <v>733</v>
      </c>
      <c r="D420" s="61" t="s">
        <v>48</v>
      </c>
      <c r="E420" s="61" t="s">
        <v>49</v>
      </c>
      <c r="F420" s="61" t="s">
        <v>50</v>
      </c>
      <c r="G420" s="61">
        <v>235</v>
      </c>
      <c r="H420" s="61">
        <v>1305</v>
      </c>
      <c r="I420" s="61">
        <v>9198</v>
      </c>
      <c r="J420" s="62">
        <v>65231</v>
      </c>
      <c r="K420" s="61"/>
      <c r="L420" s="61" t="s">
        <v>1973</v>
      </c>
      <c r="P420" s="346"/>
      <c r="Q420" s="346"/>
      <c r="R420" s="3"/>
      <c r="S420" s="128"/>
    </row>
    <row r="421" spans="1:21" ht="15" customHeight="1" x14ac:dyDescent="0.25">
      <c r="A421" s="28" t="s">
        <v>1457</v>
      </c>
      <c r="B421" s="9" t="s">
        <v>249</v>
      </c>
      <c r="C421" s="10" t="s">
        <v>737</v>
      </c>
      <c r="D421" s="9" t="s">
        <v>296</v>
      </c>
      <c r="E421" s="9" t="s">
        <v>295</v>
      </c>
      <c r="F421" s="9" t="s">
        <v>297</v>
      </c>
      <c r="G421" s="9">
        <v>236</v>
      </c>
      <c r="H421" s="9">
        <v>10</v>
      </c>
      <c r="I421" s="9">
        <v>9198</v>
      </c>
      <c r="J421" s="37">
        <v>65231</v>
      </c>
      <c r="K421" s="9"/>
      <c r="L421" s="9" t="s">
        <v>1973</v>
      </c>
      <c r="P421" s="346"/>
      <c r="Q421" s="346"/>
      <c r="R421" s="184"/>
      <c r="S421" s="128"/>
      <c r="T421" s="4"/>
      <c r="U421" s="4"/>
    </row>
    <row r="422" spans="1:21" ht="13.95" customHeight="1" x14ac:dyDescent="0.25">
      <c r="A422" s="23" t="s">
        <v>1457</v>
      </c>
      <c r="B422" s="13" t="s">
        <v>4</v>
      </c>
      <c r="C422" s="13" t="s">
        <v>735</v>
      </c>
      <c r="D422" s="13" t="s">
        <v>236</v>
      </c>
      <c r="E422" s="13" t="s">
        <v>234</v>
      </c>
      <c r="F422" s="13" t="s">
        <v>235</v>
      </c>
      <c r="G422" s="13">
        <v>3022</v>
      </c>
      <c r="H422" s="13">
        <v>200</v>
      </c>
      <c r="I422" s="13">
        <v>9198</v>
      </c>
      <c r="J422" s="31">
        <v>65231</v>
      </c>
      <c r="K422" s="13"/>
      <c r="L422" s="13" t="s">
        <v>1973</v>
      </c>
      <c r="P422" s="346"/>
      <c r="Q422" s="346"/>
      <c r="R422" s="184"/>
      <c r="S422" s="128"/>
      <c r="T422" s="4"/>
      <c r="U422" s="4"/>
    </row>
    <row r="423" spans="1:21" ht="13.95" customHeight="1" x14ac:dyDescent="0.25">
      <c r="A423" s="66" t="s">
        <v>1457</v>
      </c>
      <c r="B423" s="67" t="s">
        <v>35</v>
      </c>
      <c r="C423" s="69" t="s">
        <v>738</v>
      </c>
      <c r="D423" s="67" t="s">
        <v>324</v>
      </c>
      <c r="E423" s="67" t="s">
        <v>323</v>
      </c>
      <c r="F423" s="67" t="s">
        <v>322</v>
      </c>
      <c r="G423" s="67">
        <v>3024</v>
      </c>
      <c r="H423" s="67">
        <v>20</v>
      </c>
      <c r="I423" s="67">
        <v>9198</v>
      </c>
      <c r="J423" s="68">
        <v>65231</v>
      </c>
      <c r="K423" s="67"/>
      <c r="L423" s="67" t="s">
        <v>1973</v>
      </c>
      <c r="P423" s="346"/>
      <c r="Q423" s="346"/>
      <c r="R423" s="3"/>
      <c r="S423" s="128"/>
    </row>
    <row r="424" spans="1:21" ht="13.95" customHeight="1" x14ac:dyDescent="0.25">
      <c r="A424" s="56" t="s">
        <v>1457</v>
      </c>
      <c r="B424" s="57" t="s">
        <v>11</v>
      </c>
      <c r="C424" s="57" t="s">
        <v>734</v>
      </c>
      <c r="D424" s="57" t="s">
        <v>51</v>
      </c>
      <c r="E424" s="57" t="s">
        <v>52</v>
      </c>
      <c r="F424" s="57" t="s">
        <v>53</v>
      </c>
      <c r="G424" s="57">
        <v>3021</v>
      </c>
      <c r="H424" s="57">
        <v>4300</v>
      </c>
      <c r="I424" s="57">
        <v>9198</v>
      </c>
      <c r="J424" s="58">
        <v>65231</v>
      </c>
      <c r="K424" s="57" t="s">
        <v>428</v>
      </c>
      <c r="L424" s="57" t="s">
        <v>1973</v>
      </c>
      <c r="P424" s="346"/>
      <c r="Q424" s="346"/>
      <c r="R424" s="3"/>
      <c r="S424" s="128"/>
    </row>
    <row r="425" spans="1:21" ht="13.95" customHeight="1" x14ac:dyDescent="0.25">
      <c r="A425" s="153" t="s">
        <v>1457</v>
      </c>
      <c r="B425" s="154" t="s">
        <v>3781</v>
      </c>
      <c r="C425" s="154" t="s">
        <v>5399</v>
      </c>
      <c r="D425" s="154" t="s">
        <v>5107</v>
      </c>
      <c r="E425" s="154" t="s">
        <v>5108</v>
      </c>
      <c r="F425" s="154" t="s">
        <v>5109</v>
      </c>
      <c r="G425" s="154">
        <v>3730</v>
      </c>
      <c r="H425" s="154">
        <v>1</v>
      </c>
      <c r="I425" s="154">
        <v>9198</v>
      </c>
      <c r="J425" s="155">
        <v>65231</v>
      </c>
      <c r="K425" s="154"/>
      <c r="L425" s="154" t="s">
        <v>1973</v>
      </c>
      <c r="P425" s="346"/>
      <c r="Q425" s="346"/>
      <c r="R425" s="3"/>
      <c r="S425" s="128"/>
    </row>
    <row r="426" spans="1:21" ht="13.95" customHeight="1" x14ac:dyDescent="0.25">
      <c r="A426" s="46" t="s">
        <v>1457</v>
      </c>
      <c r="B426" s="46" t="s">
        <v>1014</v>
      </c>
      <c r="C426" s="46" t="s">
        <v>6723</v>
      </c>
      <c r="D426" s="46" t="s">
        <v>6579</v>
      </c>
      <c r="E426" s="46" t="s">
        <v>6577</v>
      </c>
      <c r="F426" s="46" t="s">
        <v>6578</v>
      </c>
      <c r="G426" s="46">
        <v>2766</v>
      </c>
      <c r="H426" s="46">
        <v>50</v>
      </c>
      <c r="I426" s="46">
        <v>9198</v>
      </c>
      <c r="J426" s="46">
        <v>65231</v>
      </c>
      <c r="K426" s="46" t="s">
        <v>428</v>
      </c>
      <c r="L426" s="46" t="s">
        <v>1973</v>
      </c>
      <c r="P426" s="346"/>
      <c r="Q426" s="346"/>
      <c r="R426" s="3"/>
      <c r="S426" s="128"/>
    </row>
    <row r="427" spans="1:21" ht="13.95" customHeight="1" x14ac:dyDescent="0.25">
      <c r="A427" s="225" t="s">
        <v>1457</v>
      </c>
      <c r="B427" s="226" t="s">
        <v>4946</v>
      </c>
      <c r="C427" s="226" t="s">
        <v>6831</v>
      </c>
      <c r="D427" s="226" t="s">
        <v>6690</v>
      </c>
      <c r="E427" s="226" t="s">
        <v>6691</v>
      </c>
      <c r="F427" s="226" t="s">
        <v>6692</v>
      </c>
      <c r="G427" s="226">
        <v>2570</v>
      </c>
      <c r="H427" s="226">
        <v>1000</v>
      </c>
      <c r="I427" s="226">
        <v>9198</v>
      </c>
      <c r="J427" s="227">
        <v>65231</v>
      </c>
      <c r="K427" s="226"/>
      <c r="L427" s="226" t="s">
        <v>1973</v>
      </c>
      <c r="P427" s="346"/>
      <c r="Q427" s="346"/>
      <c r="R427" s="3"/>
      <c r="S427" s="128"/>
    </row>
    <row r="428" spans="1:21" ht="13.8" x14ac:dyDescent="0.25">
      <c r="A428" s="27" t="s">
        <v>5882</v>
      </c>
      <c r="B428" s="20" t="s">
        <v>597</v>
      </c>
      <c r="C428" s="20" t="s">
        <v>6613</v>
      </c>
      <c r="D428" s="20" t="s">
        <v>5883</v>
      </c>
      <c r="E428" s="20" t="s">
        <v>5884</v>
      </c>
      <c r="F428" s="20" t="s">
        <v>5885</v>
      </c>
      <c r="G428" s="20">
        <v>3026</v>
      </c>
      <c r="H428" s="20">
        <v>2</v>
      </c>
      <c r="I428" s="20">
        <v>9198</v>
      </c>
      <c r="J428" s="36">
        <v>65231</v>
      </c>
      <c r="K428" s="20"/>
      <c r="L428" s="20" t="s">
        <v>1973</v>
      </c>
      <c r="P428" s="346">
        <v>6853</v>
      </c>
      <c r="Q428" s="345">
        <f>P428*100%/(20000)</f>
        <v>0.34265000000000001</v>
      </c>
      <c r="R428" s="3"/>
      <c r="S428" s="128"/>
    </row>
    <row r="429" spans="1:21" ht="13.8" x14ac:dyDescent="0.25">
      <c r="A429" s="21" t="s">
        <v>5882</v>
      </c>
      <c r="B429" s="18" t="s">
        <v>198</v>
      </c>
      <c r="C429" s="18" t="s">
        <v>6614</v>
      </c>
      <c r="D429" s="18" t="s">
        <v>5886</v>
      </c>
      <c r="E429" s="18" t="s">
        <v>5887</v>
      </c>
      <c r="F429" s="18" t="s">
        <v>5888</v>
      </c>
      <c r="G429" s="18">
        <v>3023</v>
      </c>
      <c r="H429" s="18">
        <v>15</v>
      </c>
      <c r="I429" s="18">
        <v>9198</v>
      </c>
      <c r="J429" s="33">
        <v>65231</v>
      </c>
      <c r="K429" s="18"/>
      <c r="L429" s="18" t="s">
        <v>1973</v>
      </c>
      <c r="P429" s="346"/>
      <c r="Q429" s="346"/>
      <c r="R429" s="3"/>
      <c r="S429" s="128"/>
    </row>
    <row r="430" spans="1:21" ht="13.8" x14ac:dyDescent="0.25">
      <c r="A430" s="60" t="s">
        <v>5882</v>
      </c>
      <c r="B430" s="61" t="s">
        <v>34</v>
      </c>
      <c r="C430" s="61" t="s">
        <v>6615</v>
      </c>
      <c r="D430" s="61" t="s">
        <v>5889</v>
      </c>
      <c r="E430" s="61" t="s">
        <v>5894</v>
      </c>
      <c r="F430" s="61" t="s">
        <v>5899</v>
      </c>
      <c r="G430" s="61">
        <v>235</v>
      </c>
      <c r="H430" s="61">
        <v>1305</v>
      </c>
      <c r="I430" s="61">
        <v>9198</v>
      </c>
      <c r="J430" s="62">
        <v>65231</v>
      </c>
      <c r="K430" s="61"/>
      <c r="L430" s="61" t="s">
        <v>1973</v>
      </c>
      <c r="P430" s="346"/>
      <c r="Q430" s="346"/>
      <c r="R430" s="3"/>
      <c r="S430" s="128"/>
    </row>
    <row r="431" spans="1:21" ht="13.8" x14ac:dyDescent="0.25">
      <c r="A431" s="28" t="s">
        <v>5882</v>
      </c>
      <c r="B431" s="9" t="s">
        <v>249</v>
      </c>
      <c r="C431" s="10" t="s">
        <v>6616</v>
      </c>
      <c r="D431" s="9" t="s">
        <v>5890</v>
      </c>
      <c r="E431" s="9" t="s">
        <v>5895</v>
      </c>
      <c r="F431" s="9" t="s">
        <v>5900</v>
      </c>
      <c r="G431" s="9">
        <v>236</v>
      </c>
      <c r="H431" s="9">
        <v>10</v>
      </c>
      <c r="I431" s="9">
        <v>9198</v>
      </c>
      <c r="J431" s="37">
        <v>65231</v>
      </c>
      <c r="K431" s="9"/>
      <c r="L431" s="9" t="s">
        <v>1973</v>
      </c>
      <c r="P431" s="346"/>
      <c r="Q431" s="346"/>
      <c r="R431" s="3"/>
      <c r="S431" s="128"/>
    </row>
    <row r="432" spans="1:21" ht="13.8" x14ac:dyDescent="0.25">
      <c r="A432" s="23" t="s">
        <v>5882</v>
      </c>
      <c r="B432" s="13" t="s">
        <v>4</v>
      </c>
      <c r="C432" s="13" t="s">
        <v>6617</v>
      </c>
      <c r="D432" s="13" t="s">
        <v>5891</v>
      </c>
      <c r="E432" s="13" t="s">
        <v>5896</v>
      </c>
      <c r="F432" s="13" t="s">
        <v>5901</v>
      </c>
      <c r="G432" s="13">
        <v>3022</v>
      </c>
      <c r="H432" s="13">
        <v>200</v>
      </c>
      <c r="I432" s="13">
        <v>9198</v>
      </c>
      <c r="J432" s="31">
        <v>65231</v>
      </c>
      <c r="K432" s="13"/>
      <c r="L432" s="13" t="s">
        <v>1973</v>
      </c>
      <c r="P432" s="346"/>
      <c r="Q432" s="346"/>
      <c r="R432" s="3"/>
      <c r="S432" s="128"/>
    </row>
    <row r="433" spans="1:21" ht="13.8" x14ac:dyDescent="0.25">
      <c r="A433" s="66" t="s">
        <v>5882</v>
      </c>
      <c r="B433" s="67" t="s">
        <v>35</v>
      </c>
      <c r="C433" s="69" t="s">
        <v>6618</v>
      </c>
      <c r="D433" s="67" t="s">
        <v>5892</v>
      </c>
      <c r="E433" s="67" t="s">
        <v>5897</v>
      </c>
      <c r="F433" s="67" t="s">
        <v>5902</v>
      </c>
      <c r="G433" s="67">
        <v>3024</v>
      </c>
      <c r="H433" s="67">
        <v>20</v>
      </c>
      <c r="I433" s="67">
        <v>9198</v>
      </c>
      <c r="J433" s="68">
        <v>65231</v>
      </c>
      <c r="K433" s="67"/>
      <c r="L433" s="67" t="s">
        <v>1973</v>
      </c>
      <c r="P433" s="346"/>
      <c r="Q433" s="346"/>
      <c r="R433" s="3"/>
      <c r="S433" s="128"/>
    </row>
    <row r="434" spans="1:21" ht="13.8" x14ac:dyDescent="0.25">
      <c r="A434" s="56" t="s">
        <v>5882</v>
      </c>
      <c r="B434" s="57" t="s">
        <v>11</v>
      </c>
      <c r="C434" s="57" t="s">
        <v>6619</v>
      </c>
      <c r="D434" s="57" t="s">
        <v>5893</v>
      </c>
      <c r="E434" s="57" t="s">
        <v>5898</v>
      </c>
      <c r="F434" s="57" t="s">
        <v>5903</v>
      </c>
      <c r="G434" s="57">
        <v>3021</v>
      </c>
      <c r="H434" s="57">
        <v>4300</v>
      </c>
      <c r="I434" s="57">
        <v>9198</v>
      </c>
      <c r="J434" s="58">
        <v>65231</v>
      </c>
      <c r="K434" s="57" t="s">
        <v>428</v>
      </c>
      <c r="L434" s="57" t="s">
        <v>1973</v>
      </c>
      <c r="P434" s="346"/>
      <c r="Q434" s="346"/>
      <c r="R434" s="3"/>
      <c r="S434" s="128"/>
    </row>
    <row r="435" spans="1:21" ht="13.8" x14ac:dyDescent="0.25">
      <c r="A435" s="153" t="s">
        <v>5882</v>
      </c>
      <c r="B435" s="154" t="s">
        <v>3781</v>
      </c>
      <c r="C435" s="154" t="s">
        <v>6620</v>
      </c>
      <c r="D435" s="154" t="s">
        <v>5904</v>
      </c>
      <c r="E435" s="154" t="s">
        <v>5905</v>
      </c>
      <c r="F435" s="154" t="s">
        <v>5906</v>
      </c>
      <c r="G435" s="154">
        <v>3730</v>
      </c>
      <c r="H435" s="154">
        <v>1</v>
      </c>
      <c r="I435" s="154">
        <v>9198</v>
      </c>
      <c r="J435" s="155">
        <v>65231</v>
      </c>
      <c r="K435" s="154"/>
      <c r="L435" s="154" t="s">
        <v>1973</v>
      </c>
      <c r="P435" s="346"/>
      <c r="Q435" s="346"/>
      <c r="R435" s="3"/>
      <c r="S435" s="128"/>
    </row>
    <row r="436" spans="1:21" ht="13.8" x14ac:dyDescent="0.25">
      <c r="A436" s="225" t="s">
        <v>5882</v>
      </c>
      <c r="B436" s="226" t="s">
        <v>4946</v>
      </c>
      <c r="C436" s="226" t="s">
        <v>6832</v>
      </c>
      <c r="D436" s="226" t="s">
        <v>6693</v>
      </c>
      <c r="E436" s="226" t="s">
        <v>6694</v>
      </c>
      <c r="F436" s="226" t="s">
        <v>6695</v>
      </c>
      <c r="G436" s="226">
        <v>2570</v>
      </c>
      <c r="H436" s="226">
        <v>1000</v>
      </c>
      <c r="I436" s="226">
        <v>9198</v>
      </c>
      <c r="J436" s="227">
        <v>65231</v>
      </c>
      <c r="K436" s="226"/>
      <c r="L436" s="226" t="s">
        <v>1972</v>
      </c>
      <c r="P436" s="346"/>
      <c r="Q436" s="346"/>
      <c r="R436" s="3"/>
      <c r="S436" s="128"/>
    </row>
    <row r="437" spans="1:21" ht="13.95" customHeight="1" x14ac:dyDescent="0.25">
      <c r="A437" s="21" t="s">
        <v>362</v>
      </c>
      <c r="B437" s="18" t="s">
        <v>198</v>
      </c>
      <c r="C437" s="18" t="s">
        <v>740</v>
      </c>
      <c r="D437" s="18" t="s">
        <v>54</v>
      </c>
      <c r="E437" s="18" t="s">
        <v>55</v>
      </c>
      <c r="F437" s="18" t="s">
        <v>56</v>
      </c>
      <c r="G437" s="18">
        <v>3032</v>
      </c>
      <c r="H437" s="18">
        <v>20</v>
      </c>
      <c r="I437" s="18">
        <v>9198</v>
      </c>
      <c r="J437" s="33">
        <v>65233</v>
      </c>
      <c r="K437" s="18"/>
      <c r="L437" s="18" t="s">
        <v>2736</v>
      </c>
      <c r="P437" s="346">
        <v>10732</v>
      </c>
      <c r="Q437" s="345">
        <f>P437*100%/(30000)</f>
        <v>0.35773333333333335</v>
      </c>
      <c r="R437" s="3"/>
      <c r="S437" s="128"/>
    </row>
    <row r="438" spans="1:21" ht="13.95" customHeight="1" x14ac:dyDescent="0.25">
      <c r="A438" s="22" t="s">
        <v>362</v>
      </c>
      <c r="B438" s="16" t="s">
        <v>34</v>
      </c>
      <c r="C438" s="16" t="s">
        <v>741</v>
      </c>
      <c r="D438" s="16" t="s">
        <v>243</v>
      </c>
      <c r="E438" s="16" t="s">
        <v>244</v>
      </c>
      <c r="F438" s="16" t="s">
        <v>245</v>
      </c>
      <c r="G438" s="16">
        <v>2011</v>
      </c>
      <c r="H438" s="16">
        <v>1692</v>
      </c>
      <c r="I438" s="16">
        <v>9198</v>
      </c>
      <c r="J438" s="30">
        <v>65233</v>
      </c>
      <c r="K438" s="16"/>
      <c r="L438" s="16" t="s">
        <v>2736</v>
      </c>
      <c r="P438" s="346"/>
      <c r="Q438" s="346"/>
      <c r="R438" s="3"/>
      <c r="S438" s="128"/>
    </row>
    <row r="439" spans="1:21" ht="13.95" customHeight="1" x14ac:dyDescent="0.25">
      <c r="A439" s="28" t="s">
        <v>362</v>
      </c>
      <c r="B439" s="9" t="s">
        <v>249</v>
      </c>
      <c r="C439" s="10" t="s">
        <v>744</v>
      </c>
      <c r="D439" s="9" t="s">
        <v>321</v>
      </c>
      <c r="E439" s="9" t="s">
        <v>320</v>
      </c>
      <c r="F439" s="9" t="s">
        <v>319</v>
      </c>
      <c r="G439" s="9">
        <v>3031</v>
      </c>
      <c r="H439" s="9">
        <v>13</v>
      </c>
      <c r="I439" s="9">
        <v>9198</v>
      </c>
      <c r="J439" s="37">
        <v>65233</v>
      </c>
      <c r="K439" s="9"/>
      <c r="L439" s="9" t="s">
        <v>2736</v>
      </c>
      <c r="P439" s="346"/>
      <c r="Q439" s="346"/>
      <c r="R439" s="146" t="s">
        <v>3480</v>
      </c>
      <c r="S439" s="128" t="s">
        <v>3479</v>
      </c>
    </row>
    <row r="440" spans="1:21" ht="13.95" customHeight="1" x14ac:dyDescent="0.25">
      <c r="A440" s="45" t="s">
        <v>362</v>
      </c>
      <c r="B440" s="46" t="s">
        <v>1014</v>
      </c>
      <c r="C440" s="49" t="s">
        <v>1286</v>
      </c>
      <c r="D440" s="46" t="s">
        <v>1086</v>
      </c>
      <c r="E440" s="46" t="s">
        <v>1085</v>
      </c>
      <c r="F440" s="46" t="s">
        <v>1084</v>
      </c>
      <c r="G440" s="46">
        <v>3036</v>
      </c>
      <c r="H440" s="46">
        <v>269</v>
      </c>
      <c r="I440" s="46">
        <v>9198</v>
      </c>
      <c r="J440" s="47">
        <v>65233</v>
      </c>
      <c r="K440" s="46" t="s">
        <v>428</v>
      </c>
      <c r="L440" s="46" t="s">
        <v>2736</v>
      </c>
      <c r="P440" s="346"/>
      <c r="Q440" s="346"/>
      <c r="R440" s="169" t="s">
        <v>3689</v>
      </c>
      <c r="S440" s="128"/>
    </row>
    <row r="441" spans="1:21" ht="13.95" customHeight="1" x14ac:dyDescent="0.25">
      <c r="A441" s="23" t="s">
        <v>362</v>
      </c>
      <c r="B441" s="13" t="s">
        <v>4</v>
      </c>
      <c r="C441" s="13" t="s">
        <v>739</v>
      </c>
      <c r="D441" s="13" t="s">
        <v>57</v>
      </c>
      <c r="E441" s="13" t="s">
        <v>58</v>
      </c>
      <c r="F441" s="13" t="s">
        <v>59</v>
      </c>
      <c r="G441" s="13">
        <v>3033</v>
      </c>
      <c r="H441" s="13">
        <v>400</v>
      </c>
      <c r="I441" s="13">
        <v>9198</v>
      </c>
      <c r="J441" s="31">
        <v>65233</v>
      </c>
      <c r="K441" s="13"/>
      <c r="L441" s="13" t="s">
        <v>2736</v>
      </c>
      <c r="P441" s="346"/>
      <c r="Q441" s="346"/>
      <c r="R441" s="169" t="s">
        <v>3695</v>
      </c>
      <c r="S441" s="128"/>
    </row>
    <row r="442" spans="1:21" ht="13.95" customHeight="1" x14ac:dyDescent="0.25">
      <c r="A442" s="66" t="s">
        <v>362</v>
      </c>
      <c r="B442" s="67" t="s">
        <v>35</v>
      </c>
      <c r="C442" s="67" t="s">
        <v>743</v>
      </c>
      <c r="D442" s="67" t="s">
        <v>63</v>
      </c>
      <c r="E442" s="67" t="s">
        <v>64</v>
      </c>
      <c r="F442" s="67" t="s">
        <v>65</v>
      </c>
      <c r="G442" s="67">
        <v>3035</v>
      </c>
      <c r="H442" s="67">
        <v>20</v>
      </c>
      <c r="I442" s="67">
        <v>9198</v>
      </c>
      <c r="J442" s="68">
        <v>65233</v>
      </c>
      <c r="K442" s="67"/>
      <c r="L442" s="67" t="s">
        <v>2736</v>
      </c>
      <c r="P442" s="346"/>
      <c r="Q442" s="346"/>
      <c r="R442" s="169" t="s">
        <v>4339</v>
      </c>
      <c r="S442" s="128"/>
      <c r="T442" s="4"/>
      <c r="U442" s="4"/>
    </row>
    <row r="443" spans="1:21" ht="13.95" customHeight="1" x14ac:dyDescent="0.25">
      <c r="A443" s="45" t="s">
        <v>362</v>
      </c>
      <c r="B443" s="46" t="s">
        <v>1109</v>
      </c>
      <c r="C443" s="49" t="s">
        <v>1382</v>
      </c>
      <c r="D443" s="46" t="s">
        <v>1360</v>
      </c>
      <c r="E443" s="46" t="s">
        <v>1361</v>
      </c>
      <c r="F443" s="46" t="s">
        <v>1362</v>
      </c>
      <c r="G443" s="46">
        <v>2766</v>
      </c>
      <c r="H443" s="46">
        <v>10</v>
      </c>
      <c r="I443" s="46">
        <v>9198</v>
      </c>
      <c r="J443" s="47">
        <v>65233</v>
      </c>
      <c r="K443" s="46"/>
      <c r="L443" s="46" t="s">
        <v>2736</v>
      </c>
      <c r="P443" s="346"/>
      <c r="Q443" s="346"/>
      <c r="R443" s="198" t="s">
        <v>6062</v>
      </c>
      <c r="S443" s="128"/>
    </row>
    <row r="444" spans="1:21" ht="13.95" customHeight="1" x14ac:dyDescent="0.25">
      <c r="A444" s="56" t="s">
        <v>362</v>
      </c>
      <c r="B444" s="57" t="s">
        <v>11</v>
      </c>
      <c r="C444" s="57" t="s">
        <v>742</v>
      </c>
      <c r="D444" s="57" t="s">
        <v>60</v>
      </c>
      <c r="E444" s="57" t="s">
        <v>61</v>
      </c>
      <c r="F444" s="57" t="s">
        <v>62</v>
      </c>
      <c r="G444" s="57">
        <v>3034</v>
      </c>
      <c r="H444" s="57">
        <v>7400</v>
      </c>
      <c r="I444" s="57">
        <v>9198</v>
      </c>
      <c r="J444" s="58">
        <v>65233</v>
      </c>
      <c r="K444" s="57" t="s">
        <v>522</v>
      </c>
      <c r="L444" s="57" t="s">
        <v>2736</v>
      </c>
      <c r="P444" s="346"/>
      <c r="Q444" s="346"/>
      <c r="R444" s="262" t="s">
        <v>6284</v>
      </c>
    </row>
    <row r="445" spans="1:21" ht="13.95" customHeight="1" x14ac:dyDescent="0.25">
      <c r="A445" s="56" t="s">
        <v>362</v>
      </c>
      <c r="B445" s="57" t="s">
        <v>3774</v>
      </c>
      <c r="C445" s="57" t="s">
        <v>3922</v>
      </c>
      <c r="D445" s="57" t="s">
        <v>3778</v>
      </c>
      <c r="E445" s="57" t="s">
        <v>3779</v>
      </c>
      <c r="F445" s="57" t="s">
        <v>3780</v>
      </c>
      <c r="G445" s="57">
        <v>1085</v>
      </c>
      <c r="H445" s="57">
        <v>10</v>
      </c>
      <c r="I445" s="57">
        <v>9198</v>
      </c>
      <c r="J445" s="58">
        <v>65233</v>
      </c>
      <c r="K445" s="57"/>
      <c r="L445" s="57" t="s">
        <v>2736</v>
      </c>
      <c r="P445" s="346"/>
      <c r="Q445" s="346"/>
    </row>
    <row r="446" spans="1:21" ht="13.95" customHeight="1" x14ac:dyDescent="0.25">
      <c r="A446" s="27" t="s">
        <v>362</v>
      </c>
      <c r="B446" s="20" t="s">
        <v>597</v>
      </c>
      <c r="C446" s="20" t="s">
        <v>4692</v>
      </c>
      <c r="D446" s="20" t="s">
        <v>4635</v>
      </c>
      <c r="E446" s="20" t="s">
        <v>4636</v>
      </c>
      <c r="F446" s="20" t="s">
        <v>4637</v>
      </c>
      <c r="G446" s="20">
        <v>3037</v>
      </c>
      <c r="H446" s="20">
        <v>10</v>
      </c>
      <c r="I446" s="20">
        <v>9198</v>
      </c>
      <c r="J446" s="36">
        <v>65233</v>
      </c>
      <c r="K446" s="20"/>
      <c r="L446" s="20" t="s">
        <v>2736</v>
      </c>
      <c r="P446" s="346"/>
      <c r="Q446" s="346"/>
    </row>
    <row r="447" spans="1:21" ht="13.95" customHeight="1" x14ac:dyDescent="0.25">
      <c r="A447" s="153" t="s">
        <v>362</v>
      </c>
      <c r="B447" s="154" t="s">
        <v>3781</v>
      </c>
      <c r="C447" s="154" t="s">
        <v>5395</v>
      </c>
      <c r="D447" s="154" t="s">
        <v>5040</v>
      </c>
      <c r="E447" s="154" t="s">
        <v>5041</v>
      </c>
      <c r="F447" s="154" t="s">
        <v>5042</v>
      </c>
      <c r="G447" s="154">
        <v>2317</v>
      </c>
      <c r="H447" s="154">
        <v>20</v>
      </c>
      <c r="I447" s="154">
        <v>9198</v>
      </c>
      <c r="J447" s="155">
        <v>65233</v>
      </c>
      <c r="K447" s="154"/>
      <c r="L447" s="154" t="s">
        <v>2736</v>
      </c>
      <c r="P447" s="346"/>
      <c r="Q447" s="346"/>
    </row>
    <row r="448" spans="1:21" ht="13.95" customHeight="1" x14ac:dyDescent="0.25">
      <c r="A448" s="225" t="s">
        <v>362</v>
      </c>
      <c r="B448" s="226" t="s">
        <v>4946</v>
      </c>
      <c r="C448" s="226" t="s">
        <v>6833</v>
      </c>
      <c r="D448" s="226" t="s">
        <v>6696</v>
      </c>
      <c r="E448" s="226" t="s">
        <v>6697</v>
      </c>
      <c r="F448" s="226" t="s">
        <v>6698</v>
      </c>
      <c r="G448" s="226">
        <v>2570</v>
      </c>
      <c r="H448" s="226">
        <v>1000</v>
      </c>
      <c r="I448" s="226">
        <v>9198</v>
      </c>
      <c r="J448" s="227">
        <v>65233</v>
      </c>
      <c r="K448" s="226"/>
      <c r="L448" s="226" t="s">
        <v>2736</v>
      </c>
      <c r="P448" s="346"/>
      <c r="Q448" s="346"/>
    </row>
    <row r="449" spans="1:22" ht="13.8" x14ac:dyDescent="0.25">
      <c r="A449" s="21" t="s">
        <v>7553</v>
      </c>
      <c r="B449" s="18" t="s">
        <v>198</v>
      </c>
      <c r="C449" s="18" t="s">
        <v>7495</v>
      </c>
      <c r="D449" s="18" t="s">
        <v>6520</v>
      </c>
      <c r="E449" s="18" t="s">
        <v>6521</v>
      </c>
      <c r="F449" s="18" t="s">
        <v>6522</v>
      </c>
      <c r="G449" s="18">
        <v>3032</v>
      </c>
      <c r="H449" s="18">
        <v>20</v>
      </c>
      <c r="I449" s="18">
        <v>9198</v>
      </c>
      <c r="J449" s="33">
        <v>65233</v>
      </c>
      <c r="K449" s="18"/>
      <c r="L449" s="18" t="s">
        <v>1972</v>
      </c>
      <c r="P449" s="346">
        <v>9874</v>
      </c>
      <c r="Q449" s="345">
        <f>P449*100%/(20000)</f>
        <v>0.49370000000000003</v>
      </c>
    </row>
    <row r="450" spans="1:22" ht="13.8" x14ac:dyDescent="0.25">
      <c r="A450" s="22" t="s">
        <v>7553</v>
      </c>
      <c r="B450" s="16" t="s">
        <v>34</v>
      </c>
      <c r="C450" s="16" t="s">
        <v>7496</v>
      </c>
      <c r="D450" s="16" t="s">
        <v>6523</v>
      </c>
      <c r="E450" s="16" t="s">
        <v>6524</v>
      </c>
      <c r="F450" s="16" t="s">
        <v>6525</v>
      </c>
      <c r="G450" s="16">
        <v>2011</v>
      </c>
      <c r="H450" s="16">
        <v>1710</v>
      </c>
      <c r="I450" s="16">
        <v>9198</v>
      </c>
      <c r="J450" s="30">
        <v>65233</v>
      </c>
      <c r="K450" s="16"/>
      <c r="L450" s="16" t="s">
        <v>1972</v>
      </c>
      <c r="P450" s="346"/>
      <c r="Q450" s="346"/>
    </row>
    <row r="451" spans="1:22" ht="13.8" x14ac:dyDescent="0.25">
      <c r="A451" s="28" t="s">
        <v>7553</v>
      </c>
      <c r="B451" s="9" t="s">
        <v>249</v>
      </c>
      <c r="C451" s="10" t="s">
        <v>7497</v>
      </c>
      <c r="D451" s="9" t="s">
        <v>6526</v>
      </c>
      <c r="E451" s="9" t="s">
        <v>6527</v>
      </c>
      <c r="F451" s="9" t="s">
        <v>6528</v>
      </c>
      <c r="G451" s="9">
        <v>3031</v>
      </c>
      <c r="H451" s="9">
        <v>5</v>
      </c>
      <c r="I451" s="9">
        <v>9198</v>
      </c>
      <c r="J451" s="37">
        <v>65233</v>
      </c>
      <c r="K451" s="9"/>
      <c r="L451" s="9" t="s">
        <v>1972</v>
      </c>
      <c r="P451" s="346"/>
      <c r="Q451" s="346"/>
    </row>
    <row r="452" spans="1:22" ht="13.8" x14ac:dyDescent="0.25">
      <c r="A452" s="45" t="s">
        <v>7553</v>
      </c>
      <c r="B452" s="46" t="s">
        <v>1014</v>
      </c>
      <c r="C452" s="49" t="s">
        <v>7498</v>
      </c>
      <c r="D452" s="46" t="s">
        <v>6511</v>
      </c>
      <c r="E452" s="46" t="s">
        <v>6512</v>
      </c>
      <c r="F452" s="46" t="s">
        <v>6513</v>
      </c>
      <c r="G452" s="46">
        <v>3036</v>
      </c>
      <c r="H452" s="46">
        <v>269</v>
      </c>
      <c r="I452" s="46">
        <v>9198</v>
      </c>
      <c r="J452" s="47">
        <v>65233</v>
      </c>
      <c r="K452" s="46" t="s">
        <v>428</v>
      </c>
      <c r="L452" s="46" t="s">
        <v>1972</v>
      </c>
      <c r="P452" s="346"/>
      <c r="Q452" s="346"/>
    </row>
    <row r="453" spans="1:22" ht="13.8" x14ac:dyDescent="0.25">
      <c r="A453" s="23" t="s">
        <v>7553</v>
      </c>
      <c r="B453" s="13" t="s">
        <v>4</v>
      </c>
      <c r="C453" s="13" t="s">
        <v>7499</v>
      </c>
      <c r="D453" s="13" t="s">
        <v>6529</v>
      </c>
      <c r="E453" s="13" t="s">
        <v>6530</v>
      </c>
      <c r="F453" s="13" t="s">
        <v>6530</v>
      </c>
      <c r="G453" s="13">
        <v>3033</v>
      </c>
      <c r="H453" s="13">
        <v>400</v>
      </c>
      <c r="I453" s="13">
        <v>9198</v>
      </c>
      <c r="J453" s="31">
        <v>65233</v>
      </c>
      <c r="K453" s="13"/>
      <c r="L453" s="13" t="s">
        <v>1972</v>
      </c>
      <c r="P453" s="346"/>
      <c r="Q453" s="346"/>
    </row>
    <row r="454" spans="1:22" ht="13.8" x14ac:dyDescent="0.25">
      <c r="A454" s="66" t="s">
        <v>7553</v>
      </c>
      <c r="B454" s="67" t="s">
        <v>35</v>
      </c>
      <c r="C454" s="67" t="s">
        <v>7500</v>
      </c>
      <c r="D454" s="67" t="s">
        <v>6531</v>
      </c>
      <c r="E454" s="67" t="s">
        <v>6532</v>
      </c>
      <c r="F454" s="67" t="s">
        <v>6533</v>
      </c>
      <c r="G454" s="67">
        <v>3035</v>
      </c>
      <c r="H454" s="67">
        <v>20</v>
      </c>
      <c r="I454" s="67">
        <v>9198</v>
      </c>
      <c r="J454" s="68">
        <v>65233</v>
      </c>
      <c r="K454" s="67"/>
      <c r="L454" s="67" t="s">
        <v>1972</v>
      </c>
      <c r="P454" s="346"/>
      <c r="Q454" s="346"/>
    </row>
    <row r="455" spans="1:22" ht="13.8" x14ac:dyDescent="0.25">
      <c r="A455" s="45" t="s">
        <v>7553</v>
      </c>
      <c r="B455" s="46" t="s">
        <v>1109</v>
      </c>
      <c r="C455" s="49" t="s">
        <v>7501</v>
      </c>
      <c r="D455" s="46" t="s">
        <v>6514</v>
      </c>
      <c r="E455" s="46" t="s">
        <v>6515</v>
      </c>
      <c r="F455" s="46" t="s">
        <v>6516</v>
      </c>
      <c r="G455" s="46">
        <v>2766</v>
      </c>
      <c r="H455" s="46">
        <v>10</v>
      </c>
      <c r="I455" s="46">
        <v>9198</v>
      </c>
      <c r="J455" s="47">
        <v>65233</v>
      </c>
      <c r="K455" s="46"/>
      <c r="L455" s="46" t="s">
        <v>1972</v>
      </c>
      <c r="P455" s="346"/>
      <c r="Q455" s="346"/>
    </row>
    <row r="456" spans="1:22" ht="13.8" x14ac:dyDescent="0.25">
      <c r="A456" s="56" t="s">
        <v>7553</v>
      </c>
      <c r="B456" s="57" t="s">
        <v>11</v>
      </c>
      <c r="C456" s="57" t="s">
        <v>7502</v>
      </c>
      <c r="D456" s="57" t="s">
        <v>6534</v>
      </c>
      <c r="E456" s="57" t="s">
        <v>6535</v>
      </c>
      <c r="F456" s="57" t="s">
        <v>6536</v>
      </c>
      <c r="G456" s="57">
        <v>3034</v>
      </c>
      <c r="H456" s="57">
        <v>7400</v>
      </c>
      <c r="I456" s="57">
        <v>9198</v>
      </c>
      <c r="J456" s="58">
        <v>65233</v>
      </c>
      <c r="K456" s="57" t="s">
        <v>522</v>
      </c>
      <c r="L456" s="57" t="s">
        <v>1972</v>
      </c>
      <c r="P456" s="346"/>
      <c r="Q456" s="346"/>
    </row>
    <row r="457" spans="1:22" ht="13.8" x14ac:dyDescent="0.25">
      <c r="A457" s="56" t="s">
        <v>7553</v>
      </c>
      <c r="B457" s="57" t="s">
        <v>3774</v>
      </c>
      <c r="C457" s="57" t="s">
        <v>7503</v>
      </c>
      <c r="D457" s="57" t="s">
        <v>6537</v>
      </c>
      <c r="E457" s="57" t="s">
        <v>6538</v>
      </c>
      <c r="F457" s="57" t="s">
        <v>6539</v>
      </c>
      <c r="G457" s="57">
        <v>1085</v>
      </c>
      <c r="H457" s="57">
        <v>10</v>
      </c>
      <c r="I457" s="57">
        <v>9198</v>
      </c>
      <c r="J457" s="58">
        <v>65233</v>
      </c>
      <c r="K457" s="57"/>
      <c r="L457" s="57" t="s">
        <v>1972</v>
      </c>
      <c r="P457" s="346"/>
      <c r="Q457" s="346"/>
    </row>
    <row r="458" spans="1:22" ht="13.8" x14ac:dyDescent="0.25">
      <c r="A458" s="27" t="s">
        <v>7553</v>
      </c>
      <c r="B458" s="20" t="s">
        <v>597</v>
      </c>
      <c r="C458" s="20" t="s">
        <v>7504</v>
      </c>
      <c r="D458" s="20" t="s">
        <v>6540</v>
      </c>
      <c r="E458" s="20" t="s">
        <v>6541</v>
      </c>
      <c r="F458" s="20" t="s">
        <v>6542</v>
      </c>
      <c r="G458" s="20">
        <v>3037</v>
      </c>
      <c r="H458" s="20">
        <v>10</v>
      </c>
      <c r="I458" s="20">
        <v>9198</v>
      </c>
      <c r="J458" s="36">
        <v>65233</v>
      </c>
      <c r="K458" s="20"/>
      <c r="L458" s="20" t="s">
        <v>1972</v>
      </c>
      <c r="P458" s="346"/>
      <c r="Q458" s="346"/>
    </row>
    <row r="459" spans="1:22" ht="13.8" x14ac:dyDescent="0.25">
      <c r="A459" s="153" t="s">
        <v>7553</v>
      </c>
      <c r="B459" s="154" t="s">
        <v>3781</v>
      </c>
      <c r="C459" s="154" t="s">
        <v>7505</v>
      </c>
      <c r="D459" s="154" t="s">
        <v>6517</v>
      </c>
      <c r="E459" s="154" t="s">
        <v>6518</v>
      </c>
      <c r="F459" s="154" t="s">
        <v>6519</v>
      </c>
      <c r="G459" s="154">
        <v>2317</v>
      </c>
      <c r="H459" s="154">
        <v>20</v>
      </c>
      <c r="I459" s="154">
        <v>9198</v>
      </c>
      <c r="J459" s="155">
        <v>65233</v>
      </c>
      <c r="K459" s="154"/>
      <c r="L459" s="154" t="s">
        <v>1972</v>
      </c>
      <c r="P459" s="346"/>
      <c r="Q459" s="346"/>
    </row>
    <row r="460" spans="1:22" x14ac:dyDescent="0.3">
      <c r="A460" s="225" t="s">
        <v>7553</v>
      </c>
      <c r="B460" s="226" t="s">
        <v>4946</v>
      </c>
      <c r="C460" s="226" t="s">
        <v>7506</v>
      </c>
      <c r="D460" s="226" t="s">
        <v>7247</v>
      </c>
      <c r="E460" s="226" t="s">
        <v>7248</v>
      </c>
      <c r="F460" s="226" t="s">
        <v>7249</v>
      </c>
      <c r="G460" s="226">
        <v>2570</v>
      </c>
      <c r="H460" s="226">
        <v>1000</v>
      </c>
      <c r="I460" s="226">
        <v>9198</v>
      </c>
      <c r="J460" s="227">
        <v>65233</v>
      </c>
      <c r="K460" s="226"/>
      <c r="L460" s="226" t="s">
        <v>1972</v>
      </c>
      <c r="P460">
        <v>1000</v>
      </c>
      <c r="Q460" s="303">
        <f>P460*100%/(30000)</f>
        <v>3.3333333333333333E-2</v>
      </c>
    </row>
    <row r="461" spans="1:22" ht="13.95" customHeight="1" x14ac:dyDescent="0.25">
      <c r="A461" s="21" t="s">
        <v>582</v>
      </c>
      <c r="B461" s="18" t="s">
        <v>198</v>
      </c>
      <c r="C461" s="18" t="s">
        <v>748</v>
      </c>
      <c r="D461" s="18" t="s">
        <v>534</v>
      </c>
      <c r="E461" s="18" t="s">
        <v>535</v>
      </c>
      <c r="F461" s="18" t="s">
        <v>533</v>
      </c>
      <c r="G461" s="18">
        <v>867</v>
      </c>
      <c r="H461" s="18">
        <v>4</v>
      </c>
      <c r="I461" s="18">
        <v>65321</v>
      </c>
      <c r="J461" s="33">
        <v>65240</v>
      </c>
      <c r="K461" s="18"/>
      <c r="L461" s="18" t="s">
        <v>1979</v>
      </c>
      <c r="P461" s="346">
        <v>980</v>
      </c>
      <c r="Q461" s="345">
        <f>P461*100%/(4000)</f>
        <v>0.245</v>
      </c>
      <c r="R461" s="146" t="s">
        <v>3454</v>
      </c>
      <c r="S461" s="129" t="s">
        <v>3458</v>
      </c>
      <c r="T461" s="4"/>
      <c r="U461" s="4"/>
      <c r="V461" s="4"/>
    </row>
    <row r="462" spans="1:22" ht="13.95" customHeight="1" x14ac:dyDescent="0.25">
      <c r="A462" s="22" t="s">
        <v>582</v>
      </c>
      <c r="B462" s="16" t="s">
        <v>34</v>
      </c>
      <c r="C462" s="16" t="s">
        <v>745</v>
      </c>
      <c r="D462" s="16" t="s">
        <v>179</v>
      </c>
      <c r="E462" s="16" t="s">
        <v>178</v>
      </c>
      <c r="F462" s="16" t="s">
        <v>177</v>
      </c>
      <c r="G462" s="16">
        <v>580</v>
      </c>
      <c r="H462" s="16">
        <v>400</v>
      </c>
      <c r="I462" s="16">
        <v>65321</v>
      </c>
      <c r="J462" s="30">
        <v>65240</v>
      </c>
      <c r="K462" s="16" t="s">
        <v>436</v>
      </c>
      <c r="L462" s="16" t="s">
        <v>1979</v>
      </c>
      <c r="P462" s="346"/>
      <c r="Q462" s="346"/>
      <c r="R462" s="182" t="s">
        <v>3475</v>
      </c>
      <c r="S462" s="128"/>
    </row>
    <row r="463" spans="1:22" ht="13.95" customHeight="1" x14ac:dyDescent="0.25">
      <c r="A463" s="23" t="s">
        <v>582</v>
      </c>
      <c r="B463" s="13" t="s">
        <v>4</v>
      </c>
      <c r="C463" s="13" t="s">
        <v>749</v>
      </c>
      <c r="D463" s="13" t="s">
        <v>537</v>
      </c>
      <c r="E463" s="13" t="s">
        <v>538</v>
      </c>
      <c r="F463" s="13" t="s">
        <v>536</v>
      </c>
      <c r="G463" s="13">
        <v>868</v>
      </c>
      <c r="H463" s="13">
        <v>65</v>
      </c>
      <c r="I463" s="13">
        <v>65321</v>
      </c>
      <c r="J463" s="31">
        <v>65240</v>
      </c>
      <c r="K463" s="13"/>
      <c r="L463" s="13" t="s">
        <v>1979</v>
      </c>
      <c r="P463" s="346"/>
      <c r="Q463" s="346"/>
      <c r="R463" s="3"/>
      <c r="S463" s="128"/>
    </row>
    <row r="464" spans="1:22" ht="13.95" customHeight="1" x14ac:dyDescent="0.25">
      <c r="A464" s="66" t="s">
        <v>582</v>
      </c>
      <c r="B464" s="67" t="s">
        <v>35</v>
      </c>
      <c r="C464" s="67" t="s">
        <v>747</v>
      </c>
      <c r="D464" s="67" t="s">
        <v>201</v>
      </c>
      <c r="E464" s="67" t="s">
        <v>199</v>
      </c>
      <c r="F464" s="67" t="s">
        <v>200</v>
      </c>
      <c r="G464" s="67">
        <v>583</v>
      </c>
      <c r="H464" s="67">
        <v>10</v>
      </c>
      <c r="I464" s="67">
        <v>65321</v>
      </c>
      <c r="J464" s="68">
        <v>65240</v>
      </c>
      <c r="K464" s="67"/>
      <c r="L464" s="67" t="s">
        <v>1979</v>
      </c>
      <c r="P464" s="346"/>
      <c r="Q464" s="346"/>
      <c r="R464" s="3"/>
      <c r="S464" s="128"/>
    </row>
    <row r="465" spans="1:19" ht="13.95" customHeight="1" x14ac:dyDescent="0.25">
      <c r="A465" s="56" t="s">
        <v>582</v>
      </c>
      <c r="B465" s="57" t="s">
        <v>11</v>
      </c>
      <c r="C465" s="59" t="s">
        <v>746</v>
      </c>
      <c r="D465" s="57" t="s">
        <v>204</v>
      </c>
      <c r="E465" s="57" t="s">
        <v>203</v>
      </c>
      <c r="F465" s="57" t="s">
        <v>202</v>
      </c>
      <c r="G465" s="57">
        <v>582</v>
      </c>
      <c r="H465" s="57">
        <v>330</v>
      </c>
      <c r="I465" s="57">
        <v>65321</v>
      </c>
      <c r="J465" s="58">
        <v>65240</v>
      </c>
      <c r="K465" s="57" t="s">
        <v>433</v>
      </c>
      <c r="L465" s="57" t="s">
        <v>1979</v>
      </c>
      <c r="P465" s="346"/>
      <c r="Q465" s="346"/>
      <c r="R465" s="3"/>
      <c r="S465" s="128"/>
    </row>
    <row r="466" spans="1:19" ht="13.95" customHeight="1" x14ac:dyDescent="0.25">
      <c r="A466" s="153" t="s">
        <v>582</v>
      </c>
      <c r="B466" s="154" t="s">
        <v>3781</v>
      </c>
      <c r="C466" s="154" t="s">
        <v>4776</v>
      </c>
      <c r="D466" s="154" t="s">
        <v>4668</v>
      </c>
      <c r="E466" s="154" t="s">
        <v>4669</v>
      </c>
      <c r="F466" s="154" t="s">
        <v>4670</v>
      </c>
      <c r="G466" s="154">
        <v>584</v>
      </c>
      <c r="H466" s="154">
        <v>1</v>
      </c>
      <c r="I466" s="154">
        <v>65321</v>
      </c>
      <c r="J466" s="155">
        <v>65240</v>
      </c>
      <c r="K466" s="154" t="s">
        <v>433</v>
      </c>
      <c r="L466" s="154" t="s">
        <v>1979</v>
      </c>
      <c r="P466" s="346"/>
      <c r="Q466" s="346"/>
      <c r="R466" s="3"/>
      <c r="S466" s="128"/>
    </row>
    <row r="467" spans="1:19" ht="13.95" customHeight="1" x14ac:dyDescent="0.25">
      <c r="A467" s="225" t="s">
        <v>582</v>
      </c>
      <c r="B467" s="226" t="s">
        <v>4946</v>
      </c>
      <c r="C467" s="226" t="s">
        <v>6834</v>
      </c>
      <c r="D467" s="226" t="s">
        <v>6699</v>
      </c>
      <c r="E467" s="226" t="s">
        <v>6700</v>
      </c>
      <c r="F467" s="226" t="s">
        <v>6701</v>
      </c>
      <c r="G467" s="226">
        <v>2570</v>
      </c>
      <c r="H467" s="226">
        <v>100</v>
      </c>
      <c r="I467" s="226">
        <v>65321</v>
      </c>
      <c r="J467" s="227">
        <v>65240</v>
      </c>
      <c r="K467" s="226"/>
      <c r="L467" s="226" t="s">
        <v>1979</v>
      </c>
      <c r="P467" s="346"/>
      <c r="Q467" s="346"/>
      <c r="R467" s="3"/>
      <c r="S467" s="128"/>
    </row>
    <row r="468" spans="1:19" ht="13.95" customHeight="1" x14ac:dyDescent="0.25">
      <c r="A468" s="21" t="s">
        <v>7224</v>
      </c>
      <c r="B468" s="18" t="s">
        <v>198</v>
      </c>
      <c r="C468" s="18" t="s">
        <v>7215</v>
      </c>
      <c r="D468" s="18" t="s">
        <v>7007</v>
      </c>
      <c r="E468" s="18" t="s">
        <v>7008</v>
      </c>
      <c r="F468" s="18" t="s">
        <v>7009</v>
      </c>
      <c r="G468" s="18">
        <v>905</v>
      </c>
      <c r="H468" s="18">
        <v>4</v>
      </c>
      <c r="I468" s="18">
        <v>65321</v>
      </c>
      <c r="J468" s="33">
        <v>65240</v>
      </c>
      <c r="K468" s="18"/>
      <c r="L468" s="18" t="s">
        <v>1979</v>
      </c>
      <c r="P468" s="346">
        <v>980</v>
      </c>
      <c r="Q468" s="345">
        <f>P468*100%/(4000)</f>
        <v>0.245</v>
      </c>
      <c r="R468" s="3"/>
      <c r="S468" s="128"/>
    </row>
    <row r="469" spans="1:19" ht="13.95" customHeight="1" x14ac:dyDescent="0.25">
      <c r="A469" s="22" t="s">
        <v>7224</v>
      </c>
      <c r="B469" s="16" t="s">
        <v>34</v>
      </c>
      <c r="C469" s="16" t="s">
        <v>7216</v>
      </c>
      <c r="D469" s="16" t="s">
        <v>7010</v>
      </c>
      <c r="E469" s="16" t="s">
        <v>7011</v>
      </c>
      <c r="F469" s="16" t="s">
        <v>7012</v>
      </c>
      <c r="G469" s="16">
        <v>906</v>
      </c>
      <c r="H469" s="16">
        <v>400</v>
      </c>
      <c r="I469" s="16">
        <v>65321</v>
      </c>
      <c r="J469" s="30">
        <v>65240</v>
      </c>
      <c r="K469" s="16" t="s">
        <v>436</v>
      </c>
      <c r="L469" s="16" t="s">
        <v>1979</v>
      </c>
      <c r="P469" s="346"/>
      <c r="Q469" s="346"/>
      <c r="R469" s="3"/>
      <c r="S469" s="128"/>
    </row>
    <row r="470" spans="1:19" ht="13.95" customHeight="1" x14ac:dyDescent="0.25">
      <c r="A470" s="23" t="s">
        <v>7224</v>
      </c>
      <c r="B470" s="13" t="s">
        <v>4</v>
      </c>
      <c r="C470" s="13" t="s">
        <v>7217</v>
      </c>
      <c r="D470" s="13" t="s">
        <v>7013</v>
      </c>
      <c r="E470" s="13" t="s">
        <v>7014</v>
      </c>
      <c r="F470" s="13" t="s">
        <v>7015</v>
      </c>
      <c r="G470" s="13">
        <v>907</v>
      </c>
      <c r="H470" s="13">
        <v>65</v>
      </c>
      <c r="I470" s="13">
        <v>65321</v>
      </c>
      <c r="J470" s="31">
        <v>65240</v>
      </c>
      <c r="K470" s="13"/>
      <c r="L470" s="13" t="s">
        <v>1979</v>
      </c>
      <c r="P470" s="346"/>
      <c r="Q470" s="346"/>
      <c r="R470" s="3"/>
      <c r="S470" s="128"/>
    </row>
    <row r="471" spans="1:19" ht="13.95" customHeight="1" x14ac:dyDescent="0.25">
      <c r="A471" s="66" t="s">
        <v>7224</v>
      </c>
      <c r="B471" s="67" t="s">
        <v>35</v>
      </c>
      <c r="C471" s="67" t="s">
        <v>7218</v>
      </c>
      <c r="D471" s="67" t="s">
        <v>7016</v>
      </c>
      <c r="E471" s="67" t="s">
        <v>7017</v>
      </c>
      <c r="F471" s="67" t="s">
        <v>7018</v>
      </c>
      <c r="G471" s="67">
        <v>908</v>
      </c>
      <c r="H471" s="67">
        <v>10</v>
      </c>
      <c r="I471" s="67">
        <v>65321</v>
      </c>
      <c r="J471" s="68">
        <v>65240</v>
      </c>
      <c r="K471" s="67"/>
      <c r="L471" s="67" t="s">
        <v>1979</v>
      </c>
      <c r="P471" s="346"/>
      <c r="Q471" s="346"/>
      <c r="R471" s="3"/>
      <c r="S471" s="128"/>
    </row>
    <row r="472" spans="1:19" ht="13.95" customHeight="1" x14ac:dyDescent="0.25">
      <c r="A472" s="56" t="s">
        <v>7224</v>
      </c>
      <c r="B472" s="57" t="s">
        <v>11</v>
      </c>
      <c r="C472" s="59" t="s">
        <v>7219</v>
      </c>
      <c r="D472" s="57" t="s">
        <v>7019</v>
      </c>
      <c r="E472" s="57" t="s">
        <v>7020</v>
      </c>
      <c r="F472" s="57" t="s">
        <v>7021</v>
      </c>
      <c r="G472" s="57">
        <v>909</v>
      </c>
      <c r="H472" s="57">
        <v>330</v>
      </c>
      <c r="I472" s="57">
        <v>65321</v>
      </c>
      <c r="J472" s="58">
        <v>65240</v>
      </c>
      <c r="K472" s="57" t="s">
        <v>433</v>
      </c>
      <c r="L472" s="57" t="s">
        <v>1979</v>
      </c>
      <c r="P472" s="346"/>
      <c r="Q472" s="346"/>
      <c r="R472" s="3"/>
      <c r="S472" s="128"/>
    </row>
    <row r="473" spans="1:19" ht="13.95" customHeight="1" x14ac:dyDescent="0.25">
      <c r="A473" s="153" t="s">
        <v>7224</v>
      </c>
      <c r="B473" s="154" t="s">
        <v>3781</v>
      </c>
      <c r="C473" s="154" t="s">
        <v>7220</v>
      </c>
      <c r="D473" s="154" t="s">
        <v>7025</v>
      </c>
      <c r="E473" s="154" t="s">
        <v>7026</v>
      </c>
      <c r="F473" s="154" t="s">
        <v>7027</v>
      </c>
      <c r="G473" s="154">
        <v>910</v>
      </c>
      <c r="H473" s="154">
        <v>1</v>
      </c>
      <c r="I473" s="154">
        <v>65321</v>
      </c>
      <c r="J473" s="155">
        <v>65240</v>
      </c>
      <c r="K473" s="154" t="s">
        <v>433</v>
      </c>
      <c r="L473" s="154" t="s">
        <v>1979</v>
      </c>
      <c r="P473" s="346"/>
      <c r="Q473" s="346"/>
      <c r="R473" s="3"/>
      <c r="S473" s="128"/>
    </row>
    <row r="474" spans="1:19" ht="13.95" customHeight="1" x14ac:dyDescent="0.25">
      <c r="A474" s="225" t="s">
        <v>7224</v>
      </c>
      <c r="B474" s="226" t="s">
        <v>4946</v>
      </c>
      <c r="C474" s="226" t="s">
        <v>7221</v>
      </c>
      <c r="D474" s="226" t="s">
        <v>7022</v>
      </c>
      <c r="E474" s="226" t="s">
        <v>7023</v>
      </c>
      <c r="F474" s="226" t="s">
        <v>7024</v>
      </c>
      <c r="G474" s="226">
        <v>911</v>
      </c>
      <c r="H474" s="226">
        <v>100</v>
      </c>
      <c r="I474" s="226">
        <v>65321</v>
      </c>
      <c r="J474" s="227">
        <v>65240</v>
      </c>
      <c r="K474" s="226"/>
      <c r="L474" s="226" t="s">
        <v>1979</v>
      </c>
      <c r="P474" s="346"/>
      <c r="Q474" s="346"/>
      <c r="R474" s="3"/>
      <c r="S474" s="128"/>
    </row>
    <row r="475" spans="1:19" ht="13.95" customHeight="1" x14ac:dyDescent="0.25">
      <c r="A475" s="27" t="s">
        <v>2417</v>
      </c>
      <c r="B475" s="20" t="s">
        <v>597</v>
      </c>
      <c r="C475" s="20" t="s">
        <v>4729</v>
      </c>
      <c r="D475" s="20" t="s">
        <v>4685</v>
      </c>
      <c r="E475" s="20" t="s">
        <v>4686</v>
      </c>
      <c r="F475" s="20" t="s">
        <v>4687</v>
      </c>
      <c r="G475" s="20">
        <v>1226</v>
      </c>
      <c r="H475" s="20">
        <v>10</v>
      </c>
      <c r="I475" s="20">
        <v>9198</v>
      </c>
      <c r="J475" s="36">
        <v>29355</v>
      </c>
      <c r="K475" s="20"/>
      <c r="L475" s="20" t="s">
        <v>1973</v>
      </c>
      <c r="P475" s="346">
        <v>19189</v>
      </c>
      <c r="Q475" s="345">
        <f>P475*100%/(10000)</f>
        <v>1.9189000000000001</v>
      </c>
      <c r="R475" s="198" t="s">
        <v>6062</v>
      </c>
      <c r="S475" s="128"/>
    </row>
    <row r="476" spans="1:19" ht="13.95" customHeight="1" x14ac:dyDescent="0.25">
      <c r="A476" s="21" t="s">
        <v>2417</v>
      </c>
      <c r="B476" s="18" t="s">
        <v>198</v>
      </c>
      <c r="C476" s="18" t="s">
        <v>2442</v>
      </c>
      <c r="D476" s="18" t="s">
        <v>2418</v>
      </c>
      <c r="E476" s="18" t="s">
        <v>2419</v>
      </c>
      <c r="F476" s="18" t="s">
        <v>2420</v>
      </c>
      <c r="G476" s="18">
        <v>1220</v>
      </c>
      <c r="H476" s="18">
        <v>4</v>
      </c>
      <c r="I476" s="18">
        <v>9198</v>
      </c>
      <c r="J476" s="29">
        <v>29355</v>
      </c>
      <c r="K476" s="74" t="s">
        <v>522</v>
      </c>
      <c r="L476" s="18" t="s">
        <v>1973</v>
      </c>
      <c r="P476" s="346"/>
      <c r="Q476" s="346"/>
      <c r="R476" s="3"/>
      <c r="S476" s="128"/>
    </row>
    <row r="477" spans="1:19" ht="13.95" customHeight="1" x14ac:dyDescent="0.25">
      <c r="A477" s="22" t="s">
        <v>2417</v>
      </c>
      <c r="B477" s="16" t="s">
        <v>34</v>
      </c>
      <c r="C477" s="16" t="s">
        <v>2444</v>
      </c>
      <c r="D477" s="16" t="s">
        <v>2424</v>
      </c>
      <c r="E477" s="16" t="s">
        <v>2425</v>
      </c>
      <c r="F477" s="16" t="s">
        <v>2426</v>
      </c>
      <c r="G477" s="16">
        <v>1222</v>
      </c>
      <c r="H477" s="16">
        <v>1435</v>
      </c>
      <c r="I477" s="16">
        <v>9198</v>
      </c>
      <c r="J477" s="30">
        <v>29355</v>
      </c>
      <c r="K477" s="16" t="s">
        <v>522</v>
      </c>
      <c r="L477" s="16" t="s">
        <v>1973</v>
      </c>
      <c r="P477" s="346"/>
      <c r="Q477" s="346"/>
      <c r="R477" s="3"/>
      <c r="S477" s="128"/>
    </row>
    <row r="478" spans="1:19" ht="13.95" customHeight="1" x14ac:dyDescent="0.25">
      <c r="A478" s="45" t="s">
        <v>2417</v>
      </c>
      <c r="B478" s="46" t="s">
        <v>1014</v>
      </c>
      <c r="C478" s="49" t="s">
        <v>2917</v>
      </c>
      <c r="D478" s="46" t="s">
        <v>2914</v>
      </c>
      <c r="E478" s="46" t="s">
        <v>2915</v>
      </c>
      <c r="F478" s="46" t="s">
        <v>2916</v>
      </c>
      <c r="G478" s="46">
        <v>1225</v>
      </c>
      <c r="H478" s="46">
        <v>150</v>
      </c>
      <c r="I478" s="46">
        <v>9198</v>
      </c>
      <c r="J478" s="47">
        <v>29355</v>
      </c>
      <c r="K478" s="46" t="s">
        <v>428</v>
      </c>
      <c r="L478" s="46" t="s">
        <v>1973</v>
      </c>
      <c r="P478" s="346"/>
      <c r="Q478" s="346"/>
      <c r="R478" s="3"/>
      <c r="S478" s="128"/>
    </row>
    <row r="479" spans="1:19" ht="13.95" customHeight="1" x14ac:dyDescent="0.25">
      <c r="A479" s="23" t="s">
        <v>2417</v>
      </c>
      <c r="B479" s="13" t="s">
        <v>4</v>
      </c>
      <c r="C479" s="13" t="s">
        <v>2443</v>
      </c>
      <c r="D479" s="13" t="s">
        <v>2421</v>
      </c>
      <c r="E479" s="13" t="s">
        <v>2422</v>
      </c>
      <c r="F479" s="13" t="s">
        <v>2423</v>
      </c>
      <c r="G479" s="13">
        <v>1221</v>
      </c>
      <c r="H479" s="13">
        <v>120</v>
      </c>
      <c r="I479" s="13">
        <v>9198</v>
      </c>
      <c r="J479" s="31">
        <v>29355</v>
      </c>
      <c r="K479" s="13" t="s">
        <v>522</v>
      </c>
      <c r="L479" s="13" t="s">
        <v>1973</v>
      </c>
      <c r="P479" s="346"/>
      <c r="Q479" s="346"/>
      <c r="R479" s="3"/>
      <c r="S479" s="128"/>
    </row>
    <row r="480" spans="1:19" ht="13.95" customHeight="1" x14ac:dyDescent="0.25">
      <c r="A480" s="66" t="s">
        <v>2417</v>
      </c>
      <c r="B480" s="67" t="s">
        <v>35</v>
      </c>
      <c r="C480" s="67" t="s">
        <v>2445</v>
      </c>
      <c r="D480" s="67" t="s">
        <v>2430</v>
      </c>
      <c r="E480" s="67" t="s">
        <v>2431</v>
      </c>
      <c r="F480" s="67" t="s">
        <v>2432</v>
      </c>
      <c r="G480" s="67">
        <v>1223</v>
      </c>
      <c r="H480" s="67">
        <v>20</v>
      </c>
      <c r="I480" s="67">
        <v>9198</v>
      </c>
      <c r="J480" s="68">
        <v>29355</v>
      </c>
      <c r="K480" s="67" t="s">
        <v>522</v>
      </c>
      <c r="L480" s="67" t="s">
        <v>1973</v>
      </c>
      <c r="P480" s="346"/>
      <c r="Q480" s="346"/>
      <c r="R480" s="3"/>
      <c r="S480" s="128"/>
    </row>
    <row r="481" spans="1:19" ht="13.95" customHeight="1" x14ac:dyDescent="0.25">
      <c r="A481" s="25" t="s">
        <v>2417</v>
      </c>
      <c r="B481" s="7" t="s">
        <v>11</v>
      </c>
      <c r="C481" s="7" t="s">
        <v>2665</v>
      </c>
      <c r="D481" s="7" t="s">
        <v>2427</v>
      </c>
      <c r="E481" s="7" t="s">
        <v>2428</v>
      </c>
      <c r="F481" s="7" t="s">
        <v>2429</v>
      </c>
      <c r="G481" s="7">
        <v>1224</v>
      </c>
      <c r="H481" s="7">
        <v>7348</v>
      </c>
      <c r="I481" s="7">
        <v>9198</v>
      </c>
      <c r="J481" s="34">
        <v>29355</v>
      </c>
      <c r="K481" s="7" t="s">
        <v>522</v>
      </c>
      <c r="L481" s="7" t="s">
        <v>1973</v>
      </c>
      <c r="P481" s="346"/>
      <c r="Q481" s="346"/>
      <c r="R481" s="3"/>
      <c r="S481" s="128"/>
    </row>
    <row r="482" spans="1:19" ht="13.95" customHeight="1" x14ac:dyDescent="0.25">
      <c r="A482" s="153" t="s">
        <v>2417</v>
      </c>
      <c r="B482" s="154" t="s">
        <v>3781</v>
      </c>
      <c r="C482" s="154" t="s">
        <v>5778</v>
      </c>
      <c r="D482" s="154" t="s">
        <v>5147</v>
      </c>
      <c r="E482" s="154" t="s">
        <v>5148</v>
      </c>
      <c r="F482" s="154" t="s">
        <v>5149</v>
      </c>
      <c r="G482" s="154">
        <v>2222</v>
      </c>
      <c r="H482" s="154">
        <v>2</v>
      </c>
      <c r="I482" s="154">
        <v>9198</v>
      </c>
      <c r="J482" s="155">
        <v>29355</v>
      </c>
      <c r="K482" s="154" t="s">
        <v>522</v>
      </c>
      <c r="L482" s="154" t="s">
        <v>1973</v>
      </c>
      <c r="P482" s="346"/>
      <c r="Q482" s="346"/>
      <c r="R482" s="3"/>
      <c r="S482" s="128"/>
    </row>
    <row r="483" spans="1:19" ht="13.95" customHeight="1" x14ac:dyDescent="0.25">
      <c r="A483" s="25" t="s">
        <v>2417</v>
      </c>
      <c r="B483" s="7" t="s">
        <v>5780</v>
      </c>
      <c r="C483" s="7" t="s">
        <v>6137</v>
      </c>
      <c r="D483" s="7" t="s">
        <v>5781</v>
      </c>
      <c r="E483" s="7" t="s">
        <v>5782</v>
      </c>
      <c r="F483" s="7" t="s">
        <v>5783</v>
      </c>
      <c r="G483" s="7">
        <v>200</v>
      </c>
      <c r="H483" s="7">
        <v>10000</v>
      </c>
      <c r="I483" s="7">
        <v>9198</v>
      </c>
      <c r="J483" s="34">
        <v>29355</v>
      </c>
      <c r="K483" s="7" t="s">
        <v>522</v>
      </c>
      <c r="L483" s="7" t="s">
        <v>1972</v>
      </c>
      <c r="P483" s="346"/>
      <c r="Q483" s="346"/>
      <c r="R483" s="3"/>
      <c r="S483" s="128"/>
    </row>
    <row r="484" spans="1:19" ht="13.95" customHeight="1" x14ac:dyDescent="0.25">
      <c r="A484" s="225" t="s">
        <v>2417</v>
      </c>
      <c r="B484" s="226" t="s">
        <v>4946</v>
      </c>
      <c r="C484" s="226" t="s">
        <v>6835</v>
      </c>
      <c r="D484" s="226" t="s">
        <v>6702</v>
      </c>
      <c r="E484" s="226" t="s">
        <v>6703</v>
      </c>
      <c r="F484" s="226" t="s">
        <v>6704</v>
      </c>
      <c r="G484" s="226">
        <v>2570</v>
      </c>
      <c r="H484" s="226">
        <v>100</v>
      </c>
      <c r="I484" s="226">
        <v>9198</v>
      </c>
      <c r="J484" s="227">
        <v>29355</v>
      </c>
      <c r="K484" s="226"/>
      <c r="L484" s="226" t="s">
        <v>1973</v>
      </c>
      <c r="P484" s="346"/>
      <c r="Q484" s="346"/>
      <c r="R484" s="3"/>
      <c r="S484" s="128"/>
    </row>
    <row r="485" spans="1:19" ht="13.8" x14ac:dyDescent="0.25">
      <c r="A485" s="21" t="s">
        <v>6543</v>
      </c>
      <c r="B485" s="18" t="s">
        <v>198</v>
      </c>
      <c r="C485" s="18" t="s">
        <v>7295</v>
      </c>
      <c r="D485" s="18" t="s">
        <v>6544</v>
      </c>
      <c r="E485" s="18" t="s">
        <v>6545</v>
      </c>
      <c r="F485" s="18" t="s">
        <v>6546</v>
      </c>
      <c r="G485" s="18">
        <v>1220</v>
      </c>
      <c r="H485" s="18">
        <v>4</v>
      </c>
      <c r="I485" s="18">
        <v>9198</v>
      </c>
      <c r="J485" s="29">
        <v>29355</v>
      </c>
      <c r="K485" s="74" t="s">
        <v>522</v>
      </c>
      <c r="L485" s="18" t="s">
        <v>1973</v>
      </c>
      <c r="P485" s="346">
        <v>8746</v>
      </c>
      <c r="Q485" s="345">
        <f>P485*100%/(10000)</f>
        <v>0.87460000000000004</v>
      </c>
      <c r="R485" s="3"/>
      <c r="S485" s="128"/>
    </row>
    <row r="486" spans="1:19" ht="13.8" x14ac:dyDescent="0.25">
      <c r="A486" s="22" t="s">
        <v>6543</v>
      </c>
      <c r="B486" s="16" t="s">
        <v>34</v>
      </c>
      <c r="C486" s="16" t="s">
        <v>7296</v>
      </c>
      <c r="D486" s="16" t="s">
        <v>6547</v>
      </c>
      <c r="E486" s="16" t="s">
        <v>6548</v>
      </c>
      <c r="F486" s="16" t="s">
        <v>6549</v>
      </c>
      <c r="G486" s="16">
        <v>1222</v>
      </c>
      <c r="H486" s="16">
        <v>2150</v>
      </c>
      <c r="I486" s="16">
        <v>9198</v>
      </c>
      <c r="J486" s="30">
        <v>29355</v>
      </c>
      <c r="K486" s="16" t="s">
        <v>522</v>
      </c>
      <c r="L486" s="16" t="s">
        <v>1973</v>
      </c>
      <c r="P486" s="346"/>
      <c r="Q486" s="346"/>
      <c r="R486" s="3"/>
      <c r="S486" s="128"/>
    </row>
    <row r="487" spans="1:19" ht="13.8" x14ac:dyDescent="0.25">
      <c r="A487" s="45" t="s">
        <v>6543</v>
      </c>
      <c r="B487" s="46" t="s">
        <v>1014</v>
      </c>
      <c r="C487" s="49" t="s">
        <v>7297</v>
      </c>
      <c r="D487" s="46" t="s">
        <v>6550</v>
      </c>
      <c r="E487" s="46" t="s">
        <v>6554</v>
      </c>
      <c r="F487" s="46" t="s">
        <v>6558</v>
      </c>
      <c r="G487" s="46">
        <v>1225</v>
      </c>
      <c r="H487" s="46">
        <v>150</v>
      </c>
      <c r="I487" s="46">
        <v>9198</v>
      </c>
      <c r="J487" s="47">
        <v>29355</v>
      </c>
      <c r="K487" s="46" t="s">
        <v>428</v>
      </c>
      <c r="L487" s="46" t="s">
        <v>1973</v>
      </c>
      <c r="P487" s="346"/>
      <c r="Q487" s="346"/>
      <c r="R487" s="3"/>
      <c r="S487" s="128"/>
    </row>
    <row r="488" spans="1:19" ht="13.8" x14ac:dyDescent="0.25">
      <c r="A488" s="23" t="s">
        <v>6543</v>
      </c>
      <c r="B488" s="13" t="s">
        <v>4</v>
      </c>
      <c r="C488" s="13" t="s">
        <v>7298</v>
      </c>
      <c r="D488" s="13" t="s">
        <v>6551</v>
      </c>
      <c r="E488" s="13" t="s">
        <v>6555</v>
      </c>
      <c r="F488" s="13" t="s">
        <v>6559</v>
      </c>
      <c r="G488" s="13">
        <v>1221</v>
      </c>
      <c r="H488" s="13">
        <v>120</v>
      </c>
      <c r="I488" s="13">
        <v>9198</v>
      </c>
      <c r="J488" s="31">
        <v>29355</v>
      </c>
      <c r="K488" s="13" t="s">
        <v>522</v>
      </c>
      <c r="L488" s="13" t="s">
        <v>1973</v>
      </c>
      <c r="P488" s="346"/>
      <c r="Q488" s="346"/>
      <c r="R488" s="3"/>
      <c r="S488" s="128"/>
    </row>
    <row r="489" spans="1:19" ht="13.8" x14ac:dyDescent="0.25">
      <c r="A489" s="66" t="s">
        <v>6543</v>
      </c>
      <c r="B489" s="67" t="s">
        <v>35</v>
      </c>
      <c r="C489" s="67" t="s">
        <v>7299</v>
      </c>
      <c r="D489" s="67" t="s">
        <v>6552</v>
      </c>
      <c r="E489" s="67" t="s">
        <v>6556</v>
      </c>
      <c r="F489" s="67" t="s">
        <v>6560</v>
      </c>
      <c r="G489" s="67">
        <v>1223</v>
      </c>
      <c r="H489" s="67">
        <v>20</v>
      </c>
      <c r="I489" s="67">
        <v>9198</v>
      </c>
      <c r="J489" s="68">
        <v>29355</v>
      </c>
      <c r="K489" s="67" t="s">
        <v>522</v>
      </c>
      <c r="L489" s="67" t="s">
        <v>1973</v>
      </c>
      <c r="P489" s="346"/>
      <c r="Q489" s="346"/>
      <c r="R489" s="3"/>
      <c r="S489" s="128"/>
    </row>
    <row r="490" spans="1:19" ht="13.8" x14ac:dyDescent="0.25">
      <c r="A490" s="25" t="s">
        <v>6543</v>
      </c>
      <c r="B490" s="7" t="s">
        <v>11</v>
      </c>
      <c r="C490" s="7" t="s">
        <v>7300</v>
      </c>
      <c r="D490" s="7" t="s">
        <v>6553</v>
      </c>
      <c r="E490" s="7" t="s">
        <v>6557</v>
      </c>
      <c r="F490" s="7" t="s">
        <v>6561</v>
      </c>
      <c r="G490" s="7">
        <v>1224</v>
      </c>
      <c r="H490" s="7">
        <v>6300</v>
      </c>
      <c r="I490" s="7">
        <v>9198</v>
      </c>
      <c r="J490" s="34">
        <v>29355</v>
      </c>
      <c r="K490" s="7" t="s">
        <v>522</v>
      </c>
      <c r="L490" s="7" t="s">
        <v>1973</v>
      </c>
      <c r="P490" s="346"/>
      <c r="Q490" s="346"/>
      <c r="R490" s="3"/>
      <c r="S490" s="128"/>
    </row>
    <row r="491" spans="1:19" ht="13.8" x14ac:dyDescent="0.25">
      <c r="A491" s="20" t="s">
        <v>6543</v>
      </c>
      <c r="B491" s="20" t="s">
        <v>597</v>
      </c>
      <c r="C491" s="20" t="s">
        <v>7301</v>
      </c>
      <c r="D491" s="20" t="s">
        <v>7291</v>
      </c>
      <c r="E491" s="20" t="s">
        <v>7292</v>
      </c>
      <c r="F491" s="20" t="s">
        <v>7293</v>
      </c>
      <c r="G491" s="20">
        <v>1226</v>
      </c>
      <c r="H491" s="20">
        <v>10</v>
      </c>
      <c r="I491" s="20">
        <v>9198</v>
      </c>
      <c r="J491" s="36">
        <v>29355</v>
      </c>
      <c r="K491" s="20"/>
      <c r="L491" s="20" t="s">
        <v>1973</v>
      </c>
      <c r="P491" s="347"/>
      <c r="Q491" s="347"/>
      <c r="R491" s="3"/>
      <c r="S491" s="128"/>
    </row>
    <row r="492" spans="1:19" ht="13.8" x14ac:dyDescent="0.25">
      <c r="A492" s="153" t="s">
        <v>6543</v>
      </c>
      <c r="B492" s="154" t="s">
        <v>3781</v>
      </c>
      <c r="C492" s="154" t="s">
        <v>7302</v>
      </c>
      <c r="D492" s="154" t="s">
        <v>6562</v>
      </c>
      <c r="E492" s="154" t="s">
        <v>6563</v>
      </c>
      <c r="F492" s="154" t="s">
        <v>6564</v>
      </c>
      <c r="G492" s="154">
        <v>2222</v>
      </c>
      <c r="H492" s="154">
        <v>2</v>
      </c>
      <c r="I492" s="154">
        <v>9198</v>
      </c>
      <c r="J492" s="155">
        <v>29355</v>
      </c>
      <c r="K492" s="154" t="s">
        <v>522</v>
      </c>
      <c r="L492" s="154" t="s">
        <v>1973</v>
      </c>
      <c r="P492" s="346"/>
      <c r="Q492" s="346"/>
      <c r="R492" s="3"/>
      <c r="S492" s="128"/>
    </row>
    <row r="493" spans="1:19" ht="13.95" customHeight="1" x14ac:dyDescent="0.25">
      <c r="A493" s="27" t="s">
        <v>363</v>
      </c>
      <c r="B493" s="20" t="s">
        <v>597</v>
      </c>
      <c r="C493" s="20" t="s">
        <v>1620</v>
      </c>
      <c r="D493" s="20" t="s">
        <v>1463</v>
      </c>
      <c r="E493" s="20" t="s">
        <v>1464</v>
      </c>
      <c r="F493" s="20" t="s">
        <v>1465</v>
      </c>
      <c r="G493" s="20">
        <v>3846</v>
      </c>
      <c r="H493" s="20">
        <v>50</v>
      </c>
      <c r="I493" s="20">
        <v>9198</v>
      </c>
      <c r="J493" s="36">
        <v>65235</v>
      </c>
      <c r="K493" s="20"/>
      <c r="L493" s="20" t="s">
        <v>1972</v>
      </c>
      <c r="P493" s="346">
        <v>19446</v>
      </c>
      <c r="Q493" s="345">
        <f>P493*100%/(20000)</f>
        <v>0.97230000000000005</v>
      </c>
      <c r="R493" s="146" t="s">
        <v>3454</v>
      </c>
      <c r="S493" s="128" t="s">
        <v>3455</v>
      </c>
    </row>
    <row r="494" spans="1:19" ht="13.95" customHeight="1" x14ac:dyDescent="0.25">
      <c r="A494" s="21" t="s">
        <v>363</v>
      </c>
      <c r="B494" s="18" t="s">
        <v>198</v>
      </c>
      <c r="C494" s="18" t="s">
        <v>759</v>
      </c>
      <c r="D494" s="18" t="s">
        <v>75</v>
      </c>
      <c r="E494" s="18" t="s">
        <v>76</v>
      </c>
      <c r="F494" s="18" t="s">
        <v>77</v>
      </c>
      <c r="G494" s="18">
        <v>3091</v>
      </c>
      <c r="H494" s="18">
        <v>25</v>
      </c>
      <c r="I494" s="18">
        <v>9198</v>
      </c>
      <c r="J494" s="33">
        <v>65235</v>
      </c>
      <c r="K494" s="18"/>
      <c r="L494" s="18" t="s">
        <v>1972</v>
      </c>
      <c r="P494" s="346"/>
      <c r="Q494" s="346"/>
      <c r="R494" s="169" t="s">
        <v>3689</v>
      </c>
      <c r="S494" s="128"/>
    </row>
    <row r="495" spans="1:19" ht="13.95" customHeight="1" x14ac:dyDescent="0.25">
      <c r="A495" s="22" t="s">
        <v>363</v>
      </c>
      <c r="B495" s="16" t="s">
        <v>34</v>
      </c>
      <c r="C495" s="16" t="s">
        <v>1374</v>
      </c>
      <c r="D495" s="16" t="s">
        <v>1329</v>
      </c>
      <c r="E495" s="16" t="s">
        <v>1330</v>
      </c>
      <c r="F495" s="16" t="s">
        <v>1331</v>
      </c>
      <c r="G495" s="16">
        <v>3052</v>
      </c>
      <c r="H495" s="16">
        <v>820</v>
      </c>
      <c r="I495" s="16">
        <v>9198</v>
      </c>
      <c r="J495" s="30">
        <v>65235</v>
      </c>
      <c r="K495" s="16"/>
      <c r="L495" s="16" t="s">
        <v>1972</v>
      </c>
      <c r="P495" s="346"/>
      <c r="Q495" s="346"/>
      <c r="R495" s="169" t="s">
        <v>3928</v>
      </c>
      <c r="S495" s="128"/>
    </row>
    <row r="496" spans="1:19" ht="13.95" customHeight="1" x14ac:dyDescent="0.25">
      <c r="A496" s="45" t="s">
        <v>363</v>
      </c>
      <c r="B496" s="46" t="s">
        <v>1014</v>
      </c>
      <c r="C496" s="49" t="s">
        <v>1628</v>
      </c>
      <c r="D496" s="46" t="s">
        <v>1607</v>
      </c>
      <c r="E496" s="46" t="s">
        <v>1608</v>
      </c>
      <c r="F496" s="46" t="s">
        <v>1609</v>
      </c>
      <c r="G496" s="46">
        <v>3054</v>
      </c>
      <c r="H496" s="46">
        <v>50</v>
      </c>
      <c r="I496" s="46">
        <v>9198</v>
      </c>
      <c r="J496" s="47">
        <v>65235</v>
      </c>
      <c r="K496" s="46" t="s">
        <v>428</v>
      </c>
      <c r="L496" s="46" t="s">
        <v>1972</v>
      </c>
      <c r="P496" s="346"/>
      <c r="Q496" s="346"/>
      <c r="R496" s="169" t="s">
        <v>4142</v>
      </c>
      <c r="S496" s="128"/>
    </row>
    <row r="497" spans="1:22" ht="13.95" customHeight="1" x14ac:dyDescent="0.25">
      <c r="A497" s="45" t="s">
        <v>363</v>
      </c>
      <c r="B497" s="46" t="s">
        <v>2623</v>
      </c>
      <c r="C497" s="49" t="s">
        <v>2670</v>
      </c>
      <c r="D497" s="46" t="s">
        <v>2639</v>
      </c>
      <c r="E497" s="46" t="s">
        <v>2640</v>
      </c>
      <c r="F497" s="46" t="s">
        <v>2641</v>
      </c>
      <c r="G497" s="46">
        <v>3845</v>
      </c>
      <c r="H497" s="46">
        <v>150</v>
      </c>
      <c r="I497" s="46">
        <v>9198</v>
      </c>
      <c r="J497" s="47">
        <v>65235</v>
      </c>
      <c r="K497" s="46" t="s">
        <v>428</v>
      </c>
      <c r="L497" s="46" t="s">
        <v>1972</v>
      </c>
      <c r="P497" s="346"/>
      <c r="Q497" s="346"/>
      <c r="R497" s="182" t="s">
        <v>4328</v>
      </c>
      <c r="S497" s="128"/>
      <c r="T497" s="4"/>
      <c r="U497" s="4"/>
      <c r="V497" s="4"/>
    </row>
    <row r="498" spans="1:22" ht="13.95" customHeight="1" x14ac:dyDescent="0.25">
      <c r="A498" s="116" t="s">
        <v>363</v>
      </c>
      <c r="B498" s="118" t="s">
        <v>4</v>
      </c>
      <c r="C498" s="118" t="s">
        <v>758</v>
      </c>
      <c r="D498" s="118" t="s">
        <v>72</v>
      </c>
      <c r="E498" s="118" t="s">
        <v>73</v>
      </c>
      <c r="F498" s="118" t="s">
        <v>74</v>
      </c>
      <c r="G498" s="118">
        <v>3071</v>
      </c>
      <c r="H498" s="118">
        <v>250</v>
      </c>
      <c r="I498" s="118">
        <v>9198</v>
      </c>
      <c r="J498" s="121">
        <v>65235</v>
      </c>
      <c r="K498" s="118"/>
      <c r="L498" s="118" t="s">
        <v>1972</v>
      </c>
      <c r="P498" s="346"/>
      <c r="Q498" s="346"/>
      <c r="R498" s="198" t="s">
        <v>6062</v>
      </c>
      <c r="S498" s="128"/>
    </row>
    <row r="499" spans="1:22" ht="13.95" customHeight="1" x14ac:dyDescent="0.25">
      <c r="A499" s="117" t="s">
        <v>363</v>
      </c>
      <c r="B499" s="119" t="s">
        <v>35</v>
      </c>
      <c r="C499" s="120" t="s">
        <v>757</v>
      </c>
      <c r="D499" s="119" t="s">
        <v>69</v>
      </c>
      <c r="E499" s="119" t="s">
        <v>70</v>
      </c>
      <c r="F499" s="119" t="s">
        <v>71</v>
      </c>
      <c r="G499" s="119">
        <v>3051</v>
      </c>
      <c r="H499" s="119">
        <v>90</v>
      </c>
      <c r="I499" s="119">
        <v>9198</v>
      </c>
      <c r="J499" s="122">
        <v>65235</v>
      </c>
      <c r="K499" s="119"/>
      <c r="L499" s="119" t="s">
        <v>1972</v>
      </c>
      <c r="P499" s="346"/>
      <c r="Q499" s="346"/>
      <c r="R499" s="262" t="s">
        <v>6284</v>
      </c>
      <c r="S499" s="128"/>
    </row>
    <row r="500" spans="1:22" ht="13.95" customHeight="1" x14ac:dyDescent="0.25">
      <c r="A500" s="108" t="s">
        <v>363</v>
      </c>
      <c r="B500" s="109" t="s">
        <v>11</v>
      </c>
      <c r="C500" s="109" t="s">
        <v>756</v>
      </c>
      <c r="D500" s="109" t="s">
        <v>66</v>
      </c>
      <c r="E500" s="109" t="s">
        <v>67</v>
      </c>
      <c r="F500" s="109" t="s">
        <v>68</v>
      </c>
      <c r="G500" s="109">
        <v>3012</v>
      </c>
      <c r="H500" s="109">
        <v>17000</v>
      </c>
      <c r="I500" s="109">
        <v>9198</v>
      </c>
      <c r="J500" s="111">
        <v>65235</v>
      </c>
      <c r="K500" s="109" t="s">
        <v>1417</v>
      </c>
      <c r="L500" s="109" t="s">
        <v>1972</v>
      </c>
      <c r="P500" s="346"/>
      <c r="Q500" s="346"/>
    </row>
    <row r="501" spans="1:22" ht="13.95" customHeight="1" x14ac:dyDescent="0.25">
      <c r="A501" s="153" t="s">
        <v>363</v>
      </c>
      <c r="B501" s="154" t="s">
        <v>3781</v>
      </c>
      <c r="C501" s="154" t="s">
        <v>5120</v>
      </c>
      <c r="D501" s="154" t="s">
        <v>5063</v>
      </c>
      <c r="E501" s="154" t="s">
        <v>5064</v>
      </c>
      <c r="F501" s="154" t="s">
        <v>5065</v>
      </c>
      <c r="G501" s="154">
        <v>3010</v>
      </c>
      <c r="H501" s="154">
        <v>1</v>
      </c>
      <c r="I501" s="154">
        <v>9198</v>
      </c>
      <c r="J501" s="155">
        <v>65235</v>
      </c>
      <c r="K501" s="154"/>
      <c r="L501" s="154" t="s">
        <v>1972</v>
      </c>
      <c r="P501" s="346"/>
      <c r="Q501" s="346"/>
    </row>
    <row r="502" spans="1:22" ht="13.95" customHeight="1" x14ac:dyDescent="0.25">
      <c r="A502" s="45" t="s">
        <v>363</v>
      </c>
      <c r="B502" s="149" t="s">
        <v>5418</v>
      </c>
      <c r="C502" s="252" t="s">
        <v>6109</v>
      </c>
      <c r="D502" s="149" t="s">
        <v>5434</v>
      </c>
      <c r="E502" s="149" t="s">
        <v>5435</v>
      </c>
      <c r="F502" s="149" t="s">
        <v>5436</v>
      </c>
      <c r="G502" s="149">
        <v>3020</v>
      </c>
      <c r="H502" s="149">
        <v>10</v>
      </c>
      <c r="I502" s="149">
        <v>9198</v>
      </c>
      <c r="J502" s="47">
        <v>65235</v>
      </c>
      <c r="K502" s="149"/>
      <c r="L502" s="149" t="s">
        <v>1972</v>
      </c>
      <c r="P502" s="346"/>
      <c r="Q502" s="346"/>
    </row>
    <row r="503" spans="1:22" ht="13.95" customHeight="1" x14ac:dyDescent="0.25">
      <c r="A503" s="225" t="s">
        <v>363</v>
      </c>
      <c r="B503" s="226" t="s">
        <v>4946</v>
      </c>
      <c r="C503" s="226" t="s">
        <v>6836</v>
      </c>
      <c r="D503" s="226" t="s">
        <v>6705</v>
      </c>
      <c r="E503" s="226" t="s">
        <v>6706</v>
      </c>
      <c r="F503" s="226" t="s">
        <v>6707</v>
      </c>
      <c r="G503" s="226">
        <v>2570</v>
      </c>
      <c r="H503" s="226">
        <v>1000</v>
      </c>
      <c r="I503" s="226">
        <v>9198</v>
      </c>
      <c r="J503" s="227">
        <v>65235</v>
      </c>
      <c r="K503" s="226"/>
      <c r="L503" s="226" t="s">
        <v>1972</v>
      </c>
      <c r="P503" s="346"/>
      <c r="Q503" s="346"/>
    </row>
    <row r="504" spans="1:22" ht="13.8" x14ac:dyDescent="0.25">
      <c r="A504" s="27" t="s">
        <v>414</v>
      </c>
      <c r="B504" s="27" t="s">
        <v>597</v>
      </c>
      <c r="C504" s="27" t="s">
        <v>1507</v>
      </c>
      <c r="D504" s="27" t="s">
        <v>6871</v>
      </c>
      <c r="E504" s="27" t="s">
        <v>6872</v>
      </c>
      <c r="F504" s="27" t="s">
        <v>6873</v>
      </c>
      <c r="G504" s="27"/>
      <c r="H504" s="27">
        <v>50</v>
      </c>
      <c r="I504" s="27"/>
      <c r="J504" s="27">
        <v>65235</v>
      </c>
      <c r="K504" s="27"/>
      <c r="L504" s="27" t="s">
        <v>1972</v>
      </c>
      <c r="P504" s="346">
        <v>19396</v>
      </c>
      <c r="Q504" s="345">
        <f>P504*100%/(20000)</f>
        <v>0.9698</v>
      </c>
    </row>
    <row r="505" spans="1:22" ht="13.8" x14ac:dyDescent="0.25">
      <c r="A505" s="21" t="s">
        <v>414</v>
      </c>
      <c r="B505" s="21" t="s">
        <v>198</v>
      </c>
      <c r="C505" s="21" t="s">
        <v>1507</v>
      </c>
      <c r="D505" s="21" t="s">
        <v>6874</v>
      </c>
      <c r="E505" s="21" t="s">
        <v>6875</v>
      </c>
      <c r="F505" s="21" t="s">
        <v>6876</v>
      </c>
      <c r="G505" s="21"/>
      <c r="H505" s="21">
        <v>25</v>
      </c>
      <c r="I505" s="21"/>
      <c r="J505" s="21">
        <v>65235</v>
      </c>
      <c r="K505" s="21"/>
      <c r="L505" s="21" t="s">
        <v>1972</v>
      </c>
      <c r="P505" s="346"/>
      <c r="Q505" s="346"/>
    </row>
    <row r="506" spans="1:22" ht="13.8" x14ac:dyDescent="0.25">
      <c r="A506" s="22" t="s">
        <v>414</v>
      </c>
      <c r="B506" s="22" t="s">
        <v>34</v>
      </c>
      <c r="C506" s="22" t="s">
        <v>1507</v>
      </c>
      <c r="D506" s="22" t="s">
        <v>6877</v>
      </c>
      <c r="E506" s="22" t="s">
        <v>6878</v>
      </c>
      <c r="F506" s="22" t="s">
        <v>6879</v>
      </c>
      <c r="G506" s="22"/>
      <c r="H506" s="22">
        <v>820</v>
      </c>
      <c r="I506" s="22"/>
      <c r="J506" s="22">
        <v>65235</v>
      </c>
      <c r="K506" s="22"/>
      <c r="L506" s="22" t="s">
        <v>1972</v>
      </c>
      <c r="P506" s="346"/>
      <c r="Q506" s="346"/>
    </row>
    <row r="507" spans="1:22" ht="13.8" x14ac:dyDescent="0.25">
      <c r="A507" s="45" t="s">
        <v>414</v>
      </c>
      <c r="B507" s="45" t="s">
        <v>1014</v>
      </c>
      <c r="C507" s="45" t="s">
        <v>1507</v>
      </c>
      <c r="D507" s="45" t="s">
        <v>6880</v>
      </c>
      <c r="E507" s="45" t="s">
        <v>6881</v>
      </c>
      <c r="F507" s="45" t="s">
        <v>6882</v>
      </c>
      <c r="G507" s="45"/>
      <c r="H507" s="45">
        <v>50</v>
      </c>
      <c r="I507" s="45"/>
      <c r="J507" s="45">
        <v>65235</v>
      </c>
      <c r="K507" s="45" t="s">
        <v>428</v>
      </c>
      <c r="L507" s="45" t="s">
        <v>1972</v>
      </c>
      <c r="P507" s="346"/>
      <c r="Q507" s="346"/>
    </row>
    <row r="508" spans="1:22" ht="13.8" x14ac:dyDescent="0.25">
      <c r="A508" s="45" t="s">
        <v>414</v>
      </c>
      <c r="B508" s="45" t="s">
        <v>2623</v>
      </c>
      <c r="C508" s="45" t="s">
        <v>1507</v>
      </c>
      <c r="D508" s="45" t="s">
        <v>6883</v>
      </c>
      <c r="E508" s="45" t="s">
        <v>6884</v>
      </c>
      <c r="F508" s="45" t="s">
        <v>6885</v>
      </c>
      <c r="G508" s="45"/>
      <c r="H508" s="45">
        <v>100</v>
      </c>
      <c r="I508" s="45"/>
      <c r="J508" s="45">
        <v>65235</v>
      </c>
      <c r="K508" s="45" t="s">
        <v>428</v>
      </c>
      <c r="L508" s="45" t="s">
        <v>1972</v>
      </c>
      <c r="P508" s="346"/>
      <c r="Q508" s="346"/>
    </row>
    <row r="509" spans="1:22" ht="13.8" x14ac:dyDescent="0.25">
      <c r="A509" s="116" t="s">
        <v>414</v>
      </c>
      <c r="B509" s="116" t="s">
        <v>4</v>
      </c>
      <c r="C509" s="116" t="s">
        <v>1507</v>
      </c>
      <c r="D509" s="116" t="s">
        <v>6886</v>
      </c>
      <c r="E509" s="116" t="s">
        <v>6887</v>
      </c>
      <c r="F509" s="116" t="s">
        <v>6888</v>
      </c>
      <c r="G509" s="116"/>
      <c r="H509" s="116">
        <v>250</v>
      </c>
      <c r="I509" s="116"/>
      <c r="J509" s="116">
        <v>65235</v>
      </c>
      <c r="K509" s="116"/>
      <c r="L509" s="116" t="s">
        <v>1972</v>
      </c>
      <c r="P509" s="346"/>
      <c r="Q509" s="346"/>
    </row>
    <row r="510" spans="1:22" ht="13.8" x14ac:dyDescent="0.25">
      <c r="A510" s="117" t="s">
        <v>414</v>
      </c>
      <c r="B510" s="117" t="s">
        <v>35</v>
      </c>
      <c r="C510" s="117" t="s">
        <v>1507</v>
      </c>
      <c r="D510" s="117" t="s">
        <v>6889</v>
      </c>
      <c r="E510" s="117" t="s">
        <v>6890</v>
      </c>
      <c r="F510" s="117" t="s">
        <v>6891</v>
      </c>
      <c r="G510" s="117"/>
      <c r="H510" s="117">
        <v>90</v>
      </c>
      <c r="I510" s="117"/>
      <c r="J510" s="117">
        <v>65235</v>
      </c>
      <c r="K510" s="117"/>
      <c r="L510" s="117" t="s">
        <v>1972</v>
      </c>
      <c r="P510" s="346"/>
      <c r="Q510" s="346"/>
    </row>
    <row r="511" spans="1:22" ht="13.8" x14ac:dyDescent="0.25">
      <c r="A511" s="108" t="s">
        <v>414</v>
      </c>
      <c r="B511" s="108" t="s">
        <v>11</v>
      </c>
      <c r="C511" s="108" t="s">
        <v>1507</v>
      </c>
      <c r="D511" s="108" t="s">
        <v>6892</v>
      </c>
      <c r="E511" s="108" t="s">
        <v>6893</v>
      </c>
      <c r="F511" s="108" t="s">
        <v>6894</v>
      </c>
      <c r="G511" s="108"/>
      <c r="H511" s="108">
        <v>17000</v>
      </c>
      <c r="I511" s="108"/>
      <c r="J511" s="108">
        <v>65235</v>
      </c>
      <c r="K511" s="108" t="s">
        <v>1417</v>
      </c>
      <c r="L511" s="108" t="s">
        <v>1972</v>
      </c>
      <c r="P511" s="346"/>
      <c r="Q511" s="346"/>
    </row>
    <row r="512" spans="1:22" ht="13.8" x14ac:dyDescent="0.25">
      <c r="A512" s="153" t="s">
        <v>414</v>
      </c>
      <c r="B512" s="153" t="s">
        <v>3781</v>
      </c>
      <c r="C512" s="153" t="s">
        <v>1507</v>
      </c>
      <c r="D512" s="153" t="s">
        <v>6895</v>
      </c>
      <c r="E512" s="153" t="s">
        <v>6896</v>
      </c>
      <c r="F512" s="153" t="s">
        <v>6897</v>
      </c>
      <c r="G512" s="153"/>
      <c r="H512" s="153">
        <v>1</v>
      </c>
      <c r="I512" s="153"/>
      <c r="J512" s="153">
        <v>65235</v>
      </c>
      <c r="K512" s="153"/>
      <c r="L512" s="153" t="s">
        <v>1972</v>
      </c>
      <c r="P512" s="346"/>
      <c r="Q512" s="346"/>
    </row>
    <row r="513" spans="1:19" ht="13.8" x14ac:dyDescent="0.25">
      <c r="A513" s="45" t="s">
        <v>414</v>
      </c>
      <c r="B513" s="45" t="s">
        <v>5418</v>
      </c>
      <c r="C513" s="45" t="s">
        <v>1507</v>
      </c>
      <c r="D513" s="45" t="s">
        <v>6898</v>
      </c>
      <c r="E513" s="45" t="s">
        <v>6899</v>
      </c>
      <c r="F513" s="45" t="s">
        <v>6900</v>
      </c>
      <c r="G513" s="45"/>
      <c r="H513" s="45">
        <v>10</v>
      </c>
      <c r="I513" s="45"/>
      <c r="J513" s="45">
        <v>65235</v>
      </c>
      <c r="K513" s="45"/>
      <c r="L513" s="45" t="s">
        <v>1972</v>
      </c>
      <c r="P513" s="346"/>
      <c r="Q513" s="346"/>
    </row>
    <row r="514" spans="1:19" ht="13.8" x14ac:dyDescent="0.25">
      <c r="A514" s="225" t="s">
        <v>414</v>
      </c>
      <c r="B514" s="280" t="s">
        <v>4946</v>
      </c>
      <c r="C514" s="280" t="s">
        <v>1507</v>
      </c>
      <c r="D514" s="280" t="s">
        <v>6901</v>
      </c>
      <c r="E514" s="280" t="s">
        <v>6902</v>
      </c>
      <c r="F514" s="280" t="s">
        <v>6903</v>
      </c>
      <c r="G514" s="280"/>
      <c r="H514" s="280">
        <v>1000</v>
      </c>
      <c r="I514" s="280"/>
      <c r="J514" s="227">
        <v>65235</v>
      </c>
      <c r="K514" s="279"/>
      <c r="L514" s="280" t="s">
        <v>1972</v>
      </c>
      <c r="P514" s="346"/>
      <c r="Q514" s="346"/>
    </row>
    <row r="515" spans="1:19" ht="13.95" customHeight="1" x14ac:dyDescent="0.25">
      <c r="A515" s="97" t="s">
        <v>620</v>
      </c>
      <c r="B515" s="98" t="s">
        <v>34</v>
      </c>
      <c r="C515" s="98" t="s">
        <v>695</v>
      </c>
      <c r="D515" s="98" t="s">
        <v>335</v>
      </c>
      <c r="E515" s="98" t="s">
        <v>333</v>
      </c>
      <c r="F515" s="98" t="s">
        <v>334</v>
      </c>
      <c r="G515" s="98">
        <v>3903</v>
      </c>
      <c r="H515" s="98">
        <v>887</v>
      </c>
      <c r="I515" s="98">
        <v>9198</v>
      </c>
      <c r="J515" s="98">
        <v>29355</v>
      </c>
      <c r="K515" s="98" t="s">
        <v>430</v>
      </c>
      <c r="L515" s="98" t="s">
        <v>1973</v>
      </c>
      <c r="P515" s="346">
        <v>5673</v>
      </c>
      <c r="Q515" s="345">
        <f>P515*100%/(10000)</f>
        <v>0.56730000000000003</v>
      </c>
    </row>
    <row r="516" spans="1:19" ht="13.95" customHeight="1" x14ac:dyDescent="0.25">
      <c r="A516" s="27" t="s">
        <v>620</v>
      </c>
      <c r="B516" s="20" t="s">
        <v>597</v>
      </c>
      <c r="C516" s="20" t="s">
        <v>2691</v>
      </c>
      <c r="D516" s="20" t="s">
        <v>2590</v>
      </c>
      <c r="E516" s="20" t="s">
        <v>2591</v>
      </c>
      <c r="F516" s="20" t="s">
        <v>2592</v>
      </c>
      <c r="G516" s="20">
        <v>3909</v>
      </c>
      <c r="H516" s="20">
        <v>40</v>
      </c>
      <c r="I516" s="20">
        <v>9198</v>
      </c>
      <c r="J516" s="36">
        <v>29355</v>
      </c>
      <c r="K516" s="20"/>
      <c r="L516" s="20" t="s">
        <v>1973</v>
      </c>
      <c r="P516" s="346"/>
      <c r="Q516" s="346"/>
    </row>
    <row r="517" spans="1:19" ht="13.95" customHeight="1" x14ac:dyDescent="0.25">
      <c r="A517" s="117" t="s">
        <v>620</v>
      </c>
      <c r="B517" s="119" t="s">
        <v>35</v>
      </c>
      <c r="C517" s="120" t="s">
        <v>2759</v>
      </c>
      <c r="D517" s="119" t="s">
        <v>2707</v>
      </c>
      <c r="E517" s="119" t="s">
        <v>2708</v>
      </c>
      <c r="F517" s="119" t="s">
        <v>2709</v>
      </c>
      <c r="G517" s="119">
        <v>2525</v>
      </c>
      <c r="H517" s="119">
        <v>10</v>
      </c>
      <c r="I517" s="119">
        <v>9198</v>
      </c>
      <c r="J517" s="122">
        <v>29355</v>
      </c>
      <c r="K517" s="119"/>
      <c r="L517" s="119" t="s">
        <v>1973</v>
      </c>
      <c r="P517" s="346"/>
      <c r="Q517" s="346"/>
    </row>
    <row r="518" spans="1:19" ht="13.95" customHeight="1" x14ac:dyDescent="0.25">
      <c r="A518" s="25" t="s">
        <v>620</v>
      </c>
      <c r="B518" s="107" t="s">
        <v>11</v>
      </c>
      <c r="C518" s="110" t="s">
        <v>694</v>
      </c>
      <c r="D518" s="107" t="s">
        <v>645</v>
      </c>
      <c r="E518" s="107" t="s">
        <v>644</v>
      </c>
      <c r="F518" s="107" t="s">
        <v>643</v>
      </c>
      <c r="G518" s="107">
        <v>3906</v>
      </c>
      <c r="H518" s="107">
        <v>5240</v>
      </c>
      <c r="I518" s="107">
        <v>9198</v>
      </c>
      <c r="J518" s="34">
        <v>29355</v>
      </c>
      <c r="K518" s="7" t="s">
        <v>654</v>
      </c>
      <c r="L518" s="107" t="s">
        <v>1973</v>
      </c>
      <c r="P518" s="346"/>
      <c r="Q518" s="346"/>
      <c r="R518" s="3"/>
      <c r="S518" s="128"/>
    </row>
    <row r="519" spans="1:19" ht="13.95" customHeight="1" x14ac:dyDescent="0.25">
      <c r="A519" s="153" t="s">
        <v>620</v>
      </c>
      <c r="B519" s="154" t="s">
        <v>3781</v>
      </c>
      <c r="C519" s="154" t="s">
        <v>5121</v>
      </c>
      <c r="D519" s="154" t="s">
        <v>5066</v>
      </c>
      <c r="E519" s="154" t="s">
        <v>5067</v>
      </c>
      <c r="F519" s="154" t="s">
        <v>5068</v>
      </c>
      <c r="G519" s="154">
        <v>3916</v>
      </c>
      <c r="H519" s="154">
        <v>1</v>
      </c>
      <c r="I519" s="154">
        <v>9198</v>
      </c>
      <c r="J519" s="155">
        <v>29355</v>
      </c>
      <c r="K519" s="154"/>
      <c r="L519" s="154" t="s">
        <v>1973</v>
      </c>
      <c r="P519" s="346"/>
      <c r="Q519" s="346"/>
      <c r="R519" s="3"/>
      <c r="S519" s="128"/>
    </row>
    <row r="520" spans="1:19" ht="13.95" customHeight="1" x14ac:dyDescent="0.25">
      <c r="A520" s="46" t="s">
        <v>620</v>
      </c>
      <c r="B520" s="46" t="s">
        <v>1014</v>
      </c>
      <c r="C520" s="46" t="s">
        <v>6724</v>
      </c>
      <c r="D520" s="46" t="s">
        <v>6576</v>
      </c>
      <c r="E520" s="46" t="s">
        <v>6574</v>
      </c>
      <c r="F520" s="46" t="s">
        <v>6575</v>
      </c>
      <c r="G520" s="46">
        <v>2366</v>
      </c>
      <c r="H520" s="46">
        <v>50</v>
      </c>
      <c r="I520" s="46">
        <v>9198</v>
      </c>
      <c r="J520" s="46">
        <v>29355</v>
      </c>
      <c r="K520" s="46" t="s">
        <v>428</v>
      </c>
      <c r="L520" s="46" t="s">
        <v>1973</v>
      </c>
      <c r="P520" s="346"/>
      <c r="Q520" s="346"/>
      <c r="R520" s="3"/>
      <c r="S520" s="128"/>
    </row>
    <row r="521" spans="1:19" ht="13.95" customHeight="1" x14ac:dyDescent="0.25">
      <c r="A521" s="97" t="s">
        <v>1503</v>
      </c>
      <c r="B521" s="97" t="s">
        <v>34</v>
      </c>
      <c r="C521" s="97" t="s">
        <v>1507</v>
      </c>
      <c r="D521" s="97" t="s">
        <v>7229</v>
      </c>
      <c r="E521" s="97" t="s">
        <v>7230</v>
      </c>
      <c r="F521" s="97" t="s">
        <v>7231</v>
      </c>
      <c r="G521" s="98">
        <v>3903</v>
      </c>
      <c r="H521" s="98">
        <v>887</v>
      </c>
      <c r="I521" s="97"/>
      <c r="J521" s="98">
        <v>29355</v>
      </c>
      <c r="K521" s="98" t="s">
        <v>430</v>
      </c>
      <c r="L521" s="97" t="s">
        <v>1973</v>
      </c>
      <c r="P521" s="346">
        <v>5673</v>
      </c>
      <c r="Q521" s="345">
        <f>P521*100%/(10000)</f>
        <v>0.56730000000000003</v>
      </c>
      <c r="R521" s="3"/>
      <c r="S521" s="128"/>
    </row>
    <row r="522" spans="1:19" ht="13.95" customHeight="1" x14ac:dyDescent="0.25">
      <c r="A522" s="27" t="s">
        <v>1503</v>
      </c>
      <c r="B522" s="27" t="s">
        <v>597</v>
      </c>
      <c r="C522" s="27" t="s">
        <v>1507</v>
      </c>
      <c r="D522" s="27" t="s">
        <v>7232</v>
      </c>
      <c r="E522" s="27" t="s">
        <v>7233</v>
      </c>
      <c r="F522" s="27" t="s">
        <v>7234</v>
      </c>
      <c r="G522" s="20">
        <v>3909</v>
      </c>
      <c r="H522" s="20">
        <v>100</v>
      </c>
      <c r="I522" s="27"/>
      <c r="J522" s="36">
        <v>29355</v>
      </c>
      <c r="K522" s="20"/>
      <c r="L522" s="27" t="s">
        <v>1973</v>
      </c>
      <c r="P522" s="346"/>
      <c r="Q522" s="346"/>
      <c r="R522" s="3"/>
      <c r="S522" s="128"/>
    </row>
    <row r="523" spans="1:19" ht="13.95" customHeight="1" x14ac:dyDescent="0.25">
      <c r="A523" s="117" t="s">
        <v>1503</v>
      </c>
      <c r="B523" s="117" t="s">
        <v>35</v>
      </c>
      <c r="C523" s="117" t="s">
        <v>1507</v>
      </c>
      <c r="D523" s="117" t="s">
        <v>7235</v>
      </c>
      <c r="E523" s="117" t="s">
        <v>7236</v>
      </c>
      <c r="F523" s="117" t="s">
        <v>7237</v>
      </c>
      <c r="G523" s="119">
        <v>2525</v>
      </c>
      <c r="H523" s="119">
        <v>10</v>
      </c>
      <c r="I523" s="117"/>
      <c r="J523" s="122">
        <v>29355</v>
      </c>
      <c r="K523" s="119"/>
      <c r="L523" s="117" t="s">
        <v>1973</v>
      </c>
      <c r="P523" s="346"/>
      <c r="Q523" s="346"/>
      <c r="R523" s="3"/>
      <c r="S523" s="128"/>
    </row>
    <row r="524" spans="1:19" ht="13.95" customHeight="1" x14ac:dyDescent="0.25">
      <c r="A524" s="25" t="s">
        <v>1503</v>
      </c>
      <c r="B524" s="25" t="s">
        <v>11</v>
      </c>
      <c r="C524" s="25" t="s">
        <v>1507</v>
      </c>
      <c r="D524" s="25" t="s">
        <v>7238</v>
      </c>
      <c r="E524" s="25" t="s">
        <v>7239</v>
      </c>
      <c r="F524" s="25" t="s">
        <v>7240</v>
      </c>
      <c r="G524" s="107">
        <v>3906</v>
      </c>
      <c r="H524" s="107">
        <v>4625</v>
      </c>
      <c r="I524" s="25"/>
      <c r="J524" s="34">
        <v>29355</v>
      </c>
      <c r="K524" s="7" t="s">
        <v>654</v>
      </c>
      <c r="L524" s="25" t="s">
        <v>1973</v>
      </c>
      <c r="P524" s="346"/>
      <c r="Q524" s="346"/>
      <c r="R524" s="3"/>
      <c r="S524" s="128"/>
    </row>
    <row r="525" spans="1:19" ht="13.95" customHeight="1" x14ac:dyDescent="0.25">
      <c r="A525" s="153" t="s">
        <v>1503</v>
      </c>
      <c r="B525" s="153" t="s">
        <v>3781</v>
      </c>
      <c r="C525" s="153" t="s">
        <v>1507</v>
      </c>
      <c r="D525" s="153" t="s">
        <v>7241</v>
      </c>
      <c r="E525" s="153" t="s">
        <v>7242</v>
      </c>
      <c r="F525" s="153" t="s">
        <v>7243</v>
      </c>
      <c r="G525" s="154">
        <v>3916</v>
      </c>
      <c r="H525" s="154">
        <v>1</v>
      </c>
      <c r="I525" s="153"/>
      <c r="J525" s="155">
        <v>29355</v>
      </c>
      <c r="K525" s="154"/>
      <c r="L525" s="153" t="s">
        <v>1973</v>
      </c>
      <c r="P525" s="346"/>
      <c r="Q525" s="346"/>
      <c r="R525" s="3"/>
      <c r="S525" s="128"/>
    </row>
    <row r="526" spans="1:19" ht="13.95" customHeight="1" x14ac:dyDescent="0.25">
      <c r="A526" s="46" t="s">
        <v>1503</v>
      </c>
      <c r="B526" s="46" t="s">
        <v>1014</v>
      </c>
      <c r="C526" s="46" t="s">
        <v>1507</v>
      </c>
      <c r="D526" s="46" t="s">
        <v>7244</v>
      </c>
      <c r="E526" s="46" t="s">
        <v>7245</v>
      </c>
      <c r="F526" s="46" t="s">
        <v>7246</v>
      </c>
      <c r="G526" s="46">
        <v>2366</v>
      </c>
      <c r="H526" s="46">
        <v>50</v>
      </c>
      <c r="I526" s="46"/>
      <c r="J526" s="46">
        <v>29355</v>
      </c>
      <c r="K526" s="46" t="s">
        <v>428</v>
      </c>
      <c r="L526" s="46" t="s">
        <v>1973</v>
      </c>
      <c r="P526" s="346"/>
      <c r="Q526" s="346"/>
      <c r="R526" s="3"/>
      <c r="S526" s="128"/>
    </row>
    <row r="527" spans="1:19" ht="13.95" customHeight="1" x14ac:dyDescent="0.25">
      <c r="A527" s="27" t="s">
        <v>364</v>
      </c>
      <c r="B527" s="20" t="s">
        <v>597</v>
      </c>
      <c r="C527" s="20" t="s">
        <v>3432</v>
      </c>
      <c r="D527" s="20" t="s">
        <v>3351</v>
      </c>
      <c r="E527" s="20" t="s">
        <v>3352</v>
      </c>
      <c r="F527" s="20" t="s">
        <v>3353</v>
      </c>
      <c r="G527" s="20">
        <v>817</v>
      </c>
      <c r="H527" s="20">
        <v>10</v>
      </c>
      <c r="I527" s="20">
        <v>9198</v>
      </c>
      <c r="J527" s="36">
        <v>65487</v>
      </c>
      <c r="K527" s="20"/>
      <c r="L527" s="20" t="s">
        <v>1973</v>
      </c>
      <c r="P527" s="346">
        <v>5887</v>
      </c>
      <c r="Q527" s="345">
        <f>P527*100%/(10000)</f>
        <v>0.5887</v>
      </c>
      <c r="R527" s="3"/>
      <c r="S527" s="128"/>
    </row>
    <row r="528" spans="1:19" ht="13.95" customHeight="1" x14ac:dyDescent="0.25">
      <c r="A528" s="21" t="s">
        <v>364</v>
      </c>
      <c r="B528" s="18" t="s">
        <v>198</v>
      </c>
      <c r="C528" s="18" t="s">
        <v>3255</v>
      </c>
      <c r="D528" s="18" t="s">
        <v>3217</v>
      </c>
      <c r="E528" s="18" t="s">
        <v>3215</v>
      </c>
      <c r="F528" s="18" t="s">
        <v>3216</v>
      </c>
      <c r="G528" s="18">
        <v>582</v>
      </c>
      <c r="H528" s="18">
        <v>10</v>
      </c>
      <c r="I528" s="18">
        <v>9198</v>
      </c>
      <c r="J528" s="33">
        <v>65487</v>
      </c>
      <c r="K528" s="18"/>
      <c r="L528" s="18" t="s">
        <v>1973</v>
      </c>
      <c r="P528" s="346"/>
      <c r="Q528" s="346"/>
      <c r="R528" s="169" t="s">
        <v>3928</v>
      </c>
      <c r="S528" s="169" t="s">
        <v>3927</v>
      </c>
    </row>
    <row r="529" spans="1:19" ht="13.95" customHeight="1" x14ac:dyDescent="0.25">
      <c r="A529" s="97" t="s">
        <v>364</v>
      </c>
      <c r="B529" s="98" t="s">
        <v>34</v>
      </c>
      <c r="C529" s="98" t="s">
        <v>2323</v>
      </c>
      <c r="D529" s="98" t="s">
        <v>2302</v>
      </c>
      <c r="E529" s="98" t="s">
        <v>2303</v>
      </c>
      <c r="F529" s="98" t="s">
        <v>2304</v>
      </c>
      <c r="G529" s="98">
        <v>559</v>
      </c>
      <c r="H529" s="98">
        <v>2465</v>
      </c>
      <c r="I529" s="98">
        <v>9198</v>
      </c>
      <c r="J529" s="99">
        <v>65487</v>
      </c>
      <c r="K529" s="98" t="s">
        <v>522</v>
      </c>
      <c r="L529" s="98" t="s">
        <v>1973</v>
      </c>
      <c r="P529" s="346"/>
      <c r="Q529" s="346"/>
      <c r="R529" s="169" t="s">
        <v>4298</v>
      </c>
      <c r="S529" s="128"/>
    </row>
    <row r="530" spans="1:19" ht="13.95" customHeight="1" x14ac:dyDescent="0.25">
      <c r="A530" s="23" t="s">
        <v>364</v>
      </c>
      <c r="B530" s="106" t="s">
        <v>4</v>
      </c>
      <c r="C530" s="106" t="s">
        <v>3256</v>
      </c>
      <c r="D530" s="106" t="s">
        <v>3212</v>
      </c>
      <c r="E530" s="106" t="s">
        <v>3213</v>
      </c>
      <c r="F530" s="106" t="s">
        <v>3214</v>
      </c>
      <c r="G530" s="106">
        <v>583</v>
      </c>
      <c r="H530" s="106">
        <v>200</v>
      </c>
      <c r="I530" s="106">
        <v>9198</v>
      </c>
      <c r="J530" s="31">
        <v>65487</v>
      </c>
      <c r="K530" s="13"/>
      <c r="L530" s="106" t="s">
        <v>1973</v>
      </c>
      <c r="P530" s="346"/>
      <c r="Q530" s="346"/>
      <c r="R530" s="169" t="s">
        <v>4660</v>
      </c>
      <c r="S530" s="128"/>
    </row>
    <row r="531" spans="1:19" ht="13.95" customHeight="1" x14ac:dyDescent="0.25">
      <c r="A531" s="117" t="s">
        <v>364</v>
      </c>
      <c r="B531" s="119" t="s">
        <v>35</v>
      </c>
      <c r="C531" s="120" t="s">
        <v>3048</v>
      </c>
      <c r="D531" s="119" t="s">
        <v>3023</v>
      </c>
      <c r="E531" s="119" t="s">
        <v>3024</v>
      </c>
      <c r="F531" s="119" t="s">
        <v>3025</v>
      </c>
      <c r="G531" s="119">
        <v>2500</v>
      </c>
      <c r="H531" s="119">
        <v>2</v>
      </c>
      <c r="I531" s="119">
        <v>9198</v>
      </c>
      <c r="J531" s="122">
        <v>65487</v>
      </c>
      <c r="K531" s="119"/>
      <c r="L531" s="119" t="s">
        <v>1973</v>
      </c>
      <c r="P531" s="346"/>
      <c r="Q531" s="346"/>
      <c r="R531" s="182" t="s">
        <v>4663</v>
      </c>
      <c r="S531" s="128"/>
    </row>
    <row r="532" spans="1:19" ht="13.95" customHeight="1" x14ac:dyDescent="0.25">
      <c r="A532" s="25" t="s">
        <v>364</v>
      </c>
      <c r="B532" s="7" t="s">
        <v>11</v>
      </c>
      <c r="C532" s="55" t="s">
        <v>1287</v>
      </c>
      <c r="D532" s="7" t="s">
        <v>1059</v>
      </c>
      <c r="E532" s="7" t="s">
        <v>1060</v>
      </c>
      <c r="F532" s="7" t="s">
        <v>1061</v>
      </c>
      <c r="G532" s="7">
        <v>557</v>
      </c>
      <c r="H532" s="7">
        <v>3100</v>
      </c>
      <c r="I532" s="7">
        <v>9198</v>
      </c>
      <c r="J532" s="34">
        <v>65487</v>
      </c>
      <c r="K532" s="7" t="s">
        <v>522</v>
      </c>
      <c r="L532" s="7" t="s">
        <v>1973</v>
      </c>
      <c r="P532" s="346"/>
      <c r="Q532" s="346"/>
      <c r="R532" s="208"/>
      <c r="S532" s="128"/>
    </row>
    <row r="533" spans="1:19" ht="13.95" customHeight="1" x14ac:dyDescent="0.25">
      <c r="A533" s="225" t="s">
        <v>364</v>
      </c>
      <c r="B533" s="226" t="s">
        <v>4946</v>
      </c>
      <c r="C533" s="226" t="s">
        <v>6837</v>
      </c>
      <c r="D533" s="226" t="s">
        <v>6708</v>
      </c>
      <c r="E533" s="226" t="s">
        <v>6709</v>
      </c>
      <c r="F533" s="226" t="s">
        <v>6710</v>
      </c>
      <c r="G533" s="226">
        <v>2571</v>
      </c>
      <c r="H533" s="226">
        <v>100</v>
      </c>
      <c r="I533" s="226">
        <v>9198</v>
      </c>
      <c r="J533" s="227">
        <v>65487</v>
      </c>
      <c r="K533" s="226"/>
      <c r="L533" s="226" t="s">
        <v>1973</v>
      </c>
      <c r="P533" s="346"/>
      <c r="Q533" s="346"/>
      <c r="R533" s="208"/>
      <c r="S533" s="128"/>
    </row>
    <row r="534" spans="1:19" ht="14.4" customHeight="1" x14ac:dyDescent="0.3">
      <c r="A534" s="21" t="s">
        <v>1988</v>
      </c>
      <c r="B534" s="18" t="s">
        <v>198</v>
      </c>
      <c r="C534" s="18" t="s">
        <v>1013</v>
      </c>
      <c r="D534" s="18" t="s">
        <v>241</v>
      </c>
      <c r="E534" s="18" t="s">
        <v>240</v>
      </c>
      <c r="F534" s="18" t="s">
        <v>242</v>
      </c>
      <c r="G534" s="18"/>
      <c r="H534" s="18">
        <v>6</v>
      </c>
      <c r="I534" s="18">
        <v>29355</v>
      </c>
      <c r="J534" s="33">
        <v>65487</v>
      </c>
      <c r="K534" s="18" t="s">
        <v>522</v>
      </c>
      <c r="L534" s="18" t="s">
        <v>1974</v>
      </c>
      <c r="P534">
        <v>6</v>
      </c>
      <c r="Q534" s="303">
        <f>P534*100%/(1000)</f>
        <v>6.0000000000000001E-3</v>
      </c>
      <c r="R534" s="3"/>
      <c r="S534" s="128"/>
    </row>
    <row r="535" spans="1:19" x14ac:dyDescent="0.3">
      <c r="A535" s="336"/>
      <c r="B535" s="337"/>
      <c r="C535" s="338"/>
      <c r="D535" s="337"/>
      <c r="E535" s="337"/>
      <c r="F535" s="337"/>
      <c r="G535" s="337"/>
      <c r="H535" s="339">
        <f>SUBTOTAL(109,Table1[Capacity, Mbps])</f>
        <v>959313</v>
      </c>
      <c r="I535" s="337"/>
      <c r="J535" s="340"/>
      <c r="K535" s="44"/>
      <c r="L535" s="338"/>
      <c r="R535" s="3"/>
      <c r="S535" s="128"/>
    </row>
    <row r="536" spans="1:19" x14ac:dyDescent="0.3">
      <c r="S536" s="128"/>
    </row>
    <row r="537" spans="1:19" x14ac:dyDescent="0.3">
      <c r="S537" s="128"/>
    </row>
    <row r="538" spans="1:19" x14ac:dyDescent="0.3">
      <c r="S538" s="128"/>
    </row>
    <row r="539" spans="1:19" x14ac:dyDescent="0.3">
      <c r="S539" s="128"/>
    </row>
    <row r="540" spans="1:19" x14ac:dyDescent="0.3">
      <c r="S540" s="128"/>
    </row>
    <row r="547" spans="18:18" x14ac:dyDescent="0.3">
      <c r="R547" s="3" t="s">
        <v>5437</v>
      </c>
    </row>
  </sheetData>
  <mergeCells count="96">
    <mergeCell ref="P468:P474"/>
    <mergeCell ref="Q468:Q474"/>
    <mergeCell ref="P493:P503"/>
    <mergeCell ref="Q493:Q503"/>
    <mergeCell ref="P504:P514"/>
    <mergeCell ref="Q504:Q514"/>
    <mergeCell ref="Q404:Q415"/>
    <mergeCell ref="P428:P436"/>
    <mergeCell ref="P437:P448"/>
    <mergeCell ref="P461:P467"/>
    <mergeCell ref="Q461:Q467"/>
    <mergeCell ref="P404:P415"/>
    <mergeCell ref="Q373:Q381"/>
    <mergeCell ref="P382:P388"/>
    <mergeCell ref="Q382:Q388"/>
    <mergeCell ref="P389:P401"/>
    <mergeCell ref="Q389:Q401"/>
    <mergeCell ref="P373:P381"/>
    <mergeCell ref="Q340:Q351"/>
    <mergeCell ref="P352:P363"/>
    <mergeCell ref="Q352:Q363"/>
    <mergeCell ref="P364:P372"/>
    <mergeCell ref="Q364:Q372"/>
    <mergeCell ref="P340:P351"/>
    <mergeCell ref="P278:P286"/>
    <mergeCell ref="Q278:Q286"/>
    <mergeCell ref="P287:P296"/>
    <mergeCell ref="Q287:Q296"/>
    <mergeCell ref="P324:P337"/>
    <mergeCell ref="Q324:Q337"/>
    <mergeCell ref="Q307:Q321"/>
    <mergeCell ref="P307:P321"/>
    <mergeCell ref="Q297:Q306"/>
    <mergeCell ref="P297:P306"/>
    <mergeCell ref="P230:P239"/>
    <mergeCell ref="Q230:Q239"/>
    <mergeCell ref="P240:P251"/>
    <mergeCell ref="Q254:Q265"/>
    <mergeCell ref="Q268:Q277"/>
    <mergeCell ref="Q240:Q251"/>
    <mergeCell ref="P254:P265"/>
    <mergeCell ref="P268:P277"/>
    <mergeCell ref="P199:P209"/>
    <mergeCell ref="Q199:Q209"/>
    <mergeCell ref="P210:P219"/>
    <mergeCell ref="Q210:Q219"/>
    <mergeCell ref="P220:P229"/>
    <mergeCell ref="Q220:Q229"/>
    <mergeCell ref="Q70:Q75"/>
    <mergeCell ref="P99:P106"/>
    <mergeCell ref="Q99:Q106"/>
    <mergeCell ref="Q107:Q112"/>
    <mergeCell ref="P132:P137"/>
    <mergeCell ref="Q132:Q137"/>
    <mergeCell ref="P107:P112"/>
    <mergeCell ref="P70:P75"/>
    <mergeCell ref="Q12:Q21"/>
    <mergeCell ref="P22:P31"/>
    <mergeCell ref="Q22:Q31"/>
    <mergeCell ref="Q32:Q41"/>
    <mergeCell ref="P42:P69"/>
    <mergeCell ref="Q42:Q69"/>
    <mergeCell ref="P12:P21"/>
    <mergeCell ref="P32:P41"/>
    <mergeCell ref="P521:P526"/>
    <mergeCell ref="Q521:Q526"/>
    <mergeCell ref="P138:P154"/>
    <mergeCell ref="Q138:Q154"/>
    <mergeCell ref="P76:P98"/>
    <mergeCell ref="Q76:Q98"/>
    <mergeCell ref="P113:P131"/>
    <mergeCell ref="Q113:Q131"/>
    <mergeCell ref="P155:P160"/>
    <mergeCell ref="Q155:Q160"/>
    <mergeCell ref="Q176:Q189"/>
    <mergeCell ref="P190:P198"/>
    <mergeCell ref="Q190:Q198"/>
    <mergeCell ref="P176:P189"/>
    <mergeCell ref="Q161:Q175"/>
    <mergeCell ref="P161:P175"/>
    <mergeCell ref="Q2:Q11"/>
    <mergeCell ref="P2:P11"/>
    <mergeCell ref="P527:P533"/>
    <mergeCell ref="Q527:Q533"/>
    <mergeCell ref="P418:P427"/>
    <mergeCell ref="Q418:Q427"/>
    <mergeCell ref="Q437:Q448"/>
    <mergeCell ref="P449:P459"/>
    <mergeCell ref="Q449:Q459"/>
    <mergeCell ref="Q428:Q436"/>
    <mergeCell ref="P515:P520"/>
    <mergeCell ref="Q515:Q520"/>
    <mergeCell ref="P475:P484"/>
    <mergeCell ref="Q475:Q484"/>
    <mergeCell ref="P485:P492"/>
    <mergeCell ref="Q485:Q492"/>
  </mergeCells>
  <phoneticPr fontId="0" type="noConversion"/>
  <conditionalFormatting sqref="J52 J311 J396 J248 J220 J341 J240:J241 J200:J201 J294 J314 J373 J377 J379">
    <cfRule type="cellIs" dxfId="340" priority="618" stopIfTrue="1" operator="lessThan">
      <formula>80%</formula>
    </cfRule>
  </conditionalFormatting>
  <conditionalFormatting sqref="J441 J173 J137 J323 J30 J209 J219">
    <cfRule type="cellIs" dxfId="339" priority="582" stopIfTrue="1" operator="lessThan">
      <formula>100</formula>
    </cfRule>
  </conditionalFormatting>
  <conditionalFormatting sqref="J344">
    <cfRule type="cellIs" dxfId="338" priority="578" stopIfTrue="1" operator="lessThan">
      <formula>100</formula>
    </cfRule>
  </conditionalFormatting>
  <conditionalFormatting sqref="J437 J420 J376 J366 J313 J287 J273">
    <cfRule type="cellIs" dxfId="337" priority="577" stopIfTrue="1" operator="lessThan">
      <formula>100</formula>
    </cfRule>
  </conditionalFormatting>
  <conditionalFormatting sqref="J116">
    <cfRule type="cellIs" dxfId="336" priority="576" stopIfTrue="1" operator="lessThan">
      <formula>100</formula>
    </cfRule>
  </conditionalFormatting>
  <conditionalFormatting sqref="J274">
    <cfRule type="cellIs" dxfId="335" priority="575" stopIfTrue="1" operator="lessThan">
      <formula>100</formula>
    </cfRule>
  </conditionalFormatting>
  <conditionalFormatting sqref="J291">
    <cfRule type="cellIs" dxfId="334" priority="574" stopIfTrue="1" operator="lessThan">
      <formula>100</formula>
    </cfRule>
  </conditionalFormatting>
  <conditionalFormatting sqref="J424">
    <cfRule type="cellIs" dxfId="333" priority="571" stopIfTrue="1" operator="lessThan">
      <formula>100</formula>
    </cfRule>
  </conditionalFormatting>
  <conditionalFormatting sqref="J389">
    <cfRule type="cellIs" dxfId="332" priority="566" stopIfTrue="1" operator="lessThan">
      <formula>100</formula>
    </cfRule>
  </conditionalFormatting>
  <conditionalFormatting sqref="J422">
    <cfRule type="cellIs" dxfId="331" priority="567" stopIfTrue="1" operator="lessThan">
      <formula>100</formula>
    </cfRule>
  </conditionalFormatting>
  <conditionalFormatting sqref="J348">
    <cfRule type="cellIs" dxfId="330" priority="565" stopIfTrue="1" operator="lessThan">
      <formula>100</formula>
    </cfRule>
  </conditionalFormatting>
  <conditionalFormatting sqref="J309">
    <cfRule type="cellIs" dxfId="329" priority="564" stopIfTrue="1" operator="lessThan">
      <formula>100</formula>
    </cfRule>
  </conditionalFormatting>
  <conditionalFormatting sqref="J288">
    <cfRule type="cellIs" dxfId="328" priority="563" stopIfTrue="1" operator="lessThan">
      <formula>100</formula>
    </cfRule>
  </conditionalFormatting>
  <conditionalFormatting sqref="J269">
    <cfRule type="cellIs" dxfId="327" priority="562" stopIfTrue="1" operator="lessThan">
      <formula>100</formula>
    </cfRule>
  </conditionalFormatting>
  <conditionalFormatting sqref="J242">
    <cfRule type="cellIs" dxfId="326" priority="561" stopIfTrue="1" operator="lessThan">
      <formula>100</formula>
    </cfRule>
  </conditionalFormatting>
  <conditionalFormatting sqref="J221">
    <cfRule type="cellIs" dxfId="325" priority="560" stopIfTrue="1" operator="lessThan">
      <formula>100</formula>
    </cfRule>
  </conditionalFormatting>
  <conditionalFormatting sqref="J342">
    <cfRule type="cellIs" dxfId="324" priority="555" stopIfTrue="1" operator="lessThan">
      <formula>100</formula>
    </cfRule>
  </conditionalFormatting>
  <conditionalFormatting sqref="J120">
    <cfRule type="cellIs" dxfId="323" priority="550" stopIfTrue="1" operator="lessThan">
      <formula>100</formula>
    </cfRule>
  </conditionalFormatting>
  <conditionalFormatting sqref="J121">
    <cfRule type="cellIs" dxfId="322" priority="548" stopIfTrue="1" operator="lessThan">
      <formula>100</formula>
    </cfRule>
  </conditionalFormatting>
  <conditionalFormatting sqref="J345">
    <cfRule type="cellIs" dxfId="321" priority="547" stopIfTrue="1" operator="lessThan">
      <formula>100</formula>
    </cfRule>
  </conditionalFormatting>
  <conditionalFormatting sqref="J481">
    <cfRule type="cellIs" dxfId="320" priority="545" stopIfTrue="1" operator="lessThan">
      <formula>100</formula>
    </cfRule>
  </conditionalFormatting>
  <conditionalFormatting sqref="N3:O3">
    <cfRule type="cellIs" dxfId="319" priority="619" operator="greaterThan">
      <formula>#REF!-20%</formula>
    </cfRule>
  </conditionalFormatting>
  <conditionalFormatting sqref="J122">
    <cfRule type="cellIs" dxfId="318" priority="621" stopIfTrue="1" operator="lessThan">
      <formula>80%</formula>
    </cfRule>
  </conditionalFormatting>
  <conditionalFormatting sqref="J477">
    <cfRule type="cellIs" dxfId="317" priority="422" stopIfTrue="1" operator="lessThan">
      <formula>100</formula>
    </cfRule>
  </conditionalFormatting>
  <conditionalFormatting sqref="J532 J534">
    <cfRule type="cellIs" dxfId="316" priority="413" stopIfTrue="1" operator="lessThan">
      <formula>100</formula>
    </cfRule>
  </conditionalFormatting>
  <conditionalFormatting sqref="J125">
    <cfRule type="cellIs" dxfId="315" priority="406" stopIfTrue="1" operator="lessThan">
      <formula>80%</formula>
    </cfRule>
  </conditionalFormatting>
  <conditionalFormatting sqref="J368">
    <cfRule type="cellIs" dxfId="314" priority="352" stopIfTrue="1" operator="lessThan">
      <formula>100</formula>
    </cfRule>
  </conditionalFormatting>
  <conditionalFormatting sqref="J128">
    <cfRule type="cellIs" dxfId="313" priority="307" stopIfTrue="1" operator="lessThan">
      <formula>100</formula>
    </cfRule>
  </conditionalFormatting>
  <conditionalFormatting sqref="J169">
    <cfRule type="cellIs" dxfId="312" priority="306" stopIfTrue="1" operator="lessThan">
      <formula>100</formula>
    </cfRule>
  </conditionalFormatting>
  <conditionalFormatting sqref="J349">
    <cfRule type="cellIs" dxfId="311" priority="303" stopIfTrue="1" operator="lessThan">
      <formula>100</formula>
    </cfRule>
  </conditionalFormatting>
  <conditionalFormatting sqref="J350">
    <cfRule type="cellIs" dxfId="310" priority="623" stopIfTrue="1" operator="lessThan">
      <formula>100</formula>
    </cfRule>
  </conditionalFormatting>
  <conditionalFormatting sqref="J228">
    <cfRule type="cellIs" dxfId="309" priority="291" stopIfTrue="1" operator="lessThan">
      <formula>100</formula>
    </cfRule>
  </conditionalFormatting>
  <conditionalFormatting sqref="J62">
    <cfRule type="cellIs" dxfId="308" priority="625" stopIfTrue="1" operator="lessThan">
      <formula>100</formula>
    </cfRule>
  </conditionalFormatting>
  <conditionalFormatting sqref="J170">
    <cfRule type="cellIs" dxfId="307" priority="626" stopIfTrue="1" operator="lessThan">
      <formula>100</formula>
    </cfRule>
  </conditionalFormatting>
  <conditionalFormatting sqref="J133">
    <cfRule type="cellIs" dxfId="306" priority="267" stopIfTrue="1" operator="lessThan">
      <formula>100</formula>
    </cfRule>
  </conditionalFormatting>
  <conditionalFormatting sqref="J253">
    <cfRule type="cellIs" dxfId="305" priority="627" stopIfTrue="1" operator="lessThan">
      <formula>100</formula>
    </cfRule>
  </conditionalFormatting>
  <conditionalFormatting sqref="J267">
    <cfRule type="cellIs" dxfId="304" priority="628" stopIfTrue="1" operator="lessThan">
      <formula>100</formula>
    </cfRule>
  </conditionalFormatting>
  <conditionalFormatting sqref="J339">
    <cfRule type="cellIs" dxfId="303" priority="262" stopIfTrue="1" operator="lessThan">
      <formula>100</formula>
    </cfRule>
  </conditionalFormatting>
  <conditionalFormatting sqref="J403">
    <cfRule type="cellIs" dxfId="302" priority="630" stopIfTrue="1" operator="lessThan">
      <formula>100</formula>
    </cfRule>
  </conditionalFormatting>
  <conditionalFormatting sqref="J417">
    <cfRule type="cellIs" dxfId="301" priority="260" stopIfTrue="1" operator="lessThan">
      <formula>100</formula>
    </cfRule>
  </conditionalFormatting>
  <conditionalFormatting sqref="J71:J75">
    <cfRule type="cellIs" dxfId="300" priority="631" stopIfTrue="1" operator="lessThan">
      <formula>100</formula>
    </cfRule>
  </conditionalFormatting>
  <conditionalFormatting sqref="J108:J112">
    <cfRule type="cellIs" dxfId="299" priority="632" stopIfTrue="1" operator="lessThan">
      <formula>100</formula>
    </cfRule>
  </conditionalFormatting>
  <conditionalFormatting sqref="J207">
    <cfRule type="cellIs" dxfId="298" priority="633" stopIfTrue="1" operator="lessThan">
      <formula>100</formula>
    </cfRule>
  </conditionalFormatting>
  <conditionalFormatting sqref="J466">
    <cfRule type="cellIs" dxfId="297" priority="245" stopIfTrue="1" operator="lessThan">
      <formula>100</formula>
    </cfRule>
  </conditionalFormatting>
  <conditionalFormatting sqref="J398">
    <cfRule type="cellIs" dxfId="296" priority="634" stopIfTrue="1" operator="lessThan">
      <formula>100</formula>
    </cfRule>
  </conditionalFormatting>
  <conditionalFormatting sqref="J250">
    <cfRule type="cellIs" dxfId="295" priority="237" stopIfTrue="1" operator="lessThan">
      <formula>100</formula>
    </cfRule>
  </conditionalFormatting>
  <conditionalFormatting sqref="J199">
    <cfRule type="cellIs" dxfId="294" priority="635" stopIfTrue="1" operator="lessThan">
      <formula>80%</formula>
    </cfRule>
  </conditionalFormatting>
  <conditionalFormatting sqref="J100">
    <cfRule type="cellIs" dxfId="293" priority="219" stopIfTrue="1" operator="lessThan">
      <formula>100</formula>
    </cfRule>
  </conditionalFormatting>
  <conditionalFormatting sqref="J101">
    <cfRule type="cellIs" dxfId="292" priority="636" stopIfTrue="1" operator="lessThan">
      <formula>100</formula>
    </cfRule>
  </conditionalFormatting>
  <conditionalFormatting sqref="J399">
    <cfRule type="cellIs" dxfId="291" priority="213" stopIfTrue="1" operator="lessThan">
      <formula>100</formula>
    </cfRule>
  </conditionalFormatting>
  <conditionalFormatting sqref="J129">
    <cfRule type="cellIs" dxfId="290" priority="212" stopIfTrue="1" operator="lessThan">
      <formula>100</formula>
    </cfRule>
  </conditionalFormatting>
  <conditionalFormatting sqref="J63">
    <cfRule type="cellIs" dxfId="289" priority="210" stopIfTrue="1" operator="lessThan">
      <formula>100</formula>
    </cfRule>
  </conditionalFormatting>
  <conditionalFormatting sqref="J134">
    <cfRule type="cellIs" dxfId="288" priority="207" stopIfTrue="1" operator="lessThan">
      <formula>100</formula>
    </cfRule>
  </conditionalFormatting>
  <conditionalFormatting sqref="J135">
    <cfRule type="cellIs" dxfId="287" priority="206" stopIfTrue="1" operator="lessThan">
      <formula>100</formula>
    </cfRule>
  </conditionalFormatting>
  <conditionalFormatting sqref="J136">
    <cfRule type="cellIs" dxfId="286" priority="205" stopIfTrue="1" operator="lessThan">
      <formula>100</formula>
    </cfRule>
  </conditionalFormatting>
  <conditionalFormatting sqref="J157">
    <cfRule type="cellIs" dxfId="285" priority="201" stopIfTrue="1" operator="lessThan">
      <formula>100</formula>
    </cfRule>
  </conditionalFormatting>
  <conditionalFormatting sqref="J158">
    <cfRule type="cellIs" dxfId="284" priority="200" stopIfTrue="1" operator="lessThan">
      <formula>100</formula>
    </cfRule>
  </conditionalFormatting>
  <conditionalFormatting sqref="J159">
    <cfRule type="cellIs" dxfId="283" priority="199" stopIfTrue="1" operator="lessThan">
      <formula>100</formula>
    </cfRule>
  </conditionalFormatting>
  <conditionalFormatting sqref="J160">
    <cfRule type="cellIs" dxfId="282" priority="198" stopIfTrue="1" operator="lessThan">
      <formula>100</formula>
    </cfRule>
  </conditionalFormatting>
  <conditionalFormatting sqref="J501">
    <cfRule type="cellIs" dxfId="281" priority="190" stopIfTrue="1" operator="lessThan">
      <formula>100</formula>
    </cfRule>
  </conditionalFormatting>
  <conditionalFormatting sqref="J519:J520">
    <cfRule type="cellIs" dxfId="280" priority="189" stopIfTrue="1" operator="lessThan">
      <formula>100</formula>
    </cfRule>
  </conditionalFormatting>
  <conditionalFormatting sqref="J447">
    <cfRule type="cellIs" dxfId="279" priority="188" stopIfTrue="1" operator="lessThan">
      <formula>100</formula>
    </cfRule>
  </conditionalFormatting>
  <conditionalFormatting sqref="J196">
    <cfRule type="cellIs" dxfId="278" priority="185" stopIfTrue="1" operator="lessThan">
      <formula>100</formula>
    </cfRule>
  </conditionalFormatting>
  <conditionalFormatting sqref="J295">
    <cfRule type="cellIs" dxfId="277" priority="183" stopIfTrue="1" operator="lessThan">
      <formula>100</formula>
    </cfRule>
  </conditionalFormatting>
  <conditionalFormatting sqref="J380">
    <cfRule type="cellIs" dxfId="276" priority="182" stopIfTrue="1" operator="lessThan">
      <formula>100</formula>
    </cfRule>
  </conditionalFormatting>
  <conditionalFormatting sqref="J319">
    <cfRule type="cellIs" dxfId="275" priority="181" stopIfTrue="1" operator="lessThan">
      <formula>100</formula>
    </cfRule>
  </conditionalFormatting>
  <conditionalFormatting sqref="J425:J426">
    <cfRule type="cellIs" dxfId="274" priority="180" stopIfTrue="1" operator="lessThan">
      <formula>100</formula>
    </cfRule>
  </conditionalFormatting>
  <conditionalFormatting sqref="J276">
    <cfRule type="cellIs" dxfId="273" priority="177" stopIfTrue="1" operator="lessThan">
      <formula>100</formula>
    </cfRule>
  </conditionalFormatting>
  <conditionalFormatting sqref="J197">
    <cfRule type="cellIs" dxfId="272" priority="175" stopIfTrue="1" operator="lessThan">
      <formula>80%</formula>
    </cfRule>
  </conditionalFormatting>
  <conditionalFormatting sqref="J482">
    <cfRule type="cellIs" dxfId="271" priority="172" stopIfTrue="1" operator="lessThan">
      <formula>100</formula>
    </cfRule>
  </conditionalFormatting>
  <conditionalFormatting sqref="J130">
    <cfRule type="cellIs" dxfId="270" priority="173" stopIfTrue="1" operator="lessThan">
      <formula>100</formula>
    </cfRule>
  </conditionalFormatting>
  <conditionalFormatting sqref="J411">
    <cfRule type="cellIs" dxfId="269" priority="170" stopIfTrue="1" operator="lessThan">
      <formula>80%</formula>
    </cfRule>
  </conditionalFormatting>
  <conditionalFormatting sqref="J404">
    <cfRule type="cellIs" dxfId="268" priority="169" stopIfTrue="1" operator="lessThan">
      <formula>100</formula>
    </cfRule>
  </conditionalFormatting>
  <conditionalFormatting sqref="J414">
    <cfRule type="cellIs" dxfId="267" priority="168" stopIfTrue="1" operator="lessThan">
      <formula>100</formula>
    </cfRule>
  </conditionalFormatting>
  <conditionalFormatting sqref="J188">
    <cfRule type="cellIs" dxfId="266" priority="166" stopIfTrue="1" operator="lessThan">
      <formula>100</formula>
    </cfRule>
  </conditionalFormatting>
  <conditionalFormatting sqref="J184">
    <cfRule type="cellIs" dxfId="265" priority="165" stopIfTrue="1" operator="lessThan">
      <formula>100</formula>
    </cfRule>
  </conditionalFormatting>
  <conditionalFormatting sqref="J185">
    <cfRule type="cellIs" dxfId="264" priority="167" stopIfTrue="1" operator="lessThan">
      <formula>100</formula>
    </cfRule>
  </conditionalFormatting>
  <conditionalFormatting sqref="J413">
    <cfRule type="cellIs" dxfId="263" priority="164" stopIfTrue="1" operator="lessThan">
      <formula>100</formula>
    </cfRule>
  </conditionalFormatting>
  <conditionalFormatting sqref="J141">
    <cfRule type="cellIs" dxfId="262" priority="162" stopIfTrue="1" operator="lessThan">
      <formula>100</formula>
    </cfRule>
  </conditionalFormatting>
  <conditionalFormatting sqref="J145">
    <cfRule type="cellIs" dxfId="261" priority="161" stopIfTrue="1" operator="lessThan">
      <formula>100</formula>
    </cfRule>
  </conditionalFormatting>
  <conditionalFormatting sqref="J146">
    <cfRule type="cellIs" dxfId="260" priority="160" stopIfTrue="1" operator="lessThan">
      <formula>100</formula>
    </cfRule>
  </conditionalFormatting>
  <conditionalFormatting sqref="J147">
    <cfRule type="cellIs" dxfId="259" priority="163" stopIfTrue="1" operator="lessThan">
      <formula>80%</formula>
    </cfRule>
  </conditionalFormatting>
  <conditionalFormatting sqref="J150">
    <cfRule type="cellIs" dxfId="258" priority="159" stopIfTrue="1" operator="lessThan">
      <formula>80%</formula>
    </cfRule>
  </conditionalFormatting>
  <conditionalFormatting sqref="J153">
    <cfRule type="cellIs" dxfId="257" priority="158" stopIfTrue="1" operator="lessThan">
      <formula>100</formula>
    </cfRule>
  </conditionalFormatting>
  <conditionalFormatting sqref="J328 J331">
    <cfRule type="cellIs" dxfId="256" priority="157" stopIfTrue="1" operator="lessThan">
      <formula>80%</formula>
    </cfRule>
  </conditionalFormatting>
  <conditionalFormatting sqref="J330">
    <cfRule type="cellIs" dxfId="255" priority="156" stopIfTrue="1" operator="lessThan">
      <formula>100</formula>
    </cfRule>
  </conditionalFormatting>
  <conditionalFormatting sqref="J326">
    <cfRule type="cellIs" dxfId="254" priority="155" stopIfTrue="1" operator="lessThan">
      <formula>100</formula>
    </cfRule>
  </conditionalFormatting>
  <conditionalFormatting sqref="J336">
    <cfRule type="cellIs" dxfId="253" priority="154" stopIfTrue="1" operator="lessThan">
      <formula>100</formula>
    </cfRule>
  </conditionalFormatting>
  <conditionalFormatting sqref="J40">
    <cfRule type="cellIs" dxfId="252" priority="637" stopIfTrue="1" operator="lessThan">
      <formula>100</formula>
    </cfRule>
  </conditionalFormatting>
  <conditionalFormatting sqref="J382 J386 J388">
    <cfRule type="cellIs" dxfId="251" priority="143" stopIfTrue="1" operator="lessThan">
      <formula>80%</formula>
    </cfRule>
  </conditionalFormatting>
  <conditionalFormatting sqref="J385">
    <cfRule type="cellIs" dxfId="250" priority="638" stopIfTrue="1" operator="lessThan">
      <formula>100</formula>
    </cfRule>
  </conditionalFormatting>
  <conditionalFormatting sqref="J304">
    <cfRule type="cellIs" dxfId="249" priority="639" stopIfTrue="1" operator="lessThan">
      <formula>80%</formula>
    </cfRule>
  </conditionalFormatting>
  <conditionalFormatting sqref="J297">
    <cfRule type="cellIs" dxfId="248" priority="139" stopIfTrue="1" operator="lessThan">
      <formula>100</formula>
    </cfRule>
  </conditionalFormatting>
  <conditionalFormatting sqref="J301">
    <cfRule type="cellIs" dxfId="247" priority="640" stopIfTrue="1" operator="lessThan">
      <formula>100</formula>
    </cfRule>
  </conditionalFormatting>
  <conditionalFormatting sqref="J298">
    <cfRule type="cellIs" dxfId="246" priority="137" stopIfTrue="1" operator="lessThan">
      <formula>100</formula>
    </cfRule>
  </conditionalFormatting>
  <conditionalFormatting sqref="J305">
    <cfRule type="cellIs" dxfId="245" priority="136" stopIfTrue="1" operator="lessThan">
      <formula>100</formula>
    </cfRule>
  </conditionalFormatting>
  <conditionalFormatting sqref="J430">
    <cfRule type="cellIs" dxfId="244" priority="135" stopIfTrue="1" operator="lessThan">
      <formula>100</formula>
    </cfRule>
  </conditionalFormatting>
  <conditionalFormatting sqref="J434">
    <cfRule type="cellIs" dxfId="243" priority="134" stopIfTrue="1" operator="lessThan">
      <formula>100</formula>
    </cfRule>
  </conditionalFormatting>
  <conditionalFormatting sqref="J432">
    <cfRule type="cellIs" dxfId="242" priority="133" stopIfTrue="1" operator="lessThan">
      <formula>100</formula>
    </cfRule>
  </conditionalFormatting>
  <conditionalFormatting sqref="J435">
    <cfRule type="cellIs" dxfId="241" priority="132" stopIfTrue="1" operator="lessThan">
      <formula>100</formula>
    </cfRule>
  </conditionalFormatting>
  <conditionalFormatting sqref="J361">
    <cfRule type="cellIs" dxfId="240" priority="124" stopIfTrue="1" operator="lessThan">
      <formula>100</formula>
    </cfRule>
  </conditionalFormatting>
  <conditionalFormatting sqref="J353">
    <cfRule type="cellIs" dxfId="239" priority="129" stopIfTrue="1" operator="lessThan">
      <formula>80%</formula>
    </cfRule>
  </conditionalFormatting>
  <conditionalFormatting sqref="J356">
    <cfRule type="cellIs" dxfId="238" priority="128" stopIfTrue="1" operator="lessThan">
      <formula>100</formula>
    </cfRule>
  </conditionalFormatting>
  <conditionalFormatting sqref="J360">
    <cfRule type="cellIs" dxfId="237" priority="127" stopIfTrue="1" operator="lessThan">
      <formula>100</formula>
    </cfRule>
  </conditionalFormatting>
  <conditionalFormatting sqref="J354">
    <cfRule type="cellIs" dxfId="236" priority="126" stopIfTrue="1" operator="lessThan">
      <formula>100</formula>
    </cfRule>
  </conditionalFormatting>
  <conditionalFormatting sqref="J357">
    <cfRule type="cellIs" dxfId="235" priority="125" stopIfTrue="1" operator="lessThan">
      <formula>100</formula>
    </cfRule>
  </conditionalFormatting>
  <conditionalFormatting sqref="J264">
    <cfRule type="cellIs" dxfId="234" priority="121" stopIfTrue="1" operator="lessThan">
      <formula>100</formula>
    </cfRule>
  </conditionalFormatting>
  <conditionalFormatting sqref="J362">
    <cfRule type="cellIs" dxfId="233" priority="130" stopIfTrue="1" operator="lessThan">
      <formula>100</formula>
    </cfRule>
  </conditionalFormatting>
  <conditionalFormatting sqref="J262 J254:J255">
    <cfRule type="cellIs" dxfId="232" priority="123" stopIfTrue="1" operator="lessThan">
      <formula>80%</formula>
    </cfRule>
  </conditionalFormatting>
  <conditionalFormatting sqref="J256">
    <cfRule type="cellIs" dxfId="231" priority="122" stopIfTrue="1" operator="lessThan">
      <formula>100</formula>
    </cfRule>
  </conditionalFormatting>
  <conditionalFormatting sqref="J230">
    <cfRule type="cellIs" dxfId="230" priority="120" stopIfTrue="1" operator="lessThan">
      <formula>80%</formula>
    </cfRule>
  </conditionalFormatting>
  <conditionalFormatting sqref="J231">
    <cfRule type="cellIs" dxfId="229" priority="119" stopIfTrue="1" operator="lessThan">
      <formula>100</formula>
    </cfRule>
  </conditionalFormatting>
  <conditionalFormatting sqref="J238">
    <cfRule type="cellIs" dxfId="228" priority="118" stopIfTrue="1" operator="lessThan">
      <formula>100</formula>
    </cfRule>
  </conditionalFormatting>
  <conditionalFormatting sqref="J283">
    <cfRule type="cellIs" dxfId="227" priority="117" stopIfTrue="1" operator="lessThan">
      <formula>100</formula>
    </cfRule>
  </conditionalFormatting>
  <conditionalFormatting sqref="J284">
    <cfRule type="cellIs" dxfId="226" priority="116" stopIfTrue="1" operator="lessThan">
      <formula>100</formula>
    </cfRule>
  </conditionalFormatting>
  <conditionalFormatting sqref="J279">
    <cfRule type="cellIs" dxfId="225" priority="115" stopIfTrue="1" operator="lessThan">
      <formula>100</formula>
    </cfRule>
  </conditionalFormatting>
  <conditionalFormatting sqref="J286">
    <cfRule type="cellIs" dxfId="224" priority="114" stopIfTrue="1" operator="lessThan">
      <formula>100</formula>
    </cfRule>
  </conditionalFormatting>
  <conditionalFormatting sqref="J483">
    <cfRule type="cellIs" dxfId="223" priority="111" stopIfTrue="1" operator="lessThan">
      <formula>100</formula>
    </cfRule>
  </conditionalFormatting>
  <conditionalFormatting sqref="J102">
    <cfRule type="cellIs" dxfId="222" priority="109" stopIfTrue="1" operator="lessThan">
      <formula>100</formula>
    </cfRule>
  </conditionalFormatting>
  <conditionalFormatting sqref="J103">
    <cfRule type="cellIs" dxfId="221" priority="110" stopIfTrue="1" operator="lessThan">
      <formula>100</formula>
    </cfRule>
  </conditionalFormatting>
  <conditionalFormatting sqref="J86">
    <cfRule type="cellIs" dxfId="220" priority="107" stopIfTrue="1" operator="lessThan">
      <formula>80%</formula>
    </cfRule>
  </conditionalFormatting>
  <conditionalFormatting sqref="J91">
    <cfRule type="cellIs" dxfId="219" priority="108" stopIfTrue="1" operator="lessThan">
      <formula>100</formula>
    </cfRule>
  </conditionalFormatting>
  <conditionalFormatting sqref="J92">
    <cfRule type="cellIs" dxfId="218" priority="106" stopIfTrue="1" operator="lessThan">
      <formula>100</formula>
    </cfRule>
  </conditionalFormatting>
  <conditionalFormatting sqref="J453">
    <cfRule type="cellIs" dxfId="217" priority="103" stopIfTrue="1" operator="lessThan">
      <formula>100</formula>
    </cfRule>
  </conditionalFormatting>
  <conditionalFormatting sqref="J449">
    <cfRule type="cellIs" dxfId="216" priority="102" stopIfTrue="1" operator="lessThan">
      <formula>100</formula>
    </cfRule>
  </conditionalFormatting>
  <conditionalFormatting sqref="J459">
    <cfRule type="cellIs" dxfId="215" priority="101" stopIfTrue="1" operator="lessThan">
      <formula>100</formula>
    </cfRule>
  </conditionalFormatting>
  <conditionalFormatting sqref="J490">
    <cfRule type="cellIs" dxfId="214" priority="100" stopIfTrue="1" operator="lessThan">
      <formula>100</formula>
    </cfRule>
  </conditionalFormatting>
  <conditionalFormatting sqref="J486">
    <cfRule type="cellIs" dxfId="213" priority="99" stopIfTrue="1" operator="lessThan">
      <formula>100</formula>
    </cfRule>
  </conditionalFormatting>
  <conditionalFormatting sqref="J492">
    <cfRule type="cellIs" dxfId="212" priority="98" stopIfTrue="1" operator="lessThan">
      <formula>100</formula>
    </cfRule>
  </conditionalFormatting>
  <conditionalFormatting sqref="J11">
    <cfRule type="cellIs" dxfId="211" priority="96" stopIfTrue="1" operator="lessThan">
      <formula>100</formula>
    </cfRule>
  </conditionalFormatting>
  <conditionalFormatting sqref="J31">
    <cfRule type="cellIs" dxfId="210" priority="95" stopIfTrue="1" operator="lessThan">
      <formula>100</formula>
    </cfRule>
  </conditionalFormatting>
  <conditionalFormatting sqref="J41">
    <cfRule type="cellIs" dxfId="209" priority="94" stopIfTrue="1" operator="lessThan">
      <formula>100</formula>
    </cfRule>
  </conditionalFormatting>
  <conditionalFormatting sqref="J154">
    <cfRule type="cellIs" dxfId="208" priority="93" stopIfTrue="1" operator="lessThan">
      <formula>100</formula>
    </cfRule>
  </conditionalFormatting>
  <conditionalFormatting sqref="J175">
    <cfRule type="cellIs" dxfId="207" priority="92" stopIfTrue="1" operator="lessThan">
      <formula>100</formula>
    </cfRule>
  </conditionalFormatting>
  <conditionalFormatting sqref="J189">
    <cfRule type="cellIs" dxfId="206" priority="91" stopIfTrue="1" operator="lessThan">
      <formula>100</formula>
    </cfRule>
  </conditionalFormatting>
  <conditionalFormatting sqref="J229">
    <cfRule type="cellIs" dxfId="205" priority="89" stopIfTrue="1" operator="lessThan">
      <formula>100</formula>
    </cfRule>
  </conditionalFormatting>
  <conditionalFormatting sqref="J239">
    <cfRule type="cellIs" dxfId="204" priority="88" stopIfTrue="1" operator="lessThan">
      <formula>100</formula>
    </cfRule>
  </conditionalFormatting>
  <conditionalFormatting sqref="J251">
    <cfRule type="cellIs" dxfId="203" priority="87" stopIfTrue="1" operator="lessThan">
      <formula>100</formula>
    </cfRule>
  </conditionalFormatting>
  <conditionalFormatting sqref="J265">
    <cfRule type="cellIs" dxfId="202" priority="86" stopIfTrue="1" operator="lessThan">
      <formula>100</formula>
    </cfRule>
  </conditionalFormatting>
  <conditionalFormatting sqref="J277">
    <cfRule type="cellIs" dxfId="201" priority="85" stopIfTrue="1" operator="lessThan">
      <formula>100</formula>
    </cfRule>
  </conditionalFormatting>
  <conditionalFormatting sqref="J296">
    <cfRule type="cellIs" dxfId="200" priority="84" stopIfTrue="1" operator="lessThan">
      <formula>100</formula>
    </cfRule>
  </conditionalFormatting>
  <conditionalFormatting sqref="J306">
    <cfRule type="cellIs" dxfId="199" priority="83" stopIfTrue="1" operator="lessThan">
      <formula>100</formula>
    </cfRule>
  </conditionalFormatting>
  <conditionalFormatting sqref="J321">
    <cfRule type="cellIs" dxfId="198" priority="82" stopIfTrue="1" operator="lessThan">
      <formula>100</formula>
    </cfRule>
  </conditionalFormatting>
  <conditionalFormatting sqref="J337">
    <cfRule type="cellIs" dxfId="197" priority="81" stopIfTrue="1" operator="lessThan">
      <formula>100</formula>
    </cfRule>
  </conditionalFormatting>
  <conditionalFormatting sqref="J351">
    <cfRule type="cellIs" dxfId="196" priority="80" stopIfTrue="1" operator="lessThan">
      <formula>100</formula>
    </cfRule>
  </conditionalFormatting>
  <conditionalFormatting sqref="J363">
    <cfRule type="cellIs" dxfId="195" priority="79" stopIfTrue="1" operator="lessThan">
      <formula>100</formula>
    </cfRule>
  </conditionalFormatting>
  <conditionalFormatting sqref="J372">
    <cfRule type="cellIs" dxfId="194" priority="78" stopIfTrue="1" operator="lessThan">
      <formula>100</formula>
    </cfRule>
  </conditionalFormatting>
  <conditionalFormatting sqref="J381">
    <cfRule type="cellIs" dxfId="193" priority="77" stopIfTrue="1" operator="lessThan">
      <formula>100</formula>
    </cfRule>
  </conditionalFormatting>
  <conditionalFormatting sqref="J401">
    <cfRule type="cellIs" dxfId="192" priority="76" stopIfTrue="1" operator="lessThan">
      <formula>100</formula>
    </cfRule>
  </conditionalFormatting>
  <conditionalFormatting sqref="J415">
    <cfRule type="cellIs" dxfId="191" priority="75" stopIfTrue="1" operator="lessThan">
      <formula>100</formula>
    </cfRule>
  </conditionalFormatting>
  <conditionalFormatting sqref="J427">
    <cfRule type="cellIs" dxfId="190" priority="74" stopIfTrue="1" operator="lessThan">
      <formula>100</formula>
    </cfRule>
  </conditionalFormatting>
  <conditionalFormatting sqref="J436">
    <cfRule type="cellIs" dxfId="189" priority="73" stopIfTrue="1" operator="lessThan">
      <formula>100</formula>
    </cfRule>
  </conditionalFormatting>
  <conditionalFormatting sqref="J448">
    <cfRule type="cellIs" dxfId="188" priority="72" stopIfTrue="1" operator="lessThan">
      <formula>100</formula>
    </cfRule>
  </conditionalFormatting>
  <conditionalFormatting sqref="J467">
    <cfRule type="cellIs" dxfId="187" priority="71" stopIfTrue="1" operator="lessThan">
      <formula>100</formula>
    </cfRule>
  </conditionalFormatting>
  <conditionalFormatting sqref="J484">
    <cfRule type="cellIs" dxfId="186" priority="70" stopIfTrue="1" operator="lessThan">
      <formula>100</formula>
    </cfRule>
  </conditionalFormatting>
  <conditionalFormatting sqref="J503">
    <cfRule type="cellIs" dxfId="185" priority="69" stopIfTrue="1" operator="lessThan">
      <formula>100</formula>
    </cfRule>
  </conditionalFormatting>
  <conditionalFormatting sqref="J533">
    <cfRule type="cellIs" dxfId="184" priority="68" stopIfTrue="1" operator="lessThan">
      <formula>100</formula>
    </cfRule>
  </conditionalFormatting>
  <conditionalFormatting sqref="J208">
    <cfRule type="cellIs" dxfId="183" priority="641" stopIfTrue="1" operator="lessThan">
      <formula>100</formula>
    </cfRule>
  </conditionalFormatting>
  <conditionalFormatting sqref="Q2 Q12 Q22 Q32 Q42 Q70 Q76 Q99 Q107 Q113 Q132 Q138 Q155 Q161 Q176 Q190 Q199 Q210 Q220 Q230 Q240 Q253:Q254 Q267:Q268 Q278 Q287 Q297 Q307 Q323:Q324 Q339:Q340 Q352 Q364 Q373 Q382 Q389 Q403:Q404 Q417:Q418 Q428 Q437 Q449 Q460:Q461 Q468 Q475 Q485 Q493 Q504 Q515 Q521 Q534:Q1048576 Q527">
    <cfRule type="cellIs" dxfId="182" priority="48" operator="between">
      <formula>0.5</formula>
      <formula>0.7</formula>
    </cfRule>
  </conditionalFormatting>
  <conditionalFormatting sqref="J512">
    <cfRule type="cellIs" dxfId="181" priority="642" stopIfTrue="1" operator="lessThan">
      <formula>100</formula>
    </cfRule>
  </conditionalFormatting>
  <conditionalFormatting sqref="J514">
    <cfRule type="cellIs" dxfId="180" priority="53" stopIfTrue="1" operator="lessThan">
      <formula>100</formula>
    </cfRule>
  </conditionalFormatting>
  <conditionalFormatting sqref="J54">
    <cfRule type="cellIs" dxfId="179" priority="643" stopIfTrue="1" operator="lessThan">
      <formula>80%</formula>
    </cfRule>
  </conditionalFormatting>
  <conditionalFormatting sqref="J57">
    <cfRule type="cellIs" dxfId="178" priority="51" stopIfTrue="1" operator="lessThan">
      <formula>100</formula>
    </cfRule>
  </conditionalFormatting>
  <conditionalFormatting sqref="J473">
    <cfRule type="cellIs" dxfId="177" priority="644" stopIfTrue="1" operator="lessThan">
      <formula>100</formula>
    </cfRule>
  </conditionalFormatting>
  <conditionalFormatting sqref="J474">
    <cfRule type="cellIs" dxfId="176" priority="47" stopIfTrue="1" operator="lessThan">
      <formula>100</formula>
    </cfRule>
  </conditionalFormatting>
  <conditionalFormatting sqref="Q2 Q12 Q22 Q32 Q42 Q70 Q76 Q99 Q107 Q113 Q132 Q138 Q155 Q161 Q176 Q190 Q199 Q210 Q220 Q230 Q240 Q253:Q254 Q267:Q268 Q278 Q287 Q297 Q307 Q323:Q324 Q339:Q340 Q352 Q364 Q373 Q382 Q389 Q403:Q404 Q417:Q418 Q428 Q437 Q449 Q460:Q461 Q468 Q475 Q485 Q493 Q504 Q515 Q521 Q534:Q1048576 Q527">
    <cfRule type="cellIs" dxfId="175" priority="40" operator="greaterThan">
      <formula>0.7</formula>
    </cfRule>
  </conditionalFormatting>
  <conditionalFormatting sqref="J525:J526">
    <cfRule type="cellIs" dxfId="174" priority="31" stopIfTrue="1" operator="lessThan">
      <formula>100</formula>
    </cfRule>
  </conditionalFormatting>
  <conditionalFormatting sqref="J460">
    <cfRule type="cellIs" dxfId="173" priority="28" stopIfTrue="1" operator="lessThan">
      <formula>100</formula>
    </cfRule>
  </conditionalFormatting>
  <conditionalFormatting sqref="J211:J212">
    <cfRule type="cellIs" dxfId="172" priority="24" stopIfTrue="1" operator="lessThan">
      <formula>80%</formula>
    </cfRule>
  </conditionalFormatting>
  <conditionalFormatting sqref="J210">
    <cfRule type="cellIs" dxfId="171" priority="26" stopIfTrue="1" operator="lessThan">
      <formula>80%</formula>
    </cfRule>
  </conditionalFormatting>
  <conditionalFormatting sqref="Q1">
    <cfRule type="cellIs" dxfId="170" priority="20" operator="greaterThan">
      <formula>0.7</formula>
    </cfRule>
  </conditionalFormatting>
  <conditionalFormatting sqref="Q1">
    <cfRule type="cellIs" dxfId="169" priority="19" operator="between">
      <formula>0.5</formula>
      <formula>0.7</formula>
    </cfRule>
  </conditionalFormatting>
  <conditionalFormatting sqref="Q252">
    <cfRule type="cellIs" dxfId="168" priority="17" operator="between">
      <formula>0.5</formula>
      <formula>0.7</formula>
    </cfRule>
  </conditionalFormatting>
  <conditionalFormatting sqref="Q252">
    <cfRule type="cellIs" dxfId="167" priority="16" operator="greaterThan">
      <formula>0.7</formula>
    </cfRule>
  </conditionalFormatting>
  <conditionalFormatting sqref="Q266">
    <cfRule type="cellIs" dxfId="166" priority="14" operator="between">
      <formula>0.5</formula>
      <formula>0.7</formula>
    </cfRule>
  </conditionalFormatting>
  <conditionalFormatting sqref="Q266">
    <cfRule type="cellIs" dxfId="165" priority="13" operator="greaterThan">
      <formula>0.7</formula>
    </cfRule>
  </conditionalFormatting>
  <conditionalFormatting sqref="Q322">
    <cfRule type="cellIs" dxfId="164" priority="11" operator="between">
      <formula>0.5</formula>
      <formula>0.7</formula>
    </cfRule>
  </conditionalFormatting>
  <conditionalFormatting sqref="Q322">
    <cfRule type="cellIs" dxfId="163" priority="10" operator="greaterThan">
      <formula>0.7</formula>
    </cfRule>
  </conditionalFormatting>
  <conditionalFormatting sqref="Q338">
    <cfRule type="cellIs" dxfId="162" priority="8" operator="between">
      <formula>0.5</formula>
      <formula>0.7</formula>
    </cfRule>
  </conditionalFormatting>
  <conditionalFormatting sqref="Q338">
    <cfRule type="cellIs" dxfId="161" priority="7" operator="greaterThan">
      <formula>0.7</formula>
    </cfRule>
  </conditionalFormatting>
  <conditionalFormatting sqref="Q402">
    <cfRule type="cellIs" dxfId="160" priority="5" operator="between">
      <formula>0.5</formula>
      <formula>0.7</formula>
    </cfRule>
  </conditionalFormatting>
  <conditionalFormatting sqref="Q402">
    <cfRule type="cellIs" dxfId="159" priority="4" operator="greaterThan">
      <formula>0.7</formula>
    </cfRule>
  </conditionalFormatting>
  <conditionalFormatting sqref="Q416">
    <cfRule type="cellIs" dxfId="158" priority="2" operator="between">
      <formula>0.5</formula>
      <formula>0.7</formula>
    </cfRule>
  </conditionalFormatting>
  <conditionalFormatting sqref="Q416">
    <cfRule type="cellIs" dxfId="157" priority="1" operator="greaterThan">
      <formula>0.7</formula>
    </cfRule>
  </conditionalFormatting>
  <pageMargins left="0.7" right="0.7" top="0.75" bottom="0.75" header="0.3" footer="0.3"/>
  <pageSetup paperSize="9" scale="74" orientation="landscape" r:id="rId1"/>
  <rowBreaks count="1" manualBreakCount="1">
    <brk id="196"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187" r:id="rId4" name="Button 163">
              <controlPr defaultSize="0" print="0" autoFill="0" autoPict="0" macro="[0]!Utilization2">
                <anchor>
                  <from>
                    <xdr:col>15</xdr:col>
                    <xdr:colOff>342900</xdr:colOff>
                    <xdr:row>0</xdr:row>
                    <xdr:rowOff>152400</xdr:rowOff>
                  </from>
                  <to>
                    <xdr:col>17</xdr:col>
                    <xdr:colOff>342900</xdr:colOff>
                    <xdr:row>0</xdr:row>
                    <xdr:rowOff>381000</xdr:rowOff>
                  </to>
                </anchor>
              </controlPr>
            </control>
          </mc:Choice>
        </mc:AlternateContent>
        <mc:AlternateContent xmlns:mc="http://schemas.openxmlformats.org/markup-compatibility/2006">
          <mc:Choice Requires="x14">
            <control shapeId="1186" r:id="rId5" name="Button 162">
              <controlPr defaultSize="0" print="0" autoFill="0" autoPict="0" macro="[0]!Utilization1">
                <anchor>
                  <from>
                    <xdr:col>10</xdr:col>
                    <xdr:colOff>541020</xdr:colOff>
                    <xdr:row>0</xdr:row>
                    <xdr:rowOff>152400</xdr:rowOff>
                  </from>
                  <to>
                    <xdr:col>15</xdr:col>
                    <xdr:colOff>114300</xdr:colOff>
                    <xdr:row>0</xdr:row>
                    <xdr:rowOff>381000</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filterMode="1"/>
  <dimension ref="A1:Z1220"/>
  <sheetViews>
    <sheetView zoomScaleNormal="100" workbookViewId="0">
      <pane ySplit="1" topLeftCell="A2" activePane="bottomLeft" state="frozen"/>
      <selection pane="bottomLeft" activeCell="D1213" sqref="D1213"/>
    </sheetView>
  </sheetViews>
  <sheetFormatPr defaultColWidth="9.44140625" defaultRowHeight="14.4" x14ac:dyDescent="0.3"/>
  <cols>
    <col min="1" max="1" width="28.6640625" style="3" customWidth="1"/>
    <col min="2" max="2" width="14.6640625" style="1" customWidth="1"/>
    <col min="3" max="3" width="19" style="50" customWidth="1"/>
    <col min="4" max="4" width="15.5546875" style="1" bestFit="1" customWidth="1"/>
    <col min="5" max="5" width="14.44140625" style="1" bestFit="1" customWidth="1"/>
    <col min="6" max="6" width="16.33203125" style="1" customWidth="1"/>
    <col min="7" max="7" width="9.33203125" style="1" bestFit="1" customWidth="1"/>
    <col min="8" max="8" width="14.44140625" style="1" customWidth="1"/>
    <col min="9" max="9" width="11.44140625" style="1" bestFit="1" customWidth="1"/>
    <col min="10" max="10" width="12.44140625" style="1" bestFit="1" customWidth="1"/>
    <col min="11" max="11" width="15.44140625" style="1" bestFit="1" customWidth="1"/>
    <col min="12" max="12" width="11" style="1" customWidth="1"/>
    <col min="13" max="13" width="6.44140625" style="1" hidden="1" customWidth="1"/>
    <col min="14" max="14" width="13.5546875" style="1" hidden="1" customWidth="1"/>
    <col min="15" max="15" width="0" style="1" hidden="1" customWidth="1"/>
    <col min="18" max="18" width="26.33203125" style="3" customWidth="1"/>
    <col min="19" max="19" width="24.109375" style="1" customWidth="1"/>
    <col min="20" max="20" width="29.109375" style="1" customWidth="1"/>
    <col min="21" max="21" width="23.33203125" style="1" customWidth="1"/>
    <col min="22" max="22" width="35.33203125" style="1" customWidth="1"/>
    <col min="23" max="23" width="17.6640625" style="1" customWidth="1"/>
    <col min="24" max="24" width="6.44140625" style="1" customWidth="1"/>
    <col min="25" max="25" width="27.44140625" style="1" customWidth="1"/>
    <col min="26" max="16384" width="9.44140625" style="1"/>
  </cols>
  <sheetData>
    <row r="1" spans="1:19" s="2" customFormat="1" ht="41.1" customHeight="1" x14ac:dyDescent="0.35">
      <c r="A1" s="38" t="s">
        <v>140</v>
      </c>
      <c r="B1" s="39" t="s">
        <v>1</v>
      </c>
      <c r="C1" s="39" t="s">
        <v>159</v>
      </c>
      <c r="D1" s="39" t="s">
        <v>9</v>
      </c>
      <c r="E1" s="39" t="s">
        <v>2255</v>
      </c>
      <c r="F1" s="39" t="s">
        <v>2256</v>
      </c>
      <c r="G1" s="39" t="s">
        <v>0</v>
      </c>
      <c r="H1" s="39" t="s">
        <v>5</v>
      </c>
      <c r="I1" s="39" t="s">
        <v>154</v>
      </c>
      <c r="J1" s="40" t="s">
        <v>155</v>
      </c>
      <c r="K1" s="40" t="s">
        <v>1970</v>
      </c>
      <c r="L1" s="39" t="s">
        <v>2</v>
      </c>
      <c r="P1"/>
      <c r="Q1"/>
      <c r="R1" s="185"/>
    </row>
    <row r="2" spans="1:19" s="2" customFormat="1" ht="13.95" hidden="1" customHeight="1" x14ac:dyDescent="0.25">
      <c r="A2" s="60" t="s">
        <v>6987</v>
      </c>
      <c r="B2" s="61" t="s">
        <v>34</v>
      </c>
      <c r="C2" s="60" t="s">
        <v>1507</v>
      </c>
      <c r="D2" s="60"/>
      <c r="E2" s="60"/>
      <c r="F2" s="60" t="s">
        <v>7429</v>
      </c>
      <c r="G2" s="60">
        <v>2401</v>
      </c>
      <c r="H2" s="60">
        <v>40</v>
      </c>
      <c r="I2" s="60" t="s">
        <v>1454</v>
      </c>
      <c r="J2" s="60" t="s">
        <v>1454</v>
      </c>
      <c r="K2" s="60" t="s">
        <v>436</v>
      </c>
      <c r="L2" s="60"/>
      <c r="P2" s="347">
        <v>41</v>
      </c>
      <c r="Q2" s="347"/>
      <c r="R2" s="185"/>
    </row>
    <row r="3" spans="1:19" s="2" customFormat="1" ht="13.95" hidden="1" customHeight="1" x14ac:dyDescent="0.25">
      <c r="A3" s="9" t="s">
        <v>6987</v>
      </c>
      <c r="B3" s="9" t="s">
        <v>249</v>
      </c>
      <c r="C3" s="9" t="s">
        <v>1507</v>
      </c>
      <c r="D3" s="9"/>
      <c r="E3" s="9"/>
      <c r="F3" s="9" t="s">
        <v>7430</v>
      </c>
      <c r="G3" s="9">
        <v>2402</v>
      </c>
      <c r="H3" s="9">
        <v>1</v>
      </c>
      <c r="I3" s="9" t="s">
        <v>1454</v>
      </c>
      <c r="J3" s="9" t="s">
        <v>1454</v>
      </c>
      <c r="K3" s="9" t="s">
        <v>436</v>
      </c>
      <c r="L3" s="9"/>
      <c r="P3" s="347"/>
      <c r="Q3" s="347"/>
      <c r="R3" s="185"/>
    </row>
    <row r="4" spans="1:19" ht="15" hidden="1" customHeight="1" x14ac:dyDescent="0.25">
      <c r="A4" s="57" t="s">
        <v>7070</v>
      </c>
      <c r="B4" s="57" t="s">
        <v>11</v>
      </c>
      <c r="C4" s="57" t="s">
        <v>1507</v>
      </c>
      <c r="D4" s="57"/>
      <c r="E4" s="57"/>
      <c r="F4" s="57"/>
      <c r="G4" s="57">
        <v>2415</v>
      </c>
      <c r="H4" s="57">
        <v>150</v>
      </c>
      <c r="I4" s="57" t="s">
        <v>1454</v>
      </c>
      <c r="J4" s="58" t="s">
        <v>1454</v>
      </c>
      <c r="K4" s="57" t="s">
        <v>7071</v>
      </c>
      <c r="L4" s="57"/>
      <c r="N4" s="48"/>
      <c r="P4" s="347">
        <v>201</v>
      </c>
      <c r="Q4" s="347"/>
      <c r="R4" s="146" t="s">
        <v>4103</v>
      </c>
    </row>
    <row r="5" spans="1:19" ht="15" hidden="1" customHeight="1" x14ac:dyDescent="0.25">
      <c r="A5" s="60" t="s">
        <v>7070</v>
      </c>
      <c r="B5" s="61" t="s">
        <v>34</v>
      </c>
      <c r="C5" s="61" t="s">
        <v>1507</v>
      </c>
      <c r="D5" s="61"/>
      <c r="E5" s="61"/>
      <c r="F5" s="61"/>
      <c r="G5" s="61">
        <v>2416</v>
      </c>
      <c r="H5" s="61">
        <v>50</v>
      </c>
      <c r="I5" s="61" t="s">
        <v>1454</v>
      </c>
      <c r="J5" s="62" t="s">
        <v>1454</v>
      </c>
      <c r="K5" s="61" t="s">
        <v>7071</v>
      </c>
      <c r="L5" s="61"/>
      <c r="M5" s="2"/>
      <c r="N5" s="2"/>
      <c r="O5" s="2"/>
      <c r="P5" s="347"/>
      <c r="Q5" s="347"/>
      <c r="R5" s="146" t="s">
        <v>4955</v>
      </c>
      <c r="S5" s="2"/>
    </row>
    <row r="6" spans="1:19" ht="15" hidden="1" customHeight="1" x14ac:dyDescent="0.25">
      <c r="A6" s="9" t="s">
        <v>7070</v>
      </c>
      <c r="B6" s="9" t="s">
        <v>249</v>
      </c>
      <c r="C6" s="9" t="s">
        <v>1507</v>
      </c>
      <c r="D6" s="9"/>
      <c r="E6" s="9"/>
      <c r="F6" s="9"/>
      <c r="G6" s="9">
        <v>2417</v>
      </c>
      <c r="H6" s="9">
        <v>1</v>
      </c>
      <c r="I6" s="9" t="s">
        <v>1454</v>
      </c>
      <c r="J6" s="73" t="s">
        <v>1454</v>
      </c>
      <c r="K6" s="9" t="s">
        <v>7071</v>
      </c>
      <c r="L6" s="9"/>
      <c r="N6" s="48"/>
      <c r="P6" s="347"/>
      <c r="Q6" s="347"/>
      <c r="R6" s="208" t="s">
        <v>5086</v>
      </c>
    </row>
    <row r="7" spans="1:19" ht="15" hidden="1" customHeight="1" x14ac:dyDescent="0.25">
      <c r="A7" s="20" t="s">
        <v>5470</v>
      </c>
      <c r="B7" s="20" t="s">
        <v>597</v>
      </c>
      <c r="C7" s="20" t="s">
        <v>2111</v>
      </c>
      <c r="D7" s="20" t="s">
        <v>2081</v>
      </c>
      <c r="E7" s="20" t="s">
        <v>2082</v>
      </c>
      <c r="F7" s="20" t="s">
        <v>2083</v>
      </c>
      <c r="G7" s="20">
        <v>485</v>
      </c>
      <c r="H7" s="20">
        <v>15</v>
      </c>
      <c r="I7" s="20">
        <v>9198</v>
      </c>
      <c r="J7" s="36">
        <v>29355</v>
      </c>
      <c r="K7" s="20" t="s">
        <v>431</v>
      </c>
      <c r="L7" s="20" t="s">
        <v>1973</v>
      </c>
      <c r="M7" s="4"/>
      <c r="N7" s="4"/>
      <c r="P7" s="347">
        <v>2936</v>
      </c>
      <c r="Q7" s="348">
        <f>P7*100%/(10000)</f>
        <v>0.29360000000000003</v>
      </c>
    </row>
    <row r="8" spans="1:19" s="2" customFormat="1" ht="15" hidden="1" customHeight="1" x14ac:dyDescent="0.25">
      <c r="A8" s="56" t="s">
        <v>5470</v>
      </c>
      <c r="B8" s="57" t="s">
        <v>11</v>
      </c>
      <c r="C8" s="57" t="s">
        <v>2105</v>
      </c>
      <c r="D8" s="57" t="s">
        <v>2037</v>
      </c>
      <c r="E8" s="57" t="s">
        <v>2038</v>
      </c>
      <c r="F8" s="57" t="s">
        <v>2039</v>
      </c>
      <c r="G8" s="57">
        <v>397</v>
      </c>
      <c r="H8" s="57">
        <v>2170</v>
      </c>
      <c r="I8" s="57">
        <v>9198</v>
      </c>
      <c r="J8" s="58">
        <v>29355</v>
      </c>
      <c r="K8" s="57" t="s">
        <v>522</v>
      </c>
      <c r="L8" s="57" t="s">
        <v>1973</v>
      </c>
      <c r="M8" s="1"/>
      <c r="N8" s="48"/>
      <c r="O8" s="1"/>
      <c r="P8" s="347"/>
      <c r="Q8" s="347"/>
      <c r="R8" s="146" t="s">
        <v>4954</v>
      </c>
      <c r="S8" s="129" t="s">
        <v>4953</v>
      </c>
    </row>
    <row r="9" spans="1:19" ht="15" hidden="1" customHeight="1" x14ac:dyDescent="0.25">
      <c r="A9" s="60" t="s">
        <v>5470</v>
      </c>
      <c r="B9" s="61" t="s">
        <v>34</v>
      </c>
      <c r="C9" s="61" t="s">
        <v>2207</v>
      </c>
      <c r="D9" s="61" t="s">
        <v>2164</v>
      </c>
      <c r="E9" s="61" t="s">
        <v>2165</v>
      </c>
      <c r="F9" s="61" t="s">
        <v>2166</v>
      </c>
      <c r="G9" s="61">
        <v>487</v>
      </c>
      <c r="H9" s="61">
        <v>750</v>
      </c>
      <c r="I9" s="61">
        <v>9198</v>
      </c>
      <c r="J9" s="62">
        <v>29355</v>
      </c>
      <c r="K9" s="61" t="s">
        <v>431</v>
      </c>
      <c r="L9" s="61" t="s">
        <v>1973</v>
      </c>
      <c r="M9" s="2"/>
      <c r="N9" s="2"/>
      <c r="O9" s="2"/>
      <c r="P9" s="347"/>
      <c r="Q9" s="347"/>
      <c r="R9" s="146" t="s">
        <v>4955</v>
      </c>
      <c r="S9" s="2"/>
    </row>
    <row r="10" spans="1:19" ht="15" hidden="1" customHeight="1" x14ac:dyDescent="0.25">
      <c r="A10" s="9" t="s">
        <v>5470</v>
      </c>
      <c r="B10" s="9" t="s">
        <v>249</v>
      </c>
      <c r="C10" s="9" t="s">
        <v>2106</v>
      </c>
      <c r="D10" s="9" t="s">
        <v>2040</v>
      </c>
      <c r="E10" s="9" t="s">
        <v>2041</v>
      </c>
      <c r="F10" s="9" t="s">
        <v>2042</v>
      </c>
      <c r="G10" s="9">
        <v>398</v>
      </c>
      <c r="H10" s="9">
        <v>1</v>
      </c>
      <c r="I10" s="9">
        <v>9198</v>
      </c>
      <c r="J10" s="73">
        <v>29355</v>
      </c>
      <c r="K10" s="9" t="s">
        <v>431</v>
      </c>
      <c r="L10" s="9" t="s">
        <v>1973</v>
      </c>
      <c r="N10" s="48"/>
      <c r="P10" s="347"/>
      <c r="Q10" s="347"/>
      <c r="R10" s="208" t="s">
        <v>5086</v>
      </c>
    </row>
    <row r="11" spans="1:19" ht="15" hidden="1" customHeight="1" x14ac:dyDescent="0.25">
      <c r="A11" s="20" t="s">
        <v>5471</v>
      </c>
      <c r="B11" s="20" t="s">
        <v>597</v>
      </c>
      <c r="C11" s="20" t="s">
        <v>3044</v>
      </c>
      <c r="D11" s="20" t="s">
        <v>2999</v>
      </c>
      <c r="E11" s="20" t="s">
        <v>3000</v>
      </c>
      <c r="F11" s="20" t="s">
        <v>3001</v>
      </c>
      <c r="G11" s="20">
        <v>1291</v>
      </c>
      <c r="H11" s="20">
        <v>20</v>
      </c>
      <c r="I11" s="20">
        <v>9198</v>
      </c>
      <c r="J11" s="36">
        <v>29355</v>
      </c>
      <c r="K11" s="20" t="s">
        <v>654</v>
      </c>
      <c r="L11" s="20" t="s">
        <v>1974</v>
      </c>
      <c r="N11" s="48"/>
      <c r="P11" s="347">
        <v>868</v>
      </c>
      <c r="Q11" s="348">
        <f>P11*100%/(1000)</f>
        <v>0.86799999999999999</v>
      </c>
      <c r="R11" s="146" t="s">
        <v>3691</v>
      </c>
    </row>
    <row r="12" spans="1:19" ht="15" hidden="1" customHeight="1" x14ac:dyDescent="0.25">
      <c r="A12" s="57" t="s">
        <v>5471</v>
      </c>
      <c r="B12" s="57" t="s">
        <v>11</v>
      </c>
      <c r="C12" s="57" t="s">
        <v>3055</v>
      </c>
      <c r="D12" s="57" t="s">
        <v>3039</v>
      </c>
      <c r="E12" s="57" t="s">
        <v>3040</v>
      </c>
      <c r="F12" s="57" t="s">
        <v>3041</v>
      </c>
      <c r="G12" s="57">
        <v>1292</v>
      </c>
      <c r="H12" s="57">
        <v>500</v>
      </c>
      <c r="I12" s="57">
        <v>9198</v>
      </c>
      <c r="J12" s="58">
        <v>29355</v>
      </c>
      <c r="K12" s="57" t="s">
        <v>654</v>
      </c>
      <c r="L12" s="57" t="s">
        <v>1974</v>
      </c>
      <c r="N12" s="48"/>
      <c r="P12" s="347"/>
      <c r="Q12" s="347"/>
      <c r="R12" s="146" t="s">
        <v>4103</v>
      </c>
    </row>
    <row r="13" spans="1:19" ht="15" hidden="1" customHeight="1" x14ac:dyDescent="0.25">
      <c r="A13" s="60" t="s">
        <v>5471</v>
      </c>
      <c r="B13" s="61" t="s">
        <v>34</v>
      </c>
      <c r="C13" s="61" t="s">
        <v>3045</v>
      </c>
      <c r="D13" s="61" t="s">
        <v>3002</v>
      </c>
      <c r="E13" s="61" t="s">
        <v>3003</v>
      </c>
      <c r="F13" s="61" t="s">
        <v>3004</v>
      </c>
      <c r="G13" s="61">
        <v>1290</v>
      </c>
      <c r="H13" s="61">
        <v>346</v>
      </c>
      <c r="I13" s="61">
        <v>9198</v>
      </c>
      <c r="J13" s="62">
        <v>29355</v>
      </c>
      <c r="K13" s="61" t="s">
        <v>654</v>
      </c>
      <c r="L13" s="61" t="s">
        <v>1974</v>
      </c>
      <c r="N13" s="48"/>
      <c r="P13" s="347"/>
      <c r="Q13" s="347"/>
      <c r="R13" s="262" t="s">
        <v>6060</v>
      </c>
    </row>
    <row r="14" spans="1:19" ht="15" hidden="1" customHeight="1" x14ac:dyDescent="0.25">
      <c r="A14" s="9" t="s">
        <v>5471</v>
      </c>
      <c r="B14" s="9" t="s">
        <v>249</v>
      </c>
      <c r="C14" s="9" t="s">
        <v>3277</v>
      </c>
      <c r="D14" s="9" t="s">
        <v>3218</v>
      </c>
      <c r="E14" s="9" t="s">
        <v>3219</v>
      </c>
      <c r="F14" s="9" t="s">
        <v>3220</v>
      </c>
      <c r="G14" s="9">
        <v>1293</v>
      </c>
      <c r="H14" s="9">
        <v>1</v>
      </c>
      <c r="I14" s="9">
        <v>9198</v>
      </c>
      <c r="J14" s="73">
        <v>29355</v>
      </c>
      <c r="K14" s="9" t="s">
        <v>654</v>
      </c>
      <c r="L14" s="9" t="s">
        <v>1974</v>
      </c>
      <c r="N14" s="48"/>
      <c r="P14" s="347"/>
      <c r="Q14" s="347"/>
      <c r="R14" s="262" t="s">
        <v>6222</v>
      </c>
    </row>
    <row r="15" spans="1:19" ht="15" hidden="1" customHeight="1" x14ac:dyDescent="0.25">
      <c r="A15" s="154" t="s">
        <v>5471</v>
      </c>
      <c r="B15" s="154" t="s">
        <v>3781</v>
      </c>
      <c r="C15" s="154" t="s">
        <v>4018</v>
      </c>
      <c r="D15" s="154" t="s">
        <v>3815</v>
      </c>
      <c r="E15" s="154" t="s">
        <v>3816</v>
      </c>
      <c r="F15" s="154" t="s">
        <v>3817</v>
      </c>
      <c r="G15" s="154">
        <v>1294</v>
      </c>
      <c r="H15" s="154">
        <v>1</v>
      </c>
      <c r="I15" s="154">
        <v>9198</v>
      </c>
      <c r="J15" s="155">
        <v>29355</v>
      </c>
      <c r="K15" s="154" t="s">
        <v>654</v>
      </c>
      <c r="L15" s="154" t="s">
        <v>1974</v>
      </c>
      <c r="N15" s="48"/>
      <c r="P15" s="347"/>
      <c r="Q15" s="347"/>
    </row>
    <row r="16" spans="1:19" ht="15" hidden="1" customHeight="1" x14ac:dyDescent="0.25">
      <c r="A16" s="56" t="s">
        <v>5472</v>
      </c>
      <c r="B16" s="57" t="s">
        <v>11</v>
      </c>
      <c r="C16" s="57" t="s">
        <v>3427</v>
      </c>
      <c r="D16" s="57" t="s">
        <v>3317</v>
      </c>
      <c r="E16" s="57" t="s">
        <v>3318</v>
      </c>
      <c r="F16" s="57" t="s">
        <v>3319</v>
      </c>
      <c r="G16" s="57">
        <v>2592</v>
      </c>
      <c r="H16" s="57">
        <v>463</v>
      </c>
      <c r="I16" s="57">
        <v>9198</v>
      </c>
      <c r="J16" s="58">
        <v>65242</v>
      </c>
      <c r="K16" s="57" t="s">
        <v>433</v>
      </c>
      <c r="L16" s="57" t="s">
        <v>1975</v>
      </c>
      <c r="N16" s="48"/>
      <c r="P16" s="347">
        <v>733</v>
      </c>
      <c r="Q16" s="348">
        <f>P16*100%/(2000)</f>
        <v>0.36649999999999999</v>
      </c>
      <c r="R16" s="146" t="s">
        <v>4895</v>
      </c>
    </row>
    <row r="17" spans="1:19" ht="15" hidden="1" customHeight="1" x14ac:dyDescent="0.25">
      <c r="A17" s="60" t="s">
        <v>5472</v>
      </c>
      <c r="B17" s="61" t="s">
        <v>34</v>
      </c>
      <c r="C17" s="61" t="s">
        <v>779</v>
      </c>
      <c r="D17" s="61" t="s">
        <v>1096</v>
      </c>
      <c r="E17" s="61" t="s">
        <v>1567</v>
      </c>
      <c r="F17" s="61" t="s">
        <v>1097</v>
      </c>
      <c r="G17" s="61">
        <v>1000</v>
      </c>
      <c r="H17" s="61">
        <v>249</v>
      </c>
      <c r="I17" s="61">
        <v>9198</v>
      </c>
      <c r="J17" s="62">
        <v>65242</v>
      </c>
      <c r="K17" s="61" t="s">
        <v>433</v>
      </c>
      <c r="L17" s="61" t="s">
        <v>1975</v>
      </c>
      <c r="N17" s="48"/>
      <c r="P17" s="347"/>
      <c r="Q17" s="347"/>
      <c r="R17" s="183"/>
    </row>
    <row r="18" spans="1:19" ht="15" hidden="1" customHeight="1" x14ac:dyDescent="0.25">
      <c r="A18" s="9" t="s">
        <v>5472</v>
      </c>
      <c r="B18" s="9" t="s">
        <v>249</v>
      </c>
      <c r="C18" s="9" t="s">
        <v>780</v>
      </c>
      <c r="D18" s="9" t="s">
        <v>326</v>
      </c>
      <c r="E18" s="9" t="s">
        <v>1568</v>
      </c>
      <c r="F18" s="9" t="s">
        <v>325</v>
      </c>
      <c r="G18" s="9">
        <v>207</v>
      </c>
      <c r="H18" s="9">
        <v>1</v>
      </c>
      <c r="I18" s="9">
        <v>9198</v>
      </c>
      <c r="J18" s="73">
        <v>65242</v>
      </c>
      <c r="K18" s="9" t="s">
        <v>433</v>
      </c>
      <c r="L18" s="9" t="s">
        <v>1975</v>
      </c>
      <c r="N18" s="48"/>
      <c r="P18" s="347"/>
      <c r="Q18" s="347"/>
      <c r="R18" s="183"/>
    </row>
    <row r="19" spans="1:19" ht="15" hidden="1" customHeight="1" x14ac:dyDescent="0.25">
      <c r="A19" s="154" t="s">
        <v>5472</v>
      </c>
      <c r="B19" s="154" t="s">
        <v>3781</v>
      </c>
      <c r="C19" s="154" t="s">
        <v>6047</v>
      </c>
      <c r="D19" s="154" t="s">
        <v>5162</v>
      </c>
      <c r="E19" s="154" t="s">
        <v>5163</v>
      </c>
      <c r="F19" s="154" t="s">
        <v>5164</v>
      </c>
      <c r="G19" s="154">
        <v>2349</v>
      </c>
      <c r="H19" s="154">
        <v>20</v>
      </c>
      <c r="I19" s="154">
        <v>9198</v>
      </c>
      <c r="J19" s="155">
        <v>65242</v>
      </c>
      <c r="K19" s="154" t="s">
        <v>433</v>
      </c>
      <c r="L19" s="154" t="s">
        <v>1975</v>
      </c>
      <c r="N19" s="48"/>
      <c r="P19" s="347"/>
      <c r="Q19" s="347"/>
      <c r="R19" s="183"/>
    </row>
    <row r="20" spans="1:19" ht="15" hidden="1" customHeight="1" x14ac:dyDescent="0.25">
      <c r="A20" s="20" t="s">
        <v>5473</v>
      </c>
      <c r="B20" s="20" t="s">
        <v>597</v>
      </c>
      <c r="C20" s="20" t="s">
        <v>781</v>
      </c>
      <c r="D20" s="20" t="s">
        <v>625</v>
      </c>
      <c r="E20" s="20" t="s">
        <v>626</v>
      </c>
      <c r="F20" s="20" t="s">
        <v>627</v>
      </c>
      <c r="G20" s="20">
        <v>1182</v>
      </c>
      <c r="H20" s="20">
        <v>11</v>
      </c>
      <c r="I20" s="20">
        <v>9198</v>
      </c>
      <c r="J20" s="36">
        <v>65008</v>
      </c>
      <c r="K20" s="20" t="s">
        <v>434</v>
      </c>
      <c r="L20" s="20" t="s">
        <v>1974</v>
      </c>
      <c r="N20" s="48"/>
      <c r="P20" s="347">
        <v>130</v>
      </c>
      <c r="Q20" s="348">
        <f>P20*100%/(1000)</f>
        <v>0.13</v>
      </c>
    </row>
    <row r="21" spans="1:19" ht="15" hidden="1" customHeight="1" x14ac:dyDescent="0.25">
      <c r="A21" s="60" t="s">
        <v>5473</v>
      </c>
      <c r="B21" s="61" t="s">
        <v>34</v>
      </c>
      <c r="C21" s="61" t="s">
        <v>3183</v>
      </c>
      <c r="D21" s="61" t="s">
        <v>3119</v>
      </c>
      <c r="E21" s="61" t="s">
        <v>3120</v>
      </c>
      <c r="F21" s="61" t="s">
        <v>3121</v>
      </c>
      <c r="G21" s="61">
        <v>2580</v>
      </c>
      <c r="H21" s="61">
        <v>59</v>
      </c>
      <c r="I21" s="61">
        <v>9198</v>
      </c>
      <c r="J21" s="62">
        <v>65008</v>
      </c>
      <c r="K21" s="61" t="s">
        <v>434</v>
      </c>
      <c r="L21" s="61" t="s">
        <v>1974</v>
      </c>
      <c r="N21" s="48"/>
      <c r="P21" s="347"/>
      <c r="Q21" s="347"/>
      <c r="R21" s="183"/>
      <c r="S21" s="44"/>
    </row>
    <row r="22" spans="1:19" ht="15" hidden="1" customHeight="1" x14ac:dyDescent="0.25">
      <c r="A22" s="164" t="s">
        <v>5473</v>
      </c>
      <c r="B22" s="165" t="s">
        <v>3825</v>
      </c>
      <c r="C22" s="165" t="s">
        <v>4342</v>
      </c>
      <c r="D22" s="165" t="s">
        <v>3866</v>
      </c>
      <c r="E22" s="165" t="s">
        <v>3867</v>
      </c>
      <c r="F22" s="165" t="s">
        <v>3868</v>
      </c>
      <c r="G22" s="165">
        <v>2366</v>
      </c>
      <c r="H22" s="165">
        <v>60</v>
      </c>
      <c r="I22" s="165">
        <v>9198</v>
      </c>
      <c r="J22" s="166">
        <v>65008</v>
      </c>
      <c r="K22" s="165" t="s">
        <v>428</v>
      </c>
      <c r="L22" s="165" t="s">
        <v>1974</v>
      </c>
      <c r="N22" s="48"/>
      <c r="P22" s="347"/>
      <c r="Q22" s="347"/>
      <c r="R22" s="183"/>
      <c r="S22" s="44"/>
    </row>
    <row r="23" spans="1:19" ht="15" hidden="1" customHeight="1" x14ac:dyDescent="0.25">
      <c r="A23" s="20" t="s">
        <v>5475</v>
      </c>
      <c r="B23" s="20" t="s">
        <v>597</v>
      </c>
      <c r="C23" s="20" t="s">
        <v>1507</v>
      </c>
      <c r="D23" s="20" t="s">
        <v>3530</v>
      </c>
      <c r="E23" s="20" t="s">
        <v>3531</v>
      </c>
      <c r="F23" s="20" t="s">
        <v>3532</v>
      </c>
      <c r="G23" s="20"/>
      <c r="H23" s="20">
        <v>13</v>
      </c>
      <c r="I23" s="20"/>
      <c r="J23" s="36">
        <v>29355</v>
      </c>
      <c r="K23" s="20" t="s">
        <v>1417</v>
      </c>
      <c r="L23" s="20" t="s">
        <v>1974</v>
      </c>
      <c r="N23" s="48"/>
      <c r="P23" s="347">
        <v>534</v>
      </c>
      <c r="Q23" s="348">
        <f>P23*100%/(1000)</f>
        <v>0.53400000000000003</v>
      </c>
    </row>
    <row r="24" spans="1:19" ht="15" hidden="1" customHeight="1" x14ac:dyDescent="0.25">
      <c r="A24" s="60" t="s">
        <v>5475</v>
      </c>
      <c r="B24" s="141" t="s">
        <v>34</v>
      </c>
      <c r="C24" s="141" t="s">
        <v>1507</v>
      </c>
      <c r="D24" s="141" t="s">
        <v>3533</v>
      </c>
      <c r="E24" s="141" t="s">
        <v>3534</v>
      </c>
      <c r="F24" s="141" t="s">
        <v>3535</v>
      </c>
      <c r="G24" s="141"/>
      <c r="H24" s="141">
        <v>190</v>
      </c>
      <c r="I24" s="141"/>
      <c r="J24" s="62">
        <v>29355</v>
      </c>
      <c r="K24" s="141" t="s">
        <v>1417</v>
      </c>
      <c r="L24" s="141" t="s">
        <v>1974</v>
      </c>
      <c r="N24" s="48"/>
      <c r="P24" s="347"/>
      <c r="Q24" s="347"/>
      <c r="R24" s="183"/>
    </row>
    <row r="25" spans="1:19" ht="15" hidden="1" customHeight="1" x14ac:dyDescent="0.25">
      <c r="A25" s="57" t="s">
        <v>5475</v>
      </c>
      <c r="B25" s="57" t="s">
        <v>11</v>
      </c>
      <c r="C25" s="57" t="s">
        <v>1507</v>
      </c>
      <c r="D25" s="57" t="s">
        <v>3536</v>
      </c>
      <c r="E25" s="57" t="s">
        <v>3537</v>
      </c>
      <c r="F25" s="57" t="s">
        <v>3538</v>
      </c>
      <c r="G25" s="57"/>
      <c r="H25" s="57">
        <v>330</v>
      </c>
      <c r="I25" s="57"/>
      <c r="J25" s="58">
        <v>29355</v>
      </c>
      <c r="K25" s="57" t="s">
        <v>1417</v>
      </c>
      <c r="L25" s="57" t="s">
        <v>1974</v>
      </c>
      <c r="N25" s="48"/>
      <c r="P25" s="347"/>
      <c r="Q25" s="347"/>
    </row>
    <row r="26" spans="1:19" ht="15" hidden="1" customHeight="1" x14ac:dyDescent="0.25">
      <c r="A26" s="9" t="s">
        <v>5475</v>
      </c>
      <c r="B26" s="9" t="s">
        <v>249</v>
      </c>
      <c r="C26" s="9" t="s">
        <v>1507</v>
      </c>
      <c r="D26" s="9" t="s">
        <v>3539</v>
      </c>
      <c r="E26" s="9" t="s">
        <v>3540</v>
      </c>
      <c r="F26" s="9" t="s">
        <v>3541</v>
      </c>
      <c r="G26" s="9"/>
      <c r="H26" s="9">
        <v>1</v>
      </c>
      <c r="I26" s="9"/>
      <c r="J26" s="73">
        <v>29355</v>
      </c>
      <c r="K26" s="9" t="s">
        <v>1417</v>
      </c>
      <c r="L26" s="9" t="s">
        <v>1974</v>
      </c>
      <c r="N26" s="48"/>
      <c r="P26" s="347"/>
      <c r="Q26" s="347"/>
    </row>
    <row r="27" spans="1:19" ht="15" hidden="1" customHeight="1" x14ac:dyDescent="0.25">
      <c r="A27" s="20" t="s">
        <v>5474</v>
      </c>
      <c r="B27" s="20" t="s">
        <v>597</v>
      </c>
      <c r="C27" s="20" t="s">
        <v>4354</v>
      </c>
      <c r="D27" s="20" t="s">
        <v>3707</v>
      </c>
      <c r="E27" s="20" t="s">
        <v>3708</v>
      </c>
      <c r="F27" s="20" t="s">
        <v>3709</v>
      </c>
      <c r="G27" s="20">
        <v>300</v>
      </c>
      <c r="H27" s="20">
        <v>4</v>
      </c>
      <c r="I27" s="20">
        <v>9198</v>
      </c>
      <c r="J27" s="36">
        <v>29355</v>
      </c>
      <c r="K27" s="20" t="s">
        <v>440</v>
      </c>
      <c r="L27" s="20" t="s">
        <v>1974</v>
      </c>
      <c r="N27" s="48"/>
      <c r="P27" s="347">
        <v>241</v>
      </c>
      <c r="Q27" s="348">
        <f>P27*100%/(1000)</f>
        <v>0.24099999999999999</v>
      </c>
    </row>
    <row r="28" spans="1:19" ht="15" hidden="1" customHeight="1" x14ac:dyDescent="0.25">
      <c r="A28" s="60" t="s">
        <v>5474</v>
      </c>
      <c r="B28" s="141" t="s">
        <v>34</v>
      </c>
      <c r="C28" s="141" t="s">
        <v>4355</v>
      </c>
      <c r="D28" s="141" t="s">
        <v>3710</v>
      </c>
      <c r="E28" s="141" t="s">
        <v>3711</v>
      </c>
      <c r="F28" s="141" t="s">
        <v>3712</v>
      </c>
      <c r="G28" s="141">
        <v>302</v>
      </c>
      <c r="H28" s="141">
        <v>35</v>
      </c>
      <c r="I28" s="141">
        <v>9198</v>
      </c>
      <c r="J28" s="62">
        <v>29355</v>
      </c>
      <c r="K28" s="141" t="s">
        <v>440</v>
      </c>
      <c r="L28" s="141" t="s">
        <v>1974</v>
      </c>
      <c r="N28" s="48"/>
      <c r="P28" s="347"/>
      <c r="Q28" s="347"/>
    </row>
    <row r="29" spans="1:19" ht="15" hidden="1" customHeight="1" x14ac:dyDescent="0.25">
      <c r="A29" s="28" t="s">
        <v>5474</v>
      </c>
      <c r="B29" s="9" t="s">
        <v>249</v>
      </c>
      <c r="C29" s="9" t="s">
        <v>4356</v>
      </c>
      <c r="D29" s="9" t="s">
        <v>3713</v>
      </c>
      <c r="E29" s="9" t="s">
        <v>3714</v>
      </c>
      <c r="F29" s="9" t="s">
        <v>3715</v>
      </c>
      <c r="G29" s="9">
        <v>301</v>
      </c>
      <c r="H29" s="9">
        <v>1</v>
      </c>
      <c r="I29" s="9">
        <v>9198</v>
      </c>
      <c r="J29" s="73">
        <v>29355</v>
      </c>
      <c r="K29" s="9" t="s">
        <v>440</v>
      </c>
      <c r="L29" s="9" t="s">
        <v>1974</v>
      </c>
      <c r="N29" s="48"/>
      <c r="P29" s="347"/>
      <c r="Q29" s="347"/>
    </row>
    <row r="30" spans="1:19" ht="15" hidden="1" customHeight="1" x14ac:dyDescent="0.25">
      <c r="A30" s="154" t="s">
        <v>5474</v>
      </c>
      <c r="B30" s="154" t="s">
        <v>3781</v>
      </c>
      <c r="C30" s="154" t="s">
        <v>4353</v>
      </c>
      <c r="D30" s="154" t="s">
        <v>4173</v>
      </c>
      <c r="E30" s="154" t="s">
        <v>4174</v>
      </c>
      <c r="F30" s="154" t="s">
        <v>4175</v>
      </c>
      <c r="G30" s="154">
        <v>303</v>
      </c>
      <c r="H30" s="154">
        <v>1</v>
      </c>
      <c r="I30" s="154">
        <v>9198</v>
      </c>
      <c r="J30" s="155">
        <v>29355</v>
      </c>
      <c r="K30" s="154" t="s">
        <v>440</v>
      </c>
      <c r="L30" s="154" t="s">
        <v>1974</v>
      </c>
      <c r="N30" s="48"/>
      <c r="P30" s="347"/>
      <c r="Q30" s="347"/>
    </row>
    <row r="31" spans="1:19" ht="15" hidden="1" customHeight="1" x14ac:dyDescent="0.25">
      <c r="A31" s="57" t="s">
        <v>5474</v>
      </c>
      <c r="B31" s="57" t="s">
        <v>11</v>
      </c>
      <c r="C31" s="57" t="s">
        <v>7423</v>
      </c>
      <c r="D31" s="57" t="s">
        <v>7174</v>
      </c>
      <c r="E31" s="57" t="s">
        <v>7175</v>
      </c>
      <c r="F31" s="57" t="s">
        <v>7176</v>
      </c>
      <c r="G31" s="57">
        <v>503</v>
      </c>
      <c r="H31" s="57">
        <v>200</v>
      </c>
      <c r="I31" s="57">
        <v>9198</v>
      </c>
      <c r="J31" s="57">
        <v>29355</v>
      </c>
      <c r="K31" s="57" t="s">
        <v>440</v>
      </c>
      <c r="L31" s="57" t="s">
        <v>1974</v>
      </c>
      <c r="N31" s="48"/>
      <c r="P31" s="347"/>
      <c r="Q31" s="347"/>
    </row>
    <row r="32" spans="1:19" ht="15" hidden="1" customHeight="1" x14ac:dyDescent="0.25">
      <c r="A32" s="57" t="s">
        <v>5476</v>
      </c>
      <c r="B32" s="57" t="s">
        <v>11</v>
      </c>
      <c r="C32" s="57" t="s">
        <v>3326</v>
      </c>
      <c r="D32" s="57" t="s">
        <v>2655</v>
      </c>
      <c r="E32" s="57" t="s">
        <v>2656</v>
      </c>
      <c r="F32" s="57" t="s">
        <v>2657</v>
      </c>
      <c r="G32" s="57">
        <v>2003</v>
      </c>
      <c r="H32" s="57">
        <v>750</v>
      </c>
      <c r="I32" s="57">
        <v>9198</v>
      </c>
      <c r="J32" s="58">
        <v>29355</v>
      </c>
      <c r="K32" s="57" t="s">
        <v>428</v>
      </c>
      <c r="L32" s="57" t="s">
        <v>1974</v>
      </c>
      <c r="N32" s="48"/>
      <c r="P32" s="347">
        <v>1008</v>
      </c>
      <c r="Q32" s="348">
        <f>P32*100%/(1000)</f>
        <v>1.008</v>
      </c>
      <c r="R32" s="183" t="s">
        <v>4329</v>
      </c>
    </row>
    <row r="33" spans="1:19" ht="15" hidden="1" customHeight="1" x14ac:dyDescent="0.25">
      <c r="A33" s="61" t="s">
        <v>5476</v>
      </c>
      <c r="B33" s="61" t="s">
        <v>34</v>
      </c>
      <c r="C33" s="61" t="s">
        <v>3324</v>
      </c>
      <c r="D33" s="61" t="s">
        <v>2649</v>
      </c>
      <c r="E33" s="61" t="s">
        <v>2650</v>
      </c>
      <c r="F33" s="61" t="s">
        <v>2651</v>
      </c>
      <c r="G33" s="61">
        <v>2002</v>
      </c>
      <c r="H33" s="61">
        <v>257</v>
      </c>
      <c r="I33" s="61">
        <v>9198</v>
      </c>
      <c r="J33" s="62">
        <v>29355</v>
      </c>
      <c r="K33" s="61" t="s">
        <v>1458</v>
      </c>
      <c r="L33" s="61" t="s">
        <v>1974</v>
      </c>
      <c r="N33" s="48"/>
      <c r="P33" s="347"/>
      <c r="Q33" s="347"/>
      <c r="R33" s="189" t="s">
        <v>4341</v>
      </c>
      <c r="S33" s="3" t="s">
        <v>4340</v>
      </c>
    </row>
    <row r="34" spans="1:19" ht="15" hidden="1" customHeight="1" x14ac:dyDescent="0.25">
      <c r="A34" s="9" t="s">
        <v>5476</v>
      </c>
      <c r="B34" s="9" t="s">
        <v>249</v>
      </c>
      <c r="C34" s="9" t="s">
        <v>3325</v>
      </c>
      <c r="D34" s="9" t="s">
        <v>2652</v>
      </c>
      <c r="E34" s="9" t="s">
        <v>2653</v>
      </c>
      <c r="F34" s="9" t="s">
        <v>2654</v>
      </c>
      <c r="G34" s="9">
        <v>2004</v>
      </c>
      <c r="H34" s="9">
        <v>1</v>
      </c>
      <c r="I34" s="9">
        <v>9198</v>
      </c>
      <c r="J34" s="37">
        <v>29355</v>
      </c>
      <c r="K34" s="9" t="s">
        <v>1458</v>
      </c>
      <c r="L34" s="9" t="s">
        <v>1974</v>
      </c>
      <c r="N34" s="48"/>
      <c r="P34" s="347"/>
      <c r="Q34" s="347"/>
      <c r="R34" s="189" t="s">
        <v>4896</v>
      </c>
      <c r="S34" s="208" t="s">
        <v>5226</v>
      </c>
    </row>
    <row r="35" spans="1:19" ht="15" hidden="1" customHeight="1" x14ac:dyDescent="0.3">
      <c r="A35" s="20" t="s">
        <v>7461</v>
      </c>
      <c r="B35" s="20" t="s">
        <v>597</v>
      </c>
      <c r="C35" s="20" t="s">
        <v>1507</v>
      </c>
      <c r="D35" s="20"/>
      <c r="E35" s="20"/>
      <c r="F35" s="20"/>
      <c r="G35" s="20">
        <v>2438</v>
      </c>
      <c r="H35" s="20">
        <v>2</v>
      </c>
      <c r="I35" s="20" t="s">
        <v>1454</v>
      </c>
      <c r="J35" s="20" t="s">
        <v>1454</v>
      </c>
      <c r="K35" s="20" t="s">
        <v>430</v>
      </c>
      <c r="L35" s="20" t="s">
        <v>1972</v>
      </c>
      <c r="N35" s="48"/>
      <c r="P35" s="324"/>
      <c r="Q35" s="324"/>
      <c r="R35" s="189"/>
      <c r="S35" s="208"/>
    </row>
    <row r="36" spans="1:19" ht="15" hidden="1" customHeight="1" x14ac:dyDescent="0.3">
      <c r="A36" s="61" t="s">
        <v>7461</v>
      </c>
      <c r="B36" s="61" t="s">
        <v>34</v>
      </c>
      <c r="C36" s="61" t="s">
        <v>1507</v>
      </c>
      <c r="D36" s="61"/>
      <c r="E36" s="61"/>
      <c r="F36" s="61"/>
      <c r="G36" s="61">
        <v>2439</v>
      </c>
      <c r="H36" s="61">
        <v>40</v>
      </c>
      <c r="I36" s="61" t="s">
        <v>1454</v>
      </c>
      <c r="J36" s="61" t="s">
        <v>1454</v>
      </c>
      <c r="K36" s="61" t="s">
        <v>430</v>
      </c>
      <c r="L36" s="61" t="s">
        <v>1972</v>
      </c>
      <c r="N36" s="48"/>
      <c r="P36" s="324"/>
      <c r="Q36" s="324"/>
      <c r="R36" s="189"/>
      <c r="S36" s="208"/>
    </row>
    <row r="37" spans="1:19" ht="15" hidden="1" customHeight="1" x14ac:dyDescent="0.3">
      <c r="A37" s="154" t="s">
        <v>7461</v>
      </c>
      <c r="B37" s="154" t="s">
        <v>3781</v>
      </c>
      <c r="C37" s="154" t="s">
        <v>1507</v>
      </c>
      <c r="D37" s="154"/>
      <c r="E37" s="154"/>
      <c r="F37" s="154"/>
      <c r="G37" s="154">
        <v>2440</v>
      </c>
      <c r="H37" s="154">
        <v>1</v>
      </c>
      <c r="I37" s="154" t="s">
        <v>1454</v>
      </c>
      <c r="J37" s="154" t="s">
        <v>1454</v>
      </c>
      <c r="K37" s="154" t="s">
        <v>430</v>
      </c>
      <c r="L37" s="154" t="s">
        <v>1972</v>
      </c>
      <c r="N37" s="48"/>
      <c r="P37" s="324"/>
      <c r="Q37" s="324"/>
      <c r="R37" s="189"/>
      <c r="S37" s="208"/>
    </row>
    <row r="38" spans="1:19" ht="15" hidden="1" customHeight="1" x14ac:dyDescent="0.25">
      <c r="A38" s="20" t="s">
        <v>5477</v>
      </c>
      <c r="B38" s="20" t="s">
        <v>597</v>
      </c>
      <c r="C38" s="20" t="s">
        <v>2520</v>
      </c>
      <c r="D38" s="20" t="s">
        <v>2400</v>
      </c>
      <c r="E38" s="20" t="s">
        <v>2401</v>
      </c>
      <c r="F38" s="20" t="s">
        <v>2402</v>
      </c>
      <c r="G38" s="20">
        <v>201</v>
      </c>
      <c r="H38" s="20">
        <v>10</v>
      </c>
      <c r="I38" s="20">
        <v>9198</v>
      </c>
      <c r="J38" s="36">
        <v>29355</v>
      </c>
      <c r="K38" s="20" t="s">
        <v>430</v>
      </c>
      <c r="L38" s="20" t="s">
        <v>1974</v>
      </c>
      <c r="P38" s="347">
        <v>1212</v>
      </c>
      <c r="Q38" s="348">
        <f>P38*100%/(1000)</f>
        <v>1.212</v>
      </c>
      <c r="R38" s="146" t="s">
        <v>2924</v>
      </c>
      <c r="S38" s="129" t="s">
        <v>2908</v>
      </c>
    </row>
    <row r="39" spans="1:19" ht="15" hidden="1" customHeight="1" x14ac:dyDescent="0.25">
      <c r="A39" s="57" t="s">
        <v>5477</v>
      </c>
      <c r="B39" s="57" t="s">
        <v>11</v>
      </c>
      <c r="C39" s="57" t="s">
        <v>2749</v>
      </c>
      <c r="D39" s="57" t="s">
        <v>2737</v>
      </c>
      <c r="E39" s="57" t="s">
        <v>2738</v>
      </c>
      <c r="F39" s="57" t="s">
        <v>2739</v>
      </c>
      <c r="G39" s="57">
        <v>207</v>
      </c>
      <c r="H39" s="57">
        <v>866</v>
      </c>
      <c r="I39" s="57">
        <v>9198</v>
      </c>
      <c r="J39" s="58">
        <v>29355</v>
      </c>
      <c r="K39" s="57" t="s">
        <v>654</v>
      </c>
      <c r="L39" s="57" t="s">
        <v>1974</v>
      </c>
      <c r="P39" s="347"/>
      <c r="Q39" s="347"/>
      <c r="R39" s="146" t="s">
        <v>3691</v>
      </c>
      <c r="S39" s="129"/>
    </row>
    <row r="40" spans="1:19" ht="15" hidden="1" customHeight="1" x14ac:dyDescent="0.25">
      <c r="A40" s="61" t="s">
        <v>5477</v>
      </c>
      <c r="B40" s="61" t="s">
        <v>34</v>
      </c>
      <c r="C40" s="61" t="s">
        <v>2519</v>
      </c>
      <c r="D40" s="61" t="s">
        <v>2397</v>
      </c>
      <c r="E40" s="61" t="s">
        <v>2398</v>
      </c>
      <c r="F40" s="61" t="s">
        <v>2399</v>
      </c>
      <c r="G40" s="61">
        <v>200</v>
      </c>
      <c r="H40" s="61">
        <v>334</v>
      </c>
      <c r="I40" s="61">
        <v>9198</v>
      </c>
      <c r="J40" s="62">
        <v>29355</v>
      </c>
      <c r="K40" s="61" t="s">
        <v>430</v>
      </c>
      <c r="L40" s="61" t="s">
        <v>1974</v>
      </c>
      <c r="P40" s="347"/>
      <c r="Q40" s="347"/>
      <c r="R40" s="146" t="s">
        <v>6060</v>
      </c>
      <c r="S40" s="129"/>
    </row>
    <row r="41" spans="1:19" ht="14.25" hidden="1" customHeight="1" x14ac:dyDescent="0.25">
      <c r="A41" s="9" t="s">
        <v>5477</v>
      </c>
      <c r="B41" s="9" t="s">
        <v>249</v>
      </c>
      <c r="C41" s="9" t="s">
        <v>2748</v>
      </c>
      <c r="D41" s="9" t="s">
        <v>2740</v>
      </c>
      <c r="E41" s="9" t="s">
        <v>2741</v>
      </c>
      <c r="F41" s="9" t="s">
        <v>2742</v>
      </c>
      <c r="G41" s="9">
        <v>206</v>
      </c>
      <c r="H41" s="9">
        <v>1</v>
      </c>
      <c r="I41" s="9">
        <v>9198</v>
      </c>
      <c r="J41" s="73">
        <v>29355</v>
      </c>
      <c r="K41" s="9" t="s">
        <v>430</v>
      </c>
      <c r="L41" s="9" t="s">
        <v>1974</v>
      </c>
      <c r="P41" s="347"/>
      <c r="Q41" s="347"/>
      <c r="R41" s="262" t="s">
        <v>6222</v>
      </c>
      <c r="S41" s="129"/>
    </row>
    <row r="42" spans="1:19" ht="14.25" hidden="1" customHeight="1" x14ac:dyDescent="0.25">
      <c r="A42" s="154" t="s">
        <v>5477</v>
      </c>
      <c r="B42" s="154" t="s">
        <v>3781</v>
      </c>
      <c r="C42" s="154" t="s">
        <v>4844</v>
      </c>
      <c r="D42" s="154" t="s">
        <v>4807</v>
      </c>
      <c r="E42" s="154" t="s">
        <v>4808</v>
      </c>
      <c r="F42" s="154" t="s">
        <v>4809</v>
      </c>
      <c r="G42" s="154">
        <v>203</v>
      </c>
      <c r="H42" s="154">
        <v>1</v>
      </c>
      <c r="I42" s="154">
        <v>9198</v>
      </c>
      <c r="J42" s="155">
        <v>29355</v>
      </c>
      <c r="K42" s="154" t="s">
        <v>654</v>
      </c>
      <c r="L42" s="154" t="s">
        <v>1974</v>
      </c>
      <c r="P42" s="347"/>
      <c r="Q42" s="347"/>
      <c r="R42" s="183"/>
      <c r="S42" s="129"/>
    </row>
    <row r="43" spans="1:19" s="3" customFormat="1" ht="14.25" hidden="1" customHeight="1" x14ac:dyDescent="0.25">
      <c r="A43" s="57" t="s">
        <v>5478</v>
      </c>
      <c r="B43" s="57" t="s">
        <v>11</v>
      </c>
      <c r="C43" s="57" t="s">
        <v>2129</v>
      </c>
      <c r="D43" s="57" t="s">
        <v>2051</v>
      </c>
      <c r="E43" s="57" t="s">
        <v>2052</v>
      </c>
      <c r="F43" s="57" t="s">
        <v>2053</v>
      </c>
      <c r="G43" s="57">
        <v>994</v>
      </c>
      <c r="H43" s="57">
        <v>2535</v>
      </c>
      <c r="I43" s="57">
        <v>9198</v>
      </c>
      <c r="J43" s="58">
        <v>29355</v>
      </c>
      <c r="K43" s="57" t="s">
        <v>522</v>
      </c>
      <c r="L43" s="57" t="s">
        <v>1973</v>
      </c>
      <c r="N43" s="191"/>
      <c r="P43" s="347">
        <v>3420</v>
      </c>
      <c r="Q43" s="348">
        <f>P43*100%/(10000)</f>
        <v>0.34200000000000003</v>
      </c>
      <c r="R43" s="145" t="s">
        <v>3754</v>
      </c>
      <c r="S43" s="146" t="s">
        <v>4506</v>
      </c>
    </row>
    <row r="44" spans="1:19" ht="14.25" hidden="1" customHeight="1" x14ac:dyDescent="0.25">
      <c r="A44" s="28" t="s">
        <v>5478</v>
      </c>
      <c r="B44" s="9" t="s">
        <v>249</v>
      </c>
      <c r="C44" s="9" t="s">
        <v>2128</v>
      </c>
      <c r="D44" s="9" t="s">
        <v>2048</v>
      </c>
      <c r="E44" s="9" t="s">
        <v>2049</v>
      </c>
      <c r="F44" s="9" t="s">
        <v>2050</v>
      </c>
      <c r="G44" s="9">
        <v>897</v>
      </c>
      <c r="H44" s="9">
        <v>1</v>
      </c>
      <c r="I44" s="9">
        <v>9198</v>
      </c>
      <c r="J44" s="37">
        <v>29355</v>
      </c>
      <c r="K44" s="9" t="s">
        <v>522</v>
      </c>
      <c r="L44" s="9" t="s">
        <v>1973</v>
      </c>
      <c r="N44" s="48"/>
      <c r="P44" s="347"/>
      <c r="Q44" s="347"/>
      <c r="R44" s="146" t="s">
        <v>4604</v>
      </c>
      <c r="S44" s="129"/>
    </row>
    <row r="45" spans="1:19" ht="14.25" hidden="1" customHeight="1" x14ac:dyDescent="0.25">
      <c r="A45" s="61" t="s">
        <v>5478</v>
      </c>
      <c r="B45" s="61" t="s">
        <v>34</v>
      </c>
      <c r="C45" s="61" t="s">
        <v>2127</v>
      </c>
      <c r="D45" s="61" t="s">
        <v>2410</v>
      </c>
      <c r="E45" s="61" t="s">
        <v>2409</v>
      </c>
      <c r="F45" s="61" t="s">
        <v>2408</v>
      </c>
      <c r="G45" s="61">
        <v>896</v>
      </c>
      <c r="H45" s="61">
        <v>883</v>
      </c>
      <c r="I45" s="61">
        <v>9198</v>
      </c>
      <c r="J45" s="62">
        <v>29355</v>
      </c>
      <c r="K45" s="61" t="s">
        <v>522</v>
      </c>
      <c r="L45" s="61" t="s">
        <v>1973</v>
      </c>
      <c r="N45" s="48"/>
      <c r="P45" s="347"/>
      <c r="Q45" s="347"/>
      <c r="R45" s="212"/>
      <c r="S45" s="129"/>
    </row>
    <row r="46" spans="1:19" ht="14.25" hidden="1" customHeight="1" x14ac:dyDescent="0.25">
      <c r="A46" s="154" t="s">
        <v>5478</v>
      </c>
      <c r="B46" s="154" t="s">
        <v>3781</v>
      </c>
      <c r="C46" s="154" t="s">
        <v>6155</v>
      </c>
      <c r="D46" s="154" t="s">
        <v>6056</v>
      </c>
      <c r="E46" s="154" t="s">
        <v>6054</v>
      </c>
      <c r="F46" s="154" t="s">
        <v>6055</v>
      </c>
      <c r="G46" s="154">
        <v>978</v>
      </c>
      <c r="H46" s="154">
        <v>1</v>
      </c>
      <c r="I46" s="154">
        <v>9198</v>
      </c>
      <c r="J46" s="155">
        <v>29355</v>
      </c>
      <c r="K46" s="154" t="s">
        <v>428</v>
      </c>
      <c r="L46" s="154" t="s">
        <v>1973</v>
      </c>
      <c r="N46" s="48"/>
      <c r="P46" s="347"/>
      <c r="Q46" s="347"/>
      <c r="R46" s="212"/>
      <c r="S46" s="129"/>
    </row>
    <row r="47" spans="1:19" ht="15" hidden="1" customHeight="1" x14ac:dyDescent="0.25">
      <c r="A47" s="20" t="s">
        <v>5479</v>
      </c>
      <c r="B47" s="20" t="s">
        <v>597</v>
      </c>
      <c r="C47" s="20" t="s">
        <v>783</v>
      </c>
      <c r="D47" s="20" t="s">
        <v>631</v>
      </c>
      <c r="E47" s="20" t="s">
        <v>632</v>
      </c>
      <c r="F47" s="20" t="s">
        <v>633</v>
      </c>
      <c r="G47" s="20">
        <v>1044</v>
      </c>
      <c r="H47" s="20">
        <v>10</v>
      </c>
      <c r="I47" s="20">
        <v>9198</v>
      </c>
      <c r="J47" s="36">
        <v>65008</v>
      </c>
      <c r="K47" s="20" t="s">
        <v>434</v>
      </c>
      <c r="L47" s="20" t="s">
        <v>1974</v>
      </c>
      <c r="N47" s="48"/>
      <c r="P47" s="347">
        <v>197</v>
      </c>
      <c r="Q47" s="348">
        <f>P47*100%/(1000)</f>
        <v>0.19700000000000001</v>
      </c>
      <c r="R47" s="212"/>
      <c r="S47" s="129"/>
    </row>
    <row r="48" spans="1:19" ht="15" hidden="1" customHeight="1" x14ac:dyDescent="0.25">
      <c r="A48" s="61" t="s">
        <v>5479</v>
      </c>
      <c r="B48" s="61" t="s">
        <v>34</v>
      </c>
      <c r="C48" s="61" t="s">
        <v>782</v>
      </c>
      <c r="D48" s="61" t="s">
        <v>628</v>
      </c>
      <c r="E48" s="61" t="s">
        <v>629</v>
      </c>
      <c r="F48" s="61" t="s">
        <v>630</v>
      </c>
      <c r="G48" s="61">
        <v>1043</v>
      </c>
      <c r="H48" s="61">
        <v>175</v>
      </c>
      <c r="I48" s="61">
        <v>9198</v>
      </c>
      <c r="J48" s="62">
        <v>65008</v>
      </c>
      <c r="K48" s="61" t="s">
        <v>434</v>
      </c>
      <c r="L48" s="61" t="s">
        <v>1974</v>
      </c>
      <c r="N48" s="4"/>
      <c r="P48" s="347"/>
      <c r="Q48" s="347"/>
      <c r="S48" s="129"/>
    </row>
    <row r="49" spans="1:19" ht="15" hidden="1" customHeight="1" x14ac:dyDescent="0.25">
      <c r="A49" s="61" t="s">
        <v>5480</v>
      </c>
      <c r="B49" s="61" t="s">
        <v>34</v>
      </c>
      <c r="C49" s="61" t="s">
        <v>1348</v>
      </c>
      <c r="D49" s="61" t="s">
        <v>1160</v>
      </c>
      <c r="E49" s="61" t="s">
        <v>1161</v>
      </c>
      <c r="F49" s="61" t="s">
        <v>1162</v>
      </c>
      <c r="G49" s="61">
        <v>293</v>
      </c>
      <c r="H49" s="61">
        <v>43</v>
      </c>
      <c r="I49" s="61">
        <v>9198</v>
      </c>
      <c r="J49" s="62">
        <v>29355</v>
      </c>
      <c r="K49" s="61" t="s">
        <v>436</v>
      </c>
      <c r="L49" s="61" t="s">
        <v>1974</v>
      </c>
      <c r="N49" s="4"/>
      <c r="P49" s="347">
        <v>74</v>
      </c>
      <c r="Q49" s="348">
        <f>P49*100%/(1000)</f>
        <v>7.3999999999999996E-2</v>
      </c>
      <c r="R49" s="183"/>
      <c r="S49" s="129"/>
    </row>
    <row r="50" spans="1:19" ht="15" hidden="1" customHeight="1" x14ac:dyDescent="0.25">
      <c r="A50" s="9" t="s">
        <v>5480</v>
      </c>
      <c r="B50" s="9" t="s">
        <v>249</v>
      </c>
      <c r="C50" s="9" t="s">
        <v>1349</v>
      </c>
      <c r="D50" s="9" t="s">
        <v>1163</v>
      </c>
      <c r="E50" s="9" t="s">
        <v>1164</v>
      </c>
      <c r="F50" s="9" t="s">
        <v>1165</v>
      </c>
      <c r="G50" s="9">
        <v>294</v>
      </c>
      <c r="H50" s="9">
        <v>1</v>
      </c>
      <c r="I50" s="9">
        <v>9198</v>
      </c>
      <c r="J50" s="37">
        <v>29355</v>
      </c>
      <c r="K50" s="9" t="s">
        <v>436</v>
      </c>
      <c r="L50" s="9" t="s">
        <v>1974</v>
      </c>
      <c r="N50" s="4"/>
      <c r="P50" s="347"/>
      <c r="Q50" s="347"/>
      <c r="R50" s="183"/>
      <c r="S50" s="129"/>
    </row>
    <row r="51" spans="1:19" ht="15" hidden="1" customHeight="1" x14ac:dyDescent="0.25">
      <c r="A51" s="46" t="s">
        <v>5480</v>
      </c>
      <c r="B51" s="46" t="s">
        <v>1014</v>
      </c>
      <c r="C51" s="46" t="s">
        <v>1752</v>
      </c>
      <c r="D51" s="46" t="s">
        <v>1744</v>
      </c>
      <c r="E51" s="46" t="s">
        <v>1745</v>
      </c>
      <c r="F51" s="46" t="s">
        <v>1746</v>
      </c>
      <c r="G51" s="46">
        <v>298</v>
      </c>
      <c r="H51" s="46">
        <v>30</v>
      </c>
      <c r="I51" s="46">
        <v>9198</v>
      </c>
      <c r="J51" s="47">
        <v>29355</v>
      </c>
      <c r="K51" s="46" t="s">
        <v>428</v>
      </c>
      <c r="L51" s="46" t="s">
        <v>1974</v>
      </c>
      <c r="M51" s="4"/>
      <c r="N51" s="4"/>
      <c r="P51" s="347"/>
      <c r="Q51" s="347"/>
      <c r="S51" s="129"/>
    </row>
    <row r="52" spans="1:19" ht="15" hidden="1" customHeight="1" x14ac:dyDescent="0.25">
      <c r="A52" s="20" t="s">
        <v>5481</v>
      </c>
      <c r="B52" s="20" t="s">
        <v>597</v>
      </c>
      <c r="C52" s="20" t="s">
        <v>7340</v>
      </c>
      <c r="D52" s="20" t="s">
        <v>3725</v>
      </c>
      <c r="E52" s="20" t="s">
        <v>3726</v>
      </c>
      <c r="F52" s="20" t="s">
        <v>3727</v>
      </c>
      <c r="G52" s="20">
        <v>1794</v>
      </c>
      <c r="H52" s="20">
        <v>4</v>
      </c>
      <c r="I52" s="20">
        <v>9198</v>
      </c>
      <c r="J52" s="36">
        <v>29355</v>
      </c>
      <c r="K52" s="20" t="s">
        <v>1417</v>
      </c>
      <c r="L52" s="20" t="s">
        <v>1974</v>
      </c>
      <c r="N52" s="48"/>
      <c r="P52" s="347">
        <v>295</v>
      </c>
      <c r="Q52" s="348">
        <f>P52*100%/(1000)</f>
        <v>0.29499999999999998</v>
      </c>
      <c r="R52" s="212"/>
      <c r="S52" s="129"/>
    </row>
    <row r="53" spans="1:19" ht="15" hidden="1" customHeight="1" x14ac:dyDescent="0.25">
      <c r="A53" s="61" t="s">
        <v>5481</v>
      </c>
      <c r="B53" s="61" t="s">
        <v>34</v>
      </c>
      <c r="C53" s="61" t="s">
        <v>6064</v>
      </c>
      <c r="D53" s="61" t="s">
        <v>4097</v>
      </c>
      <c r="E53" s="61" t="s">
        <v>4098</v>
      </c>
      <c r="F53" s="61" t="s">
        <v>4099</v>
      </c>
      <c r="G53" s="61">
        <v>507</v>
      </c>
      <c r="H53" s="61">
        <v>89</v>
      </c>
      <c r="I53" s="61">
        <v>9198</v>
      </c>
      <c r="J53" s="62">
        <v>29355</v>
      </c>
      <c r="K53" s="61" t="s">
        <v>1417</v>
      </c>
      <c r="L53" s="61" t="s">
        <v>1974</v>
      </c>
      <c r="M53" s="4"/>
      <c r="N53" s="4"/>
      <c r="P53" s="347"/>
      <c r="Q53" s="347"/>
      <c r="S53" s="129"/>
    </row>
    <row r="54" spans="1:19" ht="15" hidden="1" customHeight="1" x14ac:dyDescent="0.25">
      <c r="A54" s="9" t="s">
        <v>5481</v>
      </c>
      <c r="B54" s="9" t="s">
        <v>249</v>
      </c>
      <c r="C54" s="9" t="s">
        <v>4642</v>
      </c>
      <c r="D54" s="9" t="s">
        <v>4492</v>
      </c>
      <c r="E54" s="9" t="s">
        <v>4493</v>
      </c>
      <c r="F54" s="9" t="s">
        <v>4494</v>
      </c>
      <c r="G54" s="9">
        <v>508</v>
      </c>
      <c r="H54" s="9">
        <v>1</v>
      </c>
      <c r="I54" s="9">
        <v>9198</v>
      </c>
      <c r="J54" s="37">
        <v>29355</v>
      </c>
      <c r="K54" s="9" t="s">
        <v>1417</v>
      </c>
      <c r="L54" s="9" t="s">
        <v>1974</v>
      </c>
      <c r="M54" s="4"/>
      <c r="N54" s="4"/>
      <c r="P54" s="347"/>
      <c r="Q54" s="347"/>
      <c r="S54" s="129"/>
    </row>
    <row r="55" spans="1:19" s="3" customFormat="1" ht="14.25" hidden="1" customHeight="1" x14ac:dyDescent="0.25">
      <c r="A55" s="57" t="s">
        <v>5481</v>
      </c>
      <c r="B55" s="57" t="s">
        <v>11</v>
      </c>
      <c r="C55" s="57" t="s">
        <v>7339</v>
      </c>
      <c r="D55" s="57" t="s">
        <v>3728</v>
      </c>
      <c r="E55" s="57" t="s">
        <v>3729</v>
      </c>
      <c r="F55" s="57" t="s">
        <v>3730</v>
      </c>
      <c r="G55" s="57">
        <v>1793</v>
      </c>
      <c r="H55" s="57">
        <v>200</v>
      </c>
      <c r="I55" s="57">
        <v>9198</v>
      </c>
      <c r="J55" s="58">
        <v>29355</v>
      </c>
      <c r="K55" s="57" t="s">
        <v>1417</v>
      </c>
      <c r="L55" s="57" t="s">
        <v>1974</v>
      </c>
      <c r="N55" s="191"/>
      <c r="P55" s="347"/>
      <c r="Q55" s="347"/>
      <c r="R55" s="145" t="s">
        <v>3754</v>
      </c>
      <c r="S55" s="146" t="s">
        <v>4506</v>
      </c>
    </row>
    <row r="56" spans="1:19" ht="15" hidden="1" customHeight="1" x14ac:dyDescent="0.25">
      <c r="A56" s="154" t="s">
        <v>5481</v>
      </c>
      <c r="B56" s="154" t="s">
        <v>3781</v>
      </c>
      <c r="C56" s="154" t="s">
        <v>4762</v>
      </c>
      <c r="D56" s="154" t="s">
        <v>4489</v>
      </c>
      <c r="E56" s="154" t="s">
        <v>4490</v>
      </c>
      <c r="F56" s="154" t="s">
        <v>4491</v>
      </c>
      <c r="G56" s="154">
        <v>509</v>
      </c>
      <c r="H56" s="154">
        <v>1</v>
      </c>
      <c r="I56" s="154">
        <v>9198</v>
      </c>
      <c r="J56" s="155">
        <v>29355</v>
      </c>
      <c r="K56" s="154" t="s">
        <v>1417</v>
      </c>
      <c r="L56" s="154" t="s">
        <v>1974</v>
      </c>
      <c r="M56" s="4"/>
      <c r="N56" s="4"/>
      <c r="P56" s="347"/>
      <c r="Q56" s="347"/>
      <c r="S56" s="129"/>
    </row>
    <row r="57" spans="1:19" ht="15" hidden="1" customHeight="1" x14ac:dyDescent="0.25">
      <c r="A57" s="61" t="s">
        <v>5177</v>
      </c>
      <c r="B57" s="61" t="s">
        <v>34</v>
      </c>
      <c r="C57" s="61" t="s">
        <v>3257</v>
      </c>
      <c r="D57" s="61" t="s">
        <v>3067</v>
      </c>
      <c r="E57" s="61" t="s">
        <v>3068</v>
      </c>
      <c r="F57" s="61" t="s">
        <v>3069</v>
      </c>
      <c r="G57" s="61">
        <v>1213</v>
      </c>
      <c r="H57" s="61">
        <v>31</v>
      </c>
      <c r="I57" s="61">
        <v>9198</v>
      </c>
      <c r="J57" s="62">
        <v>29355</v>
      </c>
      <c r="K57" s="61" t="s">
        <v>436</v>
      </c>
      <c r="L57" s="61" t="s">
        <v>1974</v>
      </c>
      <c r="M57" s="4"/>
      <c r="N57" s="4"/>
      <c r="P57" s="347">
        <v>32</v>
      </c>
      <c r="Q57" s="348">
        <f>P57*100%/(1000)</f>
        <v>3.2000000000000001E-2</v>
      </c>
      <c r="R57" s="183"/>
      <c r="S57" s="129"/>
    </row>
    <row r="58" spans="1:19" ht="15" hidden="1" customHeight="1" x14ac:dyDescent="0.25">
      <c r="A58" s="9" t="s">
        <v>5177</v>
      </c>
      <c r="B58" s="9" t="s">
        <v>249</v>
      </c>
      <c r="C58" s="9" t="s">
        <v>3258</v>
      </c>
      <c r="D58" s="9" t="s">
        <v>3070</v>
      </c>
      <c r="E58" s="9" t="s">
        <v>3071</v>
      </c>
      <c r="F58" s="9" t="s">
        <v>3072</v>
      </c>
      <c r="G58" s="9">
        <v>1215</v>
      </c>
      <c r="H58" s="9">
        <v>1</v>
      </c>
      <c r="I58" s="9">
        <v>9198</v>
      </c>
      <c r="J58" s="37">
        <v>29355</v>
      </c>
      <c r="K58" s="9" t="s">
        <v>436</v>
      </c>
      <c r="L58" s="9" t="s">
        <v>1974</v>
      </c>
      <c r="M58" s="4"/>
      <c r="N58" s="4"/>
      <c r="P58" s="347"/>
      <c r="Q58" s="347"/>
      <c r="R58" s="183"/>
      <c r="S58" s="129"/>
    </row>
    <row r="59" spans="1:19" ht="15" hidden="1" customHeight="1" x14ac:dyDescent="0.25">
      <c r="A59" s="257" t="s">
        <v>5202</v>
      </c>
      <c r="B59" s="7" t="s">
        <v>11</v>
      </c>
      <c r="C59" s="7" t="s">
        <v>1507</v>
      </c>
      <c r="D59" s="7"/>
      <c r="E59" s="7"/>
      <c r="F59" s="7" t="s">
        <v>4240</v>
      </c>
      <c r="G59" s="7">
        <v>2332</v>
      </c>
      <c r="H59" s="7">
        <v>650</v>
      </c>
      <c r="I59" s="7" t="s">
        <v>1454</v>
      </c>
      <c r="J59" s="34" t="s">
        <v>1454</v>
      </c>
      <c r="K59" s="7" t="s">
        <v>574</v>
      </c>
      <c r="L59" s="7" t="s">
        <v>1974</v>
      </c>
      <c r="M59" s="4"/>
      <c r="N59" s="4"/>
      <c r="P59" s="347">
        <v>651</v>
      </c>
      <c r="Q59" s="348">
        <f>P59*100%/(1000)</f>
        <v>0.65100000000000002</v>
      </c>
      <c r="R59" s="183"/>
      <c r="S59" s="129"/>
    </row>
    <row r="60" spans="1:19" ht="15" hidden="1" customHeight="1" x14ac:dyDescent="0.25">
      <c r="A60" s="172" t="s">
        <v>5202</v>
      </c>
      <c r="B60" s="9" t="s">
        <v>249</v>
      </c>
      <c r="C60" s="9" t="s">
        <v>1507</v>
      </c>
      <c r="D60" s="9"/>
      <c r="E60" s="9"/>
      <c r="F60" s="9" t="s">
        <v>4241</v>
      </c>
      <c r="G60" s="9">
        <v>2333</v>
      </c>
      <c r="H60" s="9">
        <v>1</v>
      </c>
      <c r="I60" s="9" t="s">
        <v>1454</v>
      </c>
      <c r="J60" s="37" t="s">
        <v>1454</v>
      </c>
      <c r="K60" s="9" t="s">
        <v>574</v>
      </c>
      <c r="L60" s="9" t="s">
        <v>1974</v>
      </c>
      <c r="M60" s="4"/>
      <c r="N60" s="4"/>
      <c r="P60" s="347"/>
      <c r="Q60" s="347"/>
      <c r="R60" s="183"/>
      <c r="S60" s="129"/>
    </row>
    <row r="61" spans="1:19" ht="15" hidden="1" customHeight="1" x14ac:dyDescent="0.25">
      <c r="A61" s="173" t="s">
        <v>5203</v>
      </c>
      <c r="B61" s="20" t="s">
        <v>597</v>
      </c>
      <c r="C61" s="20" t="s">
        <v>1507</v>
      </c>
      <c r="D61" s="20"/>
      <c r="E61" s="20"/>
      <c r="F61" s="20" t="s">
        <v>2468</v>
      </c>
      <c r="G61" s="20">
        <v>2334</v>
      </c>
      <c r="H61" s="20">
        <v>15</v>
      </c>
      <c r="I61" s="20" t="s">
        <v>1454</v>
      </c>
      <c r="J61" s="36" t="s">
        <v>1454</v>
      </c>
      <c r="K61" s="20" t="s">
        <v>1691</v>
      </c>
      <c r="L61" s="20" t="s">
        <v>1974</v>
      </c>
      <c r="M61" s="4"/>
      <c r="N61" s="4"/>
      <c r="P61" s="347">
        <v>385</v>
      </c>
      <c r="Q61" s="348">
        <f>P61*100%/(1000)</f>
        <v>0.38500000000000001</v>
      </c>
      <c r="R61" s="183"/>
      <c r="S61" s="129"/>
    </row>
    <row r="62" spans="1:19" ht="15" hidden="1" customHeight="1" x14ac:dyDescent="0.25">
      <c r="A62" s="256" t="s">
        <v>5203</v>
      </c>
      <c r="B62" s="16" t="s">
        <v>34</v>
      </c>
      <c r="C62" s="16" t="s">
        <v>1507</v>
      </c>
      <c r="D62" s="16"/>
      <c r="E62" s="16"/>
      <c r="F62" s="16" t="s">
        <v>4242</v>
      </c>
      <c r="G62" s="16">
        <v>2335</v>
      </c>
      <c r="H62" s="16">
        <v>370</v>
      </c>
      <c r="I62" s="16" t="s">
        <v>1454</v>
      </c>
      <c r="J62" s="30" t="s">
        <v>1454</v>
      </c>
      <c r="K62" s="16" t="s">
        <v>1691</v>
      </c>
      <c r="L62" s="16" t="s">
        <v>1974</v>
      </c>
      <c r="M62" s="4"/>
      <c r="N62" s="4"/>
      <c r="P62" s="347"/>
      <c r="Q62" s="347"/>
      <c r="R62" s="183"/>
      <c r="S62" s="129"/>
    </row>
    <row r="63" spans="1:19" ht="15" hidden="1" customHeight="1" x14ac:dyDescent="0.35">
      <c r="A63" s="171" t="s">
        <v>4152</v>
      </c>
      <c r="B63" s="167" t="s">
        <v>3825</v>
      </c>
      <c r="C63" s="167" t="s">
        <v>1626</v>
      </c>
      <c r="D63" s="167"/>
      <c r="E63" s="167"/>
      <c r="F63" s="167" t="s">
        <v>4146</v>
      </c>
      <c r="G63" s="167">
        <v>2341</v>
      </c>
      <c r="H63" s="167">
        <v>2</v>
      </c>
      <c r="I63" s="167" t="s">
        <v>1454</v>
      </c>
      <c r="J63" s="166" t="s">
        <v>1454</v>
      </c>
      <c r="K63" s="167" t="s">
        <v>428</v>
      </c>
      <c r="L63" s="167" t="s">
        <v>1974</v>
      </c>
      <c r="M63" s="4"/>
      <c r="N63" s="4"/>
      <c r="P63">
        <v>2</v>
      </c>
      <c r="Q63" s="303">
        <f>P63*100%/(1000)</f>
        <v>2E-3</v>
      </c>
      <c r="R63" s="183"/>
      <c r="S63" s="129"/>
    </row>
    <row r="64" spans="1:19" ht="15" hidden="1" customHeight="1" x14ac:dyDescent="0.35">
      <c r="A64" s="171" t="s">
        <v>4153</v>
      </c>
      <c r="B64" s="167" t="s">
        <v>3825</v>
      </c>
      <c r="C64" s="167" t="s">
        <v>1626</v>
      </c>
      <c r="D64" s="167"/>
      <c r="E64" s="167"/>
      <c r="F64" s="167" t="s">
        <v>4147</v>
      </c>
      <c r="G64" s="167">
        <v>2342</v>
      </c>
      <c r="H64" s="167">
        <v>17</v>
      </c>
      <c r="I64" s="167" t="s">
        <v>1454</v>
      </c>
      <c r="J64" s="166" t="s">
        <v>1454</v>
      </c>
      <c r="K64" s="167" t="s">
        <v>428</v>
      </c>
      <c r="L64" s="167" t="s">
        <v>1974</v>
      </c>
      <c r="M64" s="4"/>
      <c r="N64" s="4"/>
      <c r="P64">
        <v>17</v>
      </c>
      <c r="Q64" s="303">
        <f>P64*100%/(1000)</f>
        <v>1.7000000000000001E-2</v>
      </c>
      <c r="R64" s="183"/>
      <c r="S64" s="129"/>
    </row>
    <row r="65" spans="1:19" ht="15" hidden="1" customHeight="1" x14ac:dyDescent="0.25">
      <c r="A65" s="257" t="s">
        <v>5482</v>
      </c>
      <c r="B65" s="7" t="s">
        <v>11</v>
      </c>
      <c r="C65" s="7" t="s">
        <v>1507</v>
      </c>
      <c r="D65" s="7" t="s">
        <v>5204</v>
      </c>
      <c r="E65" s="7" t="s">
        <v>5205</v>
      </c>
      <c r="F65" s="7" t="s">
        <v>5206</v>
      </c>
      <c r="G65" s="7"/>
      <c r="H65" s="7">
        <v>650</v>
      </c>
      <c r="I65" s="7"/>
      <c r="J65" s="34">
        <v>29355</v>
      </c>
      <c r="K65" s="7" t="s">
        <v>5177</v>
      </c>
      <c r="L65" s="7" t="s">
        <v>1974</v>
      </c>
      <c r="M65" s="4"/>
      <c r="N65" s="4"/>
      <c r="P65" s="347">
        <v>1057</v>
      </c>
      <c r="Q65" s="348">
        <f>P65*100%/(1000)</f>
        <v>1.0569999999999999</v>
      </c>
      <c r="R65" s="183"/>
      <c r="S65" s="129"/>
    </row>
    <row r="66" spans="1:19" ht="15" hidden="1" customHeight="1" x14ac:dyDescent="0.25">
      <c r="A66" s="172" t="s">
        <v>5482</v>
      </c>
      <c r="B66" s="9" t="s">
        <v>249</v>
      </c>
      <c r="C66" s="9" t="s">
        <v>1507</v>
      </c>
      <c r="D66" s="9" t="s">
        <v>5207</v>
      </c>
      <c r="E66" s="9" t="s">
        <v>5208</v>
      </c>
      <c r="F66" s="9" t="s">
        <v>5209</v>
      </c>
      <c r="G66" s="9"/>
      <c r="H66" s="9">
        <v>1</v>
      </c>
      <c r="I66" s="9"/>
      <c r="J66" s="9">
        <v>29355</v>
      </c>
      <c r="K66" s="9" t="s">
        <v>5177</v>
      </c>
      <c r="L66" s="9" t="s">
        <v>1974</v>
      </c>
      <c r="M66" s="4"/>
      <c r="N66" s="4"/>
      <c r="P66" s="347"/>
      <c r="Q66" s="347"/>
      <c r="R66" s="183"/>
      <c r="S66" s="129"/>
    </row>
    <row r="67" spans="1:19" ht="15" hidden="1" customHeight="1" x14ac:dyDescent="0.25">
      <c r="A67" s="154" t="s">
        <v>5482</v>
      </c>
      <c r="B67" s="154" t="s">
        <v>3781</v>
      </c>
      <c r="C67" s="154" t="s">
        <v>1507</v>
      </c>
      <c r="D67" s="154" t="s">
        <v>6089</v>
      </c>
      <c r="E67" s="154" t="s">
        <v>6090</v>
      </c>
      <c r="F67" s="154" t="s">
        <v>6091</v>
      </c>
      <c r="G67" s="154"/>
      <c r="H67" s="154">
        <v>1</v>
      </c>
      <c r="I67" s="154"/>
      <c r="J67" s="155">
        <v>29355</v>
      </c>
      <c r="K67" s="154" t="s">
        <v>5177</v>
      </c>
      <c r="L67" s="154" t="s">
        <v>1974</v>
      </c>
      <c r="M67" s="4"/>
      <c r="N67" s="4"/>
      <c r="P67" s="347"/>
      <c r="Q67" s="347"/>
      <c r="R67" s="183"/>
      <c r="S67" s="129"/>
    </row>
    <row r="68" spans="1:19" ht="15" hidden="1" customHeight="1" x14ac:dyDescent="0.25">
      <c r="A68" s="173" t="s">
        <v>5482</v>
      </c>
      <c r="B68" s="20" t="s">
        <v>597</v>
      </c>
      <c r="C68" s="20" t="s">
        <v>1507</v>
      </c>
      <c r="D68" s="20" t="s">
        <v>5210</v>
      </c>
      <c r="E68" s="20" t="s">
        <v>5211</v>
      </c>
      <c r="F68" s="20" t="s">
        <v>5212</v>
      </c>
      <c r="G68" s="20"/>
      <c r="H68" s="20">
        <v>15</v>
      </c>
      <c r="I68" s="20"/>
      <c r="J68" s="36">
        <v>29355</v>
      </c>
      <c r="K68" s="20" t="s">
        <v>5177</v>
      </c>
      <c r="L68" s="20" t="s">
        <v>1974</v>
      </c>
      <c r="M68" s="4"/>
      <c r="N68" s="4"/>
      <c r="P68" s="347"/>
      <c r="Q68" s="347"/>
      <c r="R68" s="183"/>
      <c r="S68" s="129"/>
    </row>
    <row r="69" spans="1:19" ht="15" hidden="1" customHeight="1" x14ac:dyDescent="0.25">
      <c r="A69" s="256" t="s">
        <v>5482</v>
      </c>
      <c r="B69" s="16" t="s">
        <v>34</v>
      </c>
      <c r="C69" s="16" t="s">
        <v>1507</v>
      </c>
      <c r="D69" s="16" t="s">
        <v>5213</v>
      </c>
      <c r="E69" s="16" t="s">
        <v>5214</v>
      </c>
      <c r="F69" s="16" t="s">
        <v>5215</v>
      </c>
      <c r="G69" s="16"/>
      <c r="H69" s="16">
        <v>370</v>
      </c>
      <c r="I69" s="16"/>
      <c r="J69" s="30">
        <v>29355</v>
      </c>
      <c r="K69" s="16" t="s">
        <v>5177</v>
      </c>
      <c r="L69" s="16" t="s">
        <v>1974</v>
      </c>
      <c r="M69" s="4"/>
      <c r="N69" s="4"/>
      <c r="P69" s="347"/>
      <c r="Q69" s="347"/>
      <c r="R69" s="183"/>
      <c r="S69" s="129"/>
    </row>
    <row r="70" spans="1:19" ht="15" hidden="1" customHeight="1" x14ac:dyDescent="0.25">
      <c r="A70" s="171" t="s">
        <v>5482</v>
      </c>
      <c r="B70" s="167" t="s">
        <v>3825</v>
      </c>
      <c r="C70" s="167" t="s">
        <v>1507</v>
      </c>
      <c r="D70" s="167" t="s">
        <v>5216</v>
      </c>
      <c r="E70" s="167" t="s">
        <v>5217</v>
      </c>
      <c r="F70" s="167" t="s">
        <v>5218</v>
      </c>
      <c r="G70" s="167"/>
      <c r="H70" s="167">
        <v>20</v>
      </c>
      <c r="I70" s="167"/>
      <c r="J70" s="167">
        <v>29355</v>
      </c>
      <c r="K70" s="167" t="s">
        <v>5177</v>
      </c>
      <c r="L70" s="167" t="s">
        <v>1974</v>
      </c>
      <c r="M70" s="4"/>
      <c r="N70" s="4"/>
      <c r="P70" s="347"/>
      <c r="Q70" s="347"/>
      <c r="R70" s="183"/>
      <c r="S70" s="129"/>
    </row>
    <row r="71" spans="1:19" ht="15" hidden="1" customHeight="1" x14ac:dyDescent="0.25">
      <c r="A71" s="249" t="s">
        <v>5482</v>
      </c>
      <c r="B71" s="46" t="s">
        <v>1018</v>
      </c>
      <c r="C71" s="46" t="s">
        <v>1507</v>
      </c>
      <c r="D71" s="46" t="s">
        <v>5223</v>
      </c>
      <c r="E71" s="46" t="s">
        <v>5224</v>
      </c>
      <c r="F71" s="46" t="s">
        <v>5225</v>
      </c>
      <c r="G71" s="46"/>
      <c r="H71" s="46"/>
      <c r="I71" s="46"/>
      <c r="J71" s="47">
        <v>29355</v>
      </c>
      <c r="K71" s="46" t="s">
        <v>5177</v>
      </c>
      <c r="L71" s="46" t="s">
        <v>1974</v>
      </c>
      <c r="M71" s="4"/>
      <c r="N71" s="4"/>
      <c r="P71" s="347"/>
      <c r="Q71" s="347"/>
      <c r="R71" s="183"/>
      <c r="S71" s="129"/>
    </row>
    <row r="72" spans="1:19" ht="15" hidden="1" customHeight="1" x14ac:dyDescent="0.35">
      <c r="A72" s="165" t="s">
        <v>4154</v>
      </c>
      <c r="B72" s="167" t="s">
        <v>3825</v>
      </c>
      <c r="C72" s="167" t="s">
        <v>1626</v>
      </c>
      <c r="D72" s="167"/>
      <c r="E72" s="167"/>
      <c r="F72" s="167" t="s">
        <v>4148</v>
      </c>
      <c r="G72" s="167">
        <v>2343</v>
      </c>
      <c r="H72" s="167">
        <v>1</v>
      </c>
      <c r="I72" s="167" t="s">
        <v>1454</v>
      </c>
      <c r="J72" s="166" t="s">
        <v>1454</v>
      </c>
      <c r="K72" s="167" t="s">
        <v>428</v>
      </c>
      <c r="L72" s="165" t="s">
        <v>1974</v>
      </c>
      <c r="M72" s="4"/>
      <c r="N72" s="4"/>
      <c r="P72">
        <v>1</v>
      </c>
      <c r="Q72" s="303">
        <f>P72*100%/(1000)</f>
        <v>1E-3</v>
      </c>
      <c r="R72" s="183"/>
      <c r="S72" s="129"/>
    </row>
    <row r="73" spans="1:19" ht="15" hidden="1" customHeight="1" x14ac:dyDescent="0.35">
      <c r="A73" s="61" t="s">
        <v>7513</v>
      </c>
      <c r="B73" s="61" t="s">
        <v>7514</v>
      </c>
      <c r="C73" s="61" t="s">
        <v>1507</v>
      </c>
      <c r="D73" s="61" t="s">
        <v>7515</v>
      </c>
      <c r="E73" s="61" t="s">
        <v>7516</v>
      </c>
      <c r="F73" s="61" t="s">
        <v>7517</v>
      </c>
      <c r="G73" s="61"/>
      <c r="H73" s="61">
        <v>90</v>
      </c>
      <c r="I73" s="61">
        <v>9198</v>
      </c>
      <c r="J73" s="61">
        <v>29355</v>
      </c>
      <c r="K73" s="61" t="s">
        <v>429</v>
      </c>
      <c r="L73" s="61" t="s">
        <v>1974</v>
      </c>
      <c r="M73" s="4"/>
      <c r="N73" s="4"/>
      <c r="Q73" s="303"/>
      <c r="R73" s="183"/>
      <c r="S73" s="129"/>
    </row>
    <row r="74" spans="1:19" ht="15" hidden="1" customHeight="1" x14ac:dyDescent="0.35">
      <c r="A74" s="142" t="s">
        <v>7513</v>
      </c>
      <c r="B74" s="142" t="s">
        <v>249</v>
      </c>
      <c r="C74" s="142" t="s">
        <v>1507</v>
      </c>
      <c r="D74" s="142" t="s">
        <v>7518</v>
      </c>
      <c r="E74" s="142" t="s">
        <v>7519</v>
      </c>
      <c r="F74" s="142" t="s">
        <v>7520</v>
      </c>
      <c r="G74" s="142"/>
      <c r="H74" s="142">
        <v>1</v>
      </c>
      <c r="I74" s="142"/>
      <c r="J74" s="142">
        <v>29355</v>
      </c>
      <c r="K74" s="142" t="s">
        <v>429</v>
      </c>
      <c r="L74" s="142"/>
      <c r="M74" s="4"/>
      <c r="N74" s="4"/>
      <c r="Q74" s="303"/>
      <c r="R74" s="183"/>
      <c r="S74" s="129"/>
    </row>
    <row r="75" spans="1:19" ht="15" hidden="1" customHeight="1" x14ac:dyDescent="0.35">
      <c r="A75" s="57" t="s">
        <v>7513</v>
      </c>
      <c r="B75" s="57" t="s">
        <v>11</v>
      </c>
      <c r="C75" s="57" t="s">
        <v>1507</v>
      </c>
      <c r="D75" s="57" t="s">
        <v>7521</v>
      </c>
      <c r="E75" s="57" t="s">
        <v>7522</v>
      </c>
      <c r="F75" s="57" t="s">
        <v>7523</v>
      </c>
      <c r="G75" s="57"/>
      <c r="H75" s="57">
        <v>120</v>
      </c>
      <c r="I75" s="57"/>
      <c r="J75" s="57">
        <v>29355</v>
      </c>
      <c r="K75" s="57" t="s">
        <v>522</v>
      </c>
      <c r="L75" s="57"/>
      <c r="M75" s="4"/>
      <c r="N75" s="4"/>
      <c r="Q75" s="303"/>
      <c r="R75" s="183"/>
      <c r="S75" s="129"/>
    </row>
    <row r="76" spans="1:19" ht="15" hidden="1" customHeight="1" x14ac:dyDescent="0.35">
      <c r="A76" s="20" t="s">
        <v>7513</v>
      </c>
      <c r="B76" s="20" t="s">
        <v>597</v>
      </c>
      <c r="C76" s="20" t="s">
        <v>1507</v>
      </c>
      <c r="D76" s="20" t="s">
        <v>7524</v>
      </c>
      <c r="E76" s="20" t="s">
        <v>7525</v>
      </c>
      <c r="F76" s="20" t="s">
        <v>7526</v>
      </c>
      <c r="G76" s="20"/>
      <c r="H76" s="20">
        <v>5</v>
      </c>
      <c r="I76" s="20"/>
      <c r="J76" s="20">
        <v>29355</v>
      </c>
      <c r="K76" s="20" t="s">
        <v>428</v>
      </c>
      <c r="L76" s="20"/>
      <c r="M76" s="4"/>
      <c r="N76" s="4"/>
      <c r="Q76" s="303"/>
      <c r="R76" s="183"/>
      <c r="S76" s="129"/>
    </row>
    <row r="77" spans="1:19" ht="15" hidden="1" customHeight="1" x14ac:dyDescent="0.25">
      <c r="A77" s="20" t="s">
        <v>5483</v>
      </c>
      <c r="B77" s="20" t="s">
        <v>597</v>
      </c>
      <c r="C77" s="20" t="s">
        <v>1626</v>
      </c>
      <c r="D77" s="20" t="s">
        <v>637</v>
      </c>
      <c r="E77" s="20" t="s">
        <v>638</v>
      </c>
      <c r="F77" s="20" t="s">
        <v>639</v>
      </c>
      <c r="G77" s="20">
        <v>1118</v>
      </c>
      <c r="H77" s="20">
        <v>13</v>
      </c>
      <c r="I77" s="20">
        <v>9198</v>
      </c>
      <c r="J77" s="36">
        <v>65008</v>
      </c>
      <c r="K77" s="20" t="s">
        <v>434</v>
      </c>
      <c r="L77" s="20" t="s">
        <v>1974</v>
      </c>
      <c r="M77" s="4"/>
      <c r="N77" s="4"/>
      <c r="P77" s="347">
        <v>303</v>
      </c>
      <c r="Q77" s="348">
        <f>P77*100%/(1000)</f>
        <v>0.30299999999999999</v>
      </c>
      <c r="S77" s="129"/>
    </row>
    <row r="78" spans="1:19" ht="15" hidden="1" customHeight="1" x14ac:dyDescent="0.25">
      <c r="A78" s="61" t="s">
        <v>5483</v>
      </c>
      <c r="B78" s="61" t="s">
        <v>34</v>
      </c>
      <c r="C78" s="61" t="s">
        <v>1626</v>
      </c>
      <c r="D78" s="61" t="s">
        <v>634</v>
      </c>
      <c r="E78" s="61" t="s">
        <v>635</v>
      </c>
      <c r="F78" s="61" t="s">
        <v>636</v>
      </c>
      <c r="G78" s="61">
        <v>1045</v>
      </c>
      <c r="H78" s="61">
        <v>240</v>
      </c>
      <c r="I78" s="61">
        <v>9198</v>
      </c>
      <c r="J78" s="62">
        <v>65008</v>
      </c>
      <c r="K78" s="61" t="s">
        <v>434</v>
      </c>
      <c r="L78" s="61" t="s">
        <v>1974</v>
      </c>
      <c r="M78" s="4"/>
      <c r="N78" s="4"/>
      <c r="P78" s="347"/>
      <c r="Q78" s="347"/>
      <c r="R78" s="183"/>
      <c r="S78" s="129"/>
    </row>
    <row r="79" spans="1:19" ht="15" hidden="1" customHeight="1" x14ac:dyDescent="0.25">
      <c r="A79" s="165" t="s">
        <v>5483</v>
      </c>
      <c r="B79" s="165" t="s">
        <v>3825</v>
      </c>
      <c r="C79" s="165" t="s">
        <v>1626</v>
      </c>
      <c r="D79" s="165" t="s">
        <v>3881</v>
      </c>
      <c r="E79" s="165" t="s">
        <v>3882</v>
      </c>
      <c r="F79" s="165" t="s">
        <v>3883</v>
      </c>
      <c r="G79" s="165">
        <v>1757</v>
      </c>
      <c r="H79" s="165">
        <v>50</v>
      </c>
      <c r="I79" s="165">
        <v>9198</v>
      </c>
      <c r="J79" s="166">
        <v>65008</v>
      </c>
      <c r="K79" s="165" t="s">
        <v>428</v>
      </c>
      <c r="L79" s="165" t="s">
        <v>1974</v>
      </c>
      <c r="M79" s="4"/>
      <c r="N79" s="4"/>
      <c r="P79" s="347"/>
      <c r="Q79" s="347"/>
      <c r="R79" s="183"/>
      <c r="S79" s="129"/>
    </row>
    <row r="80" spans="1:19" ht="15" hidden="1" customHeight="1" x14ac:dyDescent="0.25">
      <c r="A80" s="20" t="s">
        <v>5484</v>
      </c>
      <c r="B80" s="20" t="s">
        <v>597</v>
      </c>
      <c r="C80" s="20" t="s">
        <v>4324</v>
      </c>
      <c r="D80" s="20" t="s">
        <v>4217</v>
      </c>
      <c r="E80" s="20" t="s">
        <v>4218</v>
      </c>
      <c r="F80" s="20" t="s">
        <v>4219</v>
      </c>
      <c r="G80" s="20">
        <v>1440</v>
      </c>
      <c r="H80" s="20">
        <v>4</v>
      </c>
      <c r="I80" s="20">
        <v>9198</v>
      </c>
      <c r="J80" s="36">
        <v>29355</v>
      </c>
      <c r="K80" s="20" t="s">
        <v>440</v>
      </c>
      <c r="L80" s="20" t="s">
        <v>1974</v>
      </c>
      <c r="P80" s="347">
        <v>107</v>
      </c>
      <c r="Q80" s="348">
        <f>P80*100%/(1000)</f>
        <v>0.107</v>
      </c>
      <c r="R80" s="183"/>
      <c r="S80" s="129"/>
    </row>
    <row r="81" spans="1:19" ht="15" hidden="1" customHeight="1" x14ac:dyDescent="0.25">
      <c r="A81" s="61" t="s">
        <v>5484</v>
      </c>
      <c r="B81" s="61" t="s">
        <v>34</v>
      </c>
      <c r="C81" s="61" t="s">
        <v>4325</v>
      </c>
      <c r="D81" s="61" t="s">
        <v>4220</v>
      </c>
      <c r="E81" s="61" t="s">
        <v>4221</v>
      </c>
      <c r="F81" s="61" t="s">
        <v>4222</v>
      </c>
      <c r="G81" s="61">
        <v>1960</v>
      </c>
      <c r="H81" s="61">
        <v>101</v>
      </c>
      <c r="I81" s="61">
        <v>9198</v>
      </c>
      <c r="J81" s="62">
        <v>29355</v>
      </c>
      <c r="K81" s="61" t="s">
        <v>440</v>
      </c>
      <c r="L81" s="61" t="s">
        <v>1974</v>
      </c>
      <c r="P81" s="347"/>
      <c r="Q81" s="347"/>
      <c r="R81" s="183"/>
      <c r="S81" s="129"/>
    </row>
    <row r="82" spans="1:19" ht="15" hidden="1" customHeight="1" x14ac:dyDescent="0.25">
      <c r="A82" s="142" t="s">
        <v>5484</v>
      </c>
      <c r="B82" s="142" t="s">
        <v>249</v>
      </c>
      <c r="C82" s="142" t="s">
        <v>4326</v>
      </c>
      <c r="D82" s="142" t="s">
        <v>4223</v>
      </c>
      <c r="E82" s="142" t="s">
        <v>4224</v>
      </c>
      <c r="F82" s="142" t="s">
        <v>4225</v>
      </c>
      <c r="G82" s="142">
        <v>1720</v>
      </c>
      <c r="H82" s="142">
        <v>1</v>
      </c>
      <c r="I82" s="142">
        <v>9198</v>
      </c>
      <c r="J82" s="37">
        <v>29355</v>
      </c>
      <c r="K82" s="142" t="s">
        <v>440</v>
      </c>
      <c r="L82" s="142" t="s">
        <v>1974</v>
      </c>
      <c r="P82" s="347"/>
      <c r="Q82" s="347"/>
      <c r="R82" s="183"/>
      <c r="S82" s="129"/>
    </row>
    <row r="83" spans="1:19" ht="15" hidden="1" customHeight="1" x14ac:dyDescent="0.25">
      <c r="A83" s="154" t="s">
        <v>5484</v>
      </c>
      <c r="B83" s="154" t="s">
        <v>3781</v>
      </c>
      <c r="C83" s="154" t="s">
        <v>4327</v>
      </c>
      <c r="D83" s="154" t="s">
        <v>4226</v>
      </c>
      <c r="E83" s="154" t="s">
        <v>4227</v>
      </c>
      <c r="F83" s="154" t="s">
        <v>4228</v>
      </c>
      <c r="G83" s="154">
        <v>1510</v>
      </c>
      <c r="H83" s="154">
        <v>1</v>
      </c>
      <c r="I83" s="154">
        <v>9198</v>
      </c>
      <c r="J83" s="155">
        <v>29355</v>
      </c>
      <c r="K83" s="154" t="s">
        <v>440</v>
      </c>
      <c r="L83" s="154" t="s">
        <v>1974</v>
      </c>
      <c r="P83" s="347"/>
      <c r="Q83" s="347"/>
      <c r="R83" s="183"/>
      <c r="S83" s="129"/>
    </row>
    <row r="84" spans="1:19" ht="15" hidden="1" customHeight="1" x14ac:dyDescent="0.25">
      <c r="A84" s="20" t="s">
        <v>5485</v>
      </c>
      <c r="B84" s="20" t="s">
        <v>597</v>
      </c>
      <c r="C84" s="20" t="s">
        <v>1383</v>
      </c>
      <c r="D84" s="20" t="s">
        <v>1229</v>
      </c>
      <c r="E84" s="20" t="s">
        <v>1230</v>
      </c>
      <c r="F84" s="20" t="s">
        <v>1231</v>
      </c>
      <c r="G84" s="20">
        <v>358</v>
      </c>
      <c r="H84" s="20">
        <v>16</v>
      </c>
      <c r="I84" s="20">
        <v>9198</v>
      </c>
      <c r="J84" s="36">
        <v>65001</v>
      </c>
      <c r="K84" s="20" t="s">
        <v>440</v>
      </c>
      <c r="L84" s="20" t="s">
        <v>1974</v>
      </c>
      <c r="M84" s="4"/>
      <c r="N84" s="4"/>
      <c r="P84" s="347">
        <v>601</v>
      </c>
      <c r="Q84" s="348">
        <f>P84*100%/(1000)</f>
        <v>0.60099999999999998</v>
      </c>
      <c r="R84" s="146" t="s">
        <v>4895</v>
      </c>
      <c r="S84" s="129"/>
    </row>
    <row r="85" spans="1:19" ht="15" hidden="1" customHeight="1" x14ac:dyDescent="0.25">
      <c r="A85" s="57" t="s">
        <v>5485</v>
      </c>
      <c r="B85" s="57" t="s">
        <v>11</v>
      </c>
      <c r="C85" s="57" t="s">
        <v>2371</v>
      </c>
      <c r="D85" s="57" t="s">
        <v>2363</v>
      </c>
      <c r="E85" s="57" t="s">
        <v>2364</v>
      </c>
      <c r="F85" s="57" t="s">
        <v>2365</v>
      </c>
      <c r="G85" s="57">
        <v>2491</v>
      </c>
      <c r="H85" s="57">
        <v>440</v>
      </c>
      <c r="I85" s="57">
        <v>9198</v>
      </c>
      <c r="J85" s="58">
        <v>65001</v>
      </c>
      <c r="K85" s="57" t="s">
        <v>1417</v>
      </c>
      <c r="L85" s="57" t="s">
        <v>1974</v>
      </c>
      <c r="M85" s="4"/>
      <c r="N85" s="4"/>
      <c r="P85" s="347"/>
      <c r="Q85" s="347"/>
      <c r="S85" s="129"/>
    </row>
    <row r="86" spans="1:19" ht="15" hidden="1" customHeight="1" x14ac:dyDescent="0.25">
      <c r="A86" s="61" t="s">
        <v>5485</v>
      </c>
      <c r="B86" s="61" t="s">
        <v>34</v>
      </c>
      <c r="C86" s="61" t="s">
        <v>784</v>
      </c>
      <c r="D86" s="61" t="s">
        <v>437</v>
      </c>
      <c r="E86" s="61" t="s">
        <v>438</v>
      </c>
      <c r="F86" s="61" t="s">
        <v>439</v>
      </c>
      <c r="G86" s="61">
        <v>356</v>
      </c>
      <c r="H86" s="61">
        <v>110</v>
      </c>
      <c r="I86" s="61">
        <v>9198</v>
      </c>
      <c r="J86" s="62">
        <v>65001</v>
      </c>
      <c r="K86" s="61" t="s">
        <v>440</v>
      </c>
      <c r="L86" s="61" t="s">
        <v>1974</v>
      </c>
      <c r="M86" s="4"/>
      <c r="N86" s="4"/>
      <c r="P86" s="347"/>
      <c r="Q86" s="347"/>
      <c r="S86" s="129"/>
    </row>
    <row r="87" spans="1:19" ht="15" hidden="1" customHeight="1" x14ac:dyDescent="0.25">
      <c r="A87" s="9" t="s">
        <v>5485</v>
      </c>
      <c r="B87" s="9" t="s">
        <v>249</v>
      </c>
      <c r="C87" s="9" t="s">
        <v>2370</v>
      </c>
      <c r="D87" s="9" t="s">
        <v>2360</v>
      </c>
      <c r="E87" s="9" t="s">
        <v>2361</v>
      </c>
      <c r="F87" s="9" t="s">
        <v>2362</v>
      </c>
      <c r="G87" s="9">
        <v>2492</v>
      </c>
      <c r="H87" s="9">
        <v>5</v>
      </c>
      <c r="I87" s="9">
        <v>9198</v>
      </c>
      <c r="J87" s="37">
        <v>65001</v>
      </c>
      <c r="K87" s="9" t="s">
        <v>440</v>
      </c>
      <c r="L87" s="9" t="s">
        <v>1974</v>
      </c>
      <c r="M87" s="4"/>
      <c r="N87" s="4"/>
      <c r="P87" s="347"/>
      <c r="Q87" s="347"/>
      <c r="R87" s="183"/>
      <c r="S87" s="129"/>
    </row>
    <row r="88" spans="1:19" ht="15" hidden="1" customHeight="1" x14ac:dyDescent="0.25">
      <c r="A88" s="46" t="s">
        <v>5485</v>
      </c>
      <c r="B88" s="46" t="s">
        <v>1014</v>
      </c>
      <c r="C88" s="46" t="s">
        <v>1616</v>
      </c>
      <c r="D88" s="46" t="s">
        <v>1453</v>
      </c>
      <c r="E88" s="46" t="s">
        <v>1451</v>
      </c>
      <c r="F88" s="46" t="s">
        <v>1452</v>
      </c>
      <c r="G88" s="46">
        <v>399</v>
      </c>
      <c r="H88" s="46">
        <v>10</v>
      </c>
      <c r="I88" s="46">
        <v>9198</v>
      </c>
      <c r="J88" s="47">
        <v>65001</v>
      </c>
      <c r="K88" s="46" t="s">
        <v>428</v>
      </c>
      <c r="L88" s="46" t="s">
        <v>1974</v>
      </c>
      <c r="M88" s="4"/>
      <c r="N88" s="4"/>
      <c r="P88" s="347"/>
      <c r="Q88" s="347"/>
      <c r="S88" s="129"/>
    </row>
    <row r="89" spans="1:19" ht="15" hidden="1" customHeight="1" x14ac:dyDescent="0.25">
      <c r="A89" s="20" t="s">
        <v>7407</v>
      </c>
      <c r="B89" s="20" t="s">
        <v>597</v>
      </c>
      <c r="C89" s="20" t="s">
        <v>7360</v>
      </c>
      <c r="D89" s="20"/>
      <c r="E89" s="20"/>
      <c r="F89" s="20" t="s">
        <v>7377</v>
      </c>
      <c r="G89" s="20">
        <v>2366</v>
      </c>
      <c r="H89" s="20">
        <v>2</v>
      </c>
      <c r="I89" s="20" t="s">
        <v>1454</v>
      </c>
      <c r="J89" s="36" t="s">
        <v>1454</v>
      </c>
      <c r="K89" s="20" t="s">
        <v>654</v>
      </c>
      <c r="L89" s="20" t="s">
        <v>1973</v>
      </c>
      <c r="M89" s="4"/>
      <c r="N89" s="4"/>
      <c r="P89" s="347">
        <v>183</v>
      </c>
      <c r="Q89" s="347"/>
      <c r="R89" s="146"/>
      <c r="S89" s="129"/>
    </row>
    <row r="90" spans="1:19" ht="15" hidden="1" customHeight="1" x14ac:dyDescent="0.25">
      <c r="A90" s="57" t="s">
        <v>7407</v>
      </c>
      <c r="B90" s="57" t="s">
        <v>11</v>
      </c>
      <c r="C90" s="57" t="s">
        <v>7362</v>
      </c>
      <c r="D90" s="57"/>
      <c r="E90" s="57"/>
      <c r="F90" s="57" t="s">
        <v>7379</v>
      </c>
      <c r="G90" s="57">
        <v>2378</v>
      </c>
      <c r="H90" s="57">
        <v>150</v>
      </c>
      <c r="I90" s="57" t="s">
        <v>1454</v>
      </c>
      <c r="J90" s="58" t="s">
        <v>1454</v>
      </c>
      <c r="K90" s="57" t="s">
        <v>654</v>
      </c>
      <c r="L90" s="57" t="s">
        <v>1973</v>
      </c>
      <c r="M90" s="4"/>
      <c r="N90" s="4"/>
      <c r="P90" s="347"/>
      <c r="Q90" s="347"/>
      <c r="S90" s="129"/>
    </row>
    <row r="91" spans="1:19" ht="15" hidden="1" customHeight="1" x14ac:dyDescent="0.25">
      <c r="A91" s="61" t="s">
        <v>7407</v>
      </c>
      <c r="B91" s="61" t="s">
        <v>34</v>
      </c>
      <c r="C91" s="61" t="s">
        <v>7361</v>
      </c>
      <c r="D91" s="61"/>
      <c r="E91" s="61"/>
      <c r="F91" s="61" t="s">
        <v>7378</v>
      </c>
      <c r="G91" s="61">
        <v>2377</v>
      </c>
      <c r="H91" s="61">
        <v>30</v>
      </c>
      <c r="I91" s="61" t="s">
        <v>1454</v>
      </c>
      <c r="J91" s="62" t="s">
        <v>1454</v>
      </c>
      <c r="K91" s="61" t="s">
        <v>654</v>
      </c>
      <c r="L91" s="61" t="s">
        <v>1973</v>
      </c>
      <c r="M91" s="4"/>
      <c r="N91" s="4"/>
      <c r="P91" s="347"/>
      <c r="Q91" s="347"/>
      <c r="S91" s="129"/>
    </row>
    <row r="92" spans="1:19" ht="15" hidden="1" customHeight="1" x14ac:dyDescent="0.25">
      <c r="A92" s="9" t="s">
        <v>7407</v>
      </c>
      <c r="B92" s="9" t="s">
        <v>6092</v>
      </c>
      <c r="C92" s="9" t="s">
        <v>7363</v>
      </c>
      <c r="D92" s="9"/>
      <c r="E92" s="9"/>
      <c r="F92" s="9" t="s">
        <v>7380</v>
      </c>
      <c r="G92" s="9">
        <v>2379</v>
      </c>
      <c r="H92" s="9">
        <v>1</v>
      </c>
      <c r="I92" s="9" t="s">
        <v>1454</v>
      </c>
      <c r="J92" s="37" t="s">
        <v>1454</v>
      </c>
      <c r="K92" s="9" t="s">
        <v>654</v>
      </c>
      <c r="L92" s="9" t="s">
        <v>1973</v>
      </c>
      <c r="M92" s="4"/>
      <c r="N92" s="4"/>
      <c r="P92" s="347"/>
      <c r="Q92" s="347"/>
      <c r="R92" s="183"/>
      <c r="S92" s="129"/>
    </row>
    <row r="93" spans="1:19" ht="15" hidden="1" customHeight="1" x14ac:dyDescent="0.3">
      <c r="A93" s="325" t="s">
        <v>7407</v>
      </c>
      <c r="B93" s="325" t="s">
        <v>249</v>
      </c>
      <c r="C93" s="325" t="s">
        <v>1507</v>
      </c>
      <c r="D93" s="325"/>
      <c r="E93" s="325"/>
      <c r="F93" s="325" t="s">
        <v>7544</v>
      </c>
      <c r="G93" s="325">
        <v>2480</v>
      </c>
      <c r="H93" s="325">
        <v>1</v>
      </c>
      <c r="I93" s="9" t="s">
        <v>1454</v>
      </c>
      <c r="J93" s="37" t="s">
        <v>1454</v>
      </c>
      <c r="K93" s="9" t="s">
        <v>654</v>
      </c>
      <c r="L93" s="325" t="s">
        <v>1973</v>
      </c>
      <c r="M93" s="4"/>
      <c r="N93" s="4"/>
      <c r="P93" s="334"/>
      <c r="Q93" s="334"/>
      <c r="R93" s="183"/>
      <c r="S93" s="129"/>
    </row>
    <row r="94" spans="1:19" ht="15" hidden="1" customHeight="1" x14ac:dyDescent="0.25">
      <c r="A94" s="20" t="s">
        <v>5486</v>
      </c>
      <c r="B94" s="20" t="s">
        <v>597</v>
      </c>
      <c r="C94" s="20" t="s">
        <v>4093</v>
      </c>
      <c r="D94" s="20" t="s">
        <v>3402</v>
      </c>
      <c r="E94" s="20" t="s">
        <v>3403</v>
      </c>
      <c r="F94" s="20" t="s">
        <v>3404</v>
      </c>
      <c r="G94" s="20">
        <v>2268</v>
      </c>
      <c r="H94" s="20">
        <v>4</v>
      </c>
      <c r="I94" s="20">
        <v>9198</v>
      </c>
      <c r="J94" s="36">
        <v>29355</v>
      </c>
      <c r="K94" s="20" t="s">
        <v>1417</v>
      </c>
      <c r="L94" s="20" t="s">
        <v>1974</v>
      </c>
      <c r="M94" s="4"/>
      <c r="N94" s="4"/>
      <c r="P94" s="347">
        <v>205</v>
      </c>
      <c r="Q94" s="348">
        <f>P94*100%/(1000)</f>
        <v>0.20499999999999999</v>
      </c>
      <c r="R94" s="183"/>
      <c r="S94" s="129"/>
    </row>
    <row r="95" spans="1:19" ht="15" hidden="1" customHeight="1" x14ac:dyDescent="0.25">
      <c r="A95" s="141" t="s">
        <v>5486</v>
      </c>
      <c r="B95" s="61" t="s">
        <v>34</v>
      </c>
      <c r="C95" s="61" t="s">
        <v>7336</v>
      </c>
      <c r="D95" s="61" t="s">
        <v>7091</v>
      </c>
      <c r="E95" s="61" t="s">
        <v>7092</v>
      </c>
      <c r="F95" s="61" t="s">
        <v>7093</v>
      </c>
      <c r="G95" s="61">
        <v>2271</v>
      </c>
      <c r="H95" s="61">
        <v>50</v>
      </c>
      <c r="I95" s="62">
        <v>9198</v>
      </c>
      <c r="J95" s="62">
        <v>29355</v>
      </c>
      <c r="K95" s="61" t="s">
        <v>1417</v>
      </c>
      <c r="L95" s="141" t="s">
        <v>1974</v>
      </c>
      <c r="M95" s="4"/>
      <c r="N95" s="4"/>
      <c r="P95" s="347"/>
      <c r="Q95" s="347"/>
      <c r="S95" s="129"/>
    </row>
    <row r="96" spans="1:19" ht="15" hidden="1" customHeight="1" x14ac:dyDescent="0.25">
      <c r="A96" s="9" t="s">
        <v>5486</v>
      </c>
      <c r="B96" s="9" t="s">
        <v>249</v>
      </c>
      <c r="C96" s="9" t="s">
        <v>4094</v>
      </c>
      <c r="D96" s="9" t="s">
        <v>3405</v>
      </c>
      <c r="E96" s="9" t="s">
        <v>3406</v>
      </c>
      <c r="F96" s="9" t="s">
        <v>3407</v>
      </c>
      <c r="G96" s="9">
        <v>2258</v>
      </c>
      <c r="H96" s="9">
        <v>1</v>
      </c>
      <c r="I96" s="9">
        <v>9198</v>
      </c>
      <c r="J96" s="37">
        <v>29355</v>
      </c>
      <c r="K96" s="9" t="s">
        <v>1417</v>
      </c>
      <c r="L96" s="9" t="s">
        <v>1974</v>
      </c>
      <c r="M96" s="4"/>
      <c r="N96" s="4"/>
      <c r="P96" s="347"/>
      <c r="Q96" s="347"/>
      <c r="S96" s="129"/>
    </row>
    <row r="97" spans="1:19" ht="15" hidden="1" customHeight="1" x14ac:dyDescent="0.25">
      <c r="A97" s="57" t="s">
        <v>5486</v>
      </c>
      <c r="B97" s="57" t="s">
        <v>11</v>
      </c>
      <c r="C97" s="57" t="s">
        <v>7335</v>
      </c>
      <c r="D97" s="57" t="s">
        <v>3378</v>
      </c>
      <c r="E97" s="57" t="s">
        <v>3379</v>
      </c>
      <c r="F97" s="57" t="s">
        <v>3380</v>
      </c>
      <c r="G97" s="57">
        <v>2270</v>
      </c>
      <c r="H97" s="57">
        <v>150</v>
      </c>
      <c r="I97" s="57">
        <v>9198</v>
      </c>
      <c r="J97" s="58">
        <v>29355</v>
      </c>
      <c r="K97" s="57" t="s">
        <v>1417</v>
      </c>
      <c r="L97" s="57" t="s">
        <v>1974</v>
      </c>
      <c r="M97" s="4"/>
      <c r="N97" s="4"/>
      <c r="P97" s="347"/>
      <c r="Q97" s="347"/>
      <c r="S97" s="129"/>
    </row>
    <row r="98" spans="1:19" ht="15" hidden="1" customHeight="1" x14ac:dyDescent="0.25">
      <c r="A98" s="147" t="s">
        <v>5407</v>
      </c>
      <c r="B98" s="20" t="s">
        <v>597</v>
      </c>
      <c r="C98" s="20" t="s">
        <v>6123</v>
      </c>
      <c r="D98" s="20"/>
      <c r="E98" s="20"/>
      <c r="F98" s="20" t="s">
        <v>5733</v>
      </c>
      <c r="G98" s="20">
        <v>2354</v>
      </c>
      <c r="H98" s="20">
        <v>2</v>
      </c>
      <c r="I98" s="36" t="s">
        <v>1454</v>
      </c>
      <c r="J98" s="36" t="s">
        <v>1454</v>
      </c>
      <c r="K98" s="20" t="s">
        <v>440</v>
      </c>
      <c r="L98" s="147" t="s">
        <v>1972</v>
      </c>
      <c r="M98" s="4"/>
      <c r="N98" s="4"/>
      <c r="P98" s="347">
        <v>33</v>
      </c>
      <c r="Q98" s="348">
        <f>P98*100%/(20000)</f>
        <v>1.65E-3</v>
      </c>
      <c r="S98" s="129"/>
    </row>
    <row r="99" spans="1:19" ht="15" hidden="1" customHeight="1" x14ac:dyDescent="0.25">
      <c r="A99" s="141" t="s">
        <v>5407</v>
      </c>
      <c r="B99" s="61" t="s">
        <v>34</v>
      </c>
      <c r="C99" s="61" t="s">
        <v>6124</v>
      </c>
      <c r="D99" s="61"/>
      <c r="E99" s="61"/>
      <c r="F99" s="61" t="s">
        <v>5731</v>
      </c>
      <c r="G99" s="61">
        <v>2355</v>
      </c>
      <c r="H99" s="61">
        <v>30</v>
      </c>
      <c r="I99" s="62" t="s">
        <v>1454</v>
      </c>
      <c r="J99" s="62" t="s">
        <v>1454</v>
      </c>
      <c r="K99" s="61" t="s">
        <v>440</v>
      </c>
      <c r="L99" s="141" t="s">
        <v>1972</v>
      </c>
      <c r="M99" s="4"/>
      <c r="N99" s="4"/>
      <c r="P99" s="347"/>
      <c r="Q99" s="347"/>
      <c r="S99" s="129"/>
    </row>
    <row r="100" spans="1:19" ht="15" hidden="1" customHeight="1" x14ac:dyDescent="0.25">
      <c r="A100" s="154" t="s">
        <v>5407</v>
      </c>
      <c r="B100" s="154" t="s">
        <v>3781</v>
      </c>
      <c r="C100" s="154" t="s">
        <v>6125</v>
      </c>
      <c r="D100" s="154"/>
      <c r="E100" s="154"/>
      <c r="F100" s="154" t="s">
        <v>5735</v>
      </c>
      <c r="G100" s="154">
        <v>2365</v>
      </c>
      <c r="H100" s="154">
        <v>1</v>
      </c>
      <c r="I100" s="154" t="s">
        <v>1454</v>
      </c>
      <c r="J100" s="155" t="s">
        <v>1454</v>
      </c>
      <c r="K100" s="154" t="s">
        <v>440</v>
      </c>
      <c r="L100" s="154" t="s">
        <v>1972</v>
      </c>
      <c r="M100" s="4"/>
      <c r="N100" s="4"/>
      <c r="P100" s="347"/>
      <c r="Q100" s="347"/>
      <c r="S100" s="129"/>
    </row>
    <row r="101" spans="1:19" ht="15" hidden="1" customHeight="1" x14ac:dyDescent="0.25">
      <c r="A101" s="20" t="s">
        <v>5487</v>
      </c>
      <c r="B101" s="20" t="s">
        <v>597</v>
      </c>
      <c r="C101" s="20" t="s">
        <v>1507</v>
      </c>
      <c r="D101" s="20" t="s">
        <v>3847</v>
      </c>
      <c r="E101" s="20" t="s">
        <v>3848</v>
      </c>
      <c r="F101" s="20" t="s">
        <v>3849</v>
      </c>
      <c r="G101" s="20"/>
      <c r="H101" s="20">
        <v>10</v>
      </c>
      <c r="I101" s="20"/>
      <c r="J101" s="36">
        <v>29355</v>
      </c>
      <c r="K101" s="20" t="s">
        <v>654</v>
      </c>
      <c r="L101" s="20" t="s">
        <v>1974</v>
      </c>
      <c r="M101" s="4"/>
      <c r="N101" s="4"/>
      <c r="P101" s="347">
        <v>491</v>
      </c>
      <c r="Q101" s="348">
        <f>P101*100%/(1000)</f>
        <v>0.49099999999999999</v>
      </c>
      <c r="S101" s="129"/>
    </row>
    <row r="102" spans="1:19" ht="15" hidden="1" customHeight="1" x14ac:dyDescent="0.25">
      <c r="A102" s="57" t="s">
        <v>5487</v>
      </c>
      <c r="B102" s="57" t="s">
        <v>11</v>
      </c>
      <c r="C102" s="57" t="s">
        <v>1507</v>
      </c>
      <c r="D102" s="57" t="s">
        <v>3853</v>
      </c>
      <c r="E102" s="57" t="s">
        <v>3854</v>
      </c>
      <c r="F102" s="57" t="s">
        <v>3855</v>
      </c>
      <c r="G102" s="57"/>
      <c r="H102" s="57">
        <v>300</v>
      </c>
      <c r="I102" s="57"/>
      <c r="J102" s="58">
        <v>29355</v>
      </c>
      <c r="K102" s="57" t="s">
        <v>654</v>
      </c>
      <c r="L102" s="57" t="s">
        <v>1974</v>
      </c>
      <c r="M102" s="4"/>
      <c r="N102" s="4"/>
      <c r="P102" s="347"/>
      <c r="Q102" s="347"/>
      <c r="S102" s="129"/>
    </row>
    <row r="103" spans="1:19" ht="15" hidden="1" customHeight="1" x14ac:dyDescent="0.25">
      <c r="A103" s="61" t="s">
        <v>5487</v>
      </c>
      <c r="B103" s="61" t="s">
        <v>34</v>
      </c>
      <c r="C103" s="61" t="s">
        <v>1507</v>
      </c>
      <c r="D103" s="61" t="s">
        <v>3850</v>
      </c>
      <c r="E103" s="61" t="s">
        <v>3851</v>
      </c>
      <c r="F103" s="61" t="s">
        <v>3852</v>
      </c>
      <c r="G103" s="61"/>
      <c r="H103" s="61">
        <v>180</v>
      </c>
      <c r="I103" s="61"/>
      <c r="J103" s="62">
        <v>29355</v>
      </c>
      <c r="K103" s="61" t="s">
        <v>654</v>
      </c>
      <c r="L103" s="61" t="s">
        <v>1974</v>
      </c>
      <c r="M103" s="4"/>
      <c r="N103" s="4"/>
      <c r="P103" s="347"/>
      <c r="Q103" s="347"/>
      <c r="S103" s="129"/>
    </row>
    <row r="104" spans="1:19" ht="15" hidden="1" customHeight="1" x14ac:dyDescent="0.25">
      <c r="A104" s="142" t="s">
        <v>5487</v>
      </c>
      <c r="B104" s="142" t="s">
        <v>249</v>
      </c>
      <c r="C104" s="142" t="s">
        <v>1507</v>
      </c>
      <c r="D104" s="142" t="s">
        <v>3856</v>
      </c>
      <c r="E104" s="142" t="s">
        <v>3857</v>
      </c>
      <c r="F104" s="142" t="s">
        <v>3858</v>
      </c>
      <c r="G104" s="142"/>
      <c r="H104" s="142">
        <v>1</v>
      </c>
      <c r="I104" s="142"/>
      <c r="J104" s="37">
        <v>29355</v>
      </c>
      <c r="K104" s="142" t="s">
        <v>654</v>
      </c>
      <c r="L104" s="142" t="s">
        <v>1974</v>
      </c>
      <c r="M104" s="4"/>
      <c r="N104" s="4"/>
      <c r="P104" s="347"/>
      <c r="Q104" s="347"/>
      <c r="S104" s="129"/>
    </row>
    <row r="105" spans="1:19" ht="15" hidden="1" customHeight="1" x14ac:dyDescent="0.25">
      <c r="A105" s="20" t="s">
        <v>5488</v>
      </c>
      <c r="B105" s="20" t="s">
        <v>597</v>
      </c>
      <c r="C105" s="20" t="s">
        <v>1617</v>
      </c>
      <c r="D105" s="20" t="s">
        <v>1496</v>
      </c>
      <c r="E105" s="20" t="s">
        <v>1497</v>
      </c>
      <c r="F105" s="20" t="s">
        <v>1498</v>
      </c>
      <c r="G105" s="20">
        <v>2792</v>
      </c>
      <c r="H105" s="20">
        <v>16</v>
      </c>
      <c r="I105" s="20">
        <v>9198</v>
      </c>
      <c r="J105" s="36">
        <v>29355</v>
      </c>
      <c r="K105" s="20" t="s">
        <v>435</v>
      </c>
      <c r="L105" s="20" t="s">
        <v>1974</v>
      </c>
      <c r="M105" s="4"/>
      <c r="N105" s="4"/>
      <c r="P105" s="347">
        <v>108</v>
      </c>
      <c r="Q105" s="348">
        <f>P105*100%/(1000)</f>
        <v>0.108</v>
      </c>
      <c r="S105" s="129"/>
    </row>
    <row r="106" spans="1:19" ht="15" hidden="1" customHeight="1" x14ac:dyDescent="0.25">
      <c r="A106" s="61" t="s">
        <v>5488</v>
      </c>
      <c r="B106" s="61" t="s">
        <v>34</v>
      </c>
      <c r="C106" s="61" t="s">
        <v>1623</v>
      </c>
      <c r="D106" s="61" t="s">
        <v>1499</v>
      </c>
      <c r="E106" s="61" t="s">
        <v>1500</v>
      </c>
      <c r="F106" s="61" t="s">
        <v>1501</v>
      </c>
      <c r="G106" s="61">
        <v>274</v>
      </c>
      <c r="H106" s="61">
        <v>92</v>
      </c>
      <c r="I106" s="61">
        <v>9198</v>
      </c>
      <c r="J106" s="62">
        <v>29355</v>
      </c>
      <c r="K106" s="61" t="s">
        <v>435</v>
      </c>
      <c r="L106" s="61" t="s">
        <v>1974</v>
      </c>
      <c r="M106" s="4"/>
      <c r="N106" s="4"/>
      <c r="P106" s="347"/>
      <c r="Q106" s="347"/>
      <c r="S106" s="129"/>
    </row>
    <row r="107" spans="1:19" ht="15" customHeight="1" x14ac:dyDescent="0.25">
      <c r="A107" s="20" t="s">
        <v>5489</v>
      </c>
      <c r="B107" s="20" t="s">
        <v>597</v>
      </c>
      <c r="C107" s="20" t="s">
        <v>4521</v>
      </c>
      <c r="D107" s="20" t="s">
        <v>3521</v>
      </c>
      <c r="E107" s="20" t="s">
        <v>3522</v>
      </c>
      <c r="F107" s="20" t="s">
        <v>3523</v>
      </c>
      <c r="G107" s="20">
        <v>300</v>
      </c>
      <c r="H107" s="20">
        <v>4</v>
      </c>
      <c r="I107" s="20">
        <v>9198</v>
      </c>
      <c r="J107" s="36">
        <v>29355</v>
      </c>
      <c r="K107" s="20" t="s">
        <v>1417</v>
      </c>
      <c r="L107" s="20" t="s">
        <v>1974</v>
      </c>
      <c r="M107" s="4"/>
      <c r="N107" s="4"/>
      <c r="P107" s="347">
        <v>55</v>
      </c>
      <c r="Q107" s="348">
        <f>P107*100%/(1000)</f>
        <v>5.5E-2</v>
      </c>
      <c r="S107" s="129"/>
    </row>
    <row r="108" spans="1:19" ht="15" customHeight="1" x14ac:dyDescent="0.25">
      <c r="A108" s="61" t="s">
        <v>5489</v>
      </c>
      <c r="B108" s="61" t="s">
        <v>34</v>
      </c>
      <c r="C108" s="61" t="s">
        <v>4522</v>
      </c>
      <c r="D108" s="61" t="s">
        <v>4402</v>
      </c>
      <c r="E108" s="61" t="s">
        <v>4403</v>
      </c>
      <c r="F108" s="61" t="s">
        <v>4404</v>
      </c>
      <c r="G108" s="61">
        <v>301</v>
      </c>
      <c r="H108" s="61">
        <v>50</v>
      </c>
      <c r="I108" s="61">
        <v>9198</v>
      </c>
      <c r="J108" s="62">
        <v>29355</v>
      </c>
      <c r="K108" s="61" t="s">
        <v>1417</v>
      </c>
      <c r="L108" s="61" t="s">
        <v>1974</v>
      </c>
      <c r="M108" s="4"/>
      <c r="N108" s="4"/>
      <c r="P108" s="347"/>
      <c r="Q108" s="347"/>
      <c r="S108" s="129"/>
    </row>
    <row r="109" spans="1:19" ht="15" customHeight="1" x14ac:dyDescent="0.25">
      <c r="A109" s="9" t="s">
        <v>5489</v>
      </c>
      <c r="B109" s="9" t="s">
        <v>249</v>
      </c>
      <c r="C109" s="9" t="s">
        <v>4523</v>
      </c>
      <c r="D109" s="9" t="s">
        <v>3524</v>
      </c>
      <c r="E109" s="9" t="s">
        <v>3525</v>
      </c>
      <c r="F109" s="9" t="s">
        <v>3526</v>
      </c>
      <c r="G109" s="9">
        <v>302</v>
      </c>
      <c r="H109" s="9">
        <v>1</v>
      </c>
      <c r="I109" s="9">
        <v>9198</v>
      </c>
      <c r="J109" s="37">
        <v>29355</v>
      </c>
      <c r="K109" s="9" t="s">
        <v>1417</v>
      </c>
      <c r="L109" s="9" t="s">
        <v>1974</v>
      </c>
      <c r="M109" s="4"/>
      <c r="N109" s="4"/>
      <c r="P109" s="347"/>
      <c r="Q109" s="347"/>
      <c r="S109" s="129"/>
    </row>
    <row r="110" spans="1:19" ht="15" customHeight="1" x14ac:dyDescent="0.3">
      <c r="A110" s="57" t="s">
        <v>5489</v>
      </c>
      <c r="B110" s="57" t="s">
        <v>11</v>
      </c>
      <c r="C110" s="57" t="s">
        <v>7589</v>
      </c>
      <c r="D110" s="57" t="s">
        <v>7491</v>
      </c>
      <c r="E110" s="57" t="s">
        <v>7492</v>
      </c>
      <c r="F110" s="57" t="s">
        <v>7493</v>
      </c>
      <c r="G110" s="57">
        <v>303</v>
      </c>
      <c r="H110" s="57">
        <v>150</v>
      </c>
      <c r="I110" s="57">
        <v>9198</v>
      </c>
      <c r="J110" s="57">
        <v>29355</v>
      </c>
      <c r="K110" s="57" t="s">
        <v>1417</v>
      </c>
      <c r="L110" s="57" t="s">
        <v>1974</v>
      </c>
      <c r="M110" s="4"/>
      <c r="N110" s="4"/>
      <c r="P110" s="327"/>
      <c r="Q110" s="327"/>
      <c r="S110" s="129"/>
    </row>
    <row r="111" spans="1:19" ht="15" hidden="1" customHeight="1" x14ac:dyDescent="0.25">
      <c r="A111" s="20" t="s">
        <v>5490</v>
      </c>
      <c r="B111" s="20" t="s">
        <v>597</v>
      </c>
      <c r="C111" s="20" t="s">
        <v>3433</v>
      </c>
      <c r="D111" s="20" t="s">
        <v>3362</v>
      </c>
      <c r="E111" s="20" t="s">
        <v>3363</v>
      </c>
      <c r="F111" s="20" t="s">
        <v>3364</v>
      </c>
      <c r="G111" s="20">
        <v>2004</v>
      </c>
      <c r="H111" s="20">
        <v>5</v>
      </c>
      <c r="I111" s="20">
        <v>64724</v>
      </c>
      <c r="J111" s="36">
        <v>29355</v>
      </c>
      <c r="K111" s="20" t="s">
        <v>431</v>
      </c>
      <c r="L111" s="20" t="s">
        <v>1973</v>
      </c>
      <c r="M111" s="4"/>
      <c r="N111" s="4"/>
      <c r="P111" s="347">
        <v>1861</v>
      </c>
      <c r="Q111" s="348">
        <f>P111*100%/(10000)</f>
        <v>0.18609999999999999</v>
      </c>
      <c r="R111" s="183"/>
      <c r="S111" s="260"/>
    </row>
    <row r="112" spans="1:19" ht="15" hidden="1" customHeight="1" x14ac:dyDescent="0.25">
      <c r="A112" s="57" t="s">
        <v>5490</v>
      </c>
      <c r="B112" s="57" t="s">
        <v>11</v>
      </c>
      <c r="C112" s="57" t="s">
        <v>3078</v>
      </c>
      <c r="D112" s="57" t="s">
        <v>3020</v>
      </c>
      <c r="E112" s="57" t="s">
        <v>3021</v>
      </c>
      <c r="F112" s="57" t="s">
        <v>3022</v>
      </c>
      <c r="G112" s="57">
        <v>2001</v>
      </c>
      <c r="H112" s="57">
        <v>1300</v>
      </c>
      <c r="I112" s="57">
        <v>64724</v>
      </c>
      <c r="J112" s="58">
        <v>29355</v>
      </c>
      <c r="K112" s="57" t="s">
        <v>522</v>
      </c>
      <c r="L112" s="57" t="s">
        <v>1973</v>
      </c>
      <c r="M112" s="4"/>
      <c r="N112" s="4"/>
      <c r="P112" s="347"/>
      <c r="Q112" s="347"/>
      <c r="R112" s="183"/>
      <c r="S112" s="129"/>
    </row>
    <row r="113" spans="1:19" ht="15" hidden="1" customHeight="1" x14ac:dyDescent="0.25">
      <c r="A113" s="61" t="s">
        <v>5490</v>
      </c>
      <c r="B113" s="61" t="s">
        <v>34</v>
      </c>
      <c r="C113" s="61" t="s">
        <v>3434</v>
      </c>
      <c r="D113" s="61" t="s">
        <v>3365</v>
      </c>
      <c r="E113" s="61" t="s">
        <v>3366</v>
      </c>
      <c r="F113" s="61" t="s">
        <v>3367</v>
      </c>
      <c r="G113" s="61">
        <v>2003</v>
      </c>
      <c r="H113" s="61">
        <v>554</v>
      </c>
      <c r="I113" s="61">
        <v>64724</v>
      </c>
      <c r="J113" s="62">
        <v>29355</v>
      </c>
      <c r="K113" s="61" t="s">
        <v>431</v>
      </c>
      <c r="L113" s="61" t="s">
        <v>1973</v>
      </c>
      <c r="M113" s="4"/>
      <c r="N113" s="4"/>
      <c r="P113" s="347"/>
      <c r="Q113" s="347"/>
      <c r="R113" s="183"/>
      <c r="S113" s="129"/>
    </row>
    <row r="114" spans="1:19" ht="15" hidden="1" customHeight="1" x14ac:dyDescent="0.25">
      <c r="A114" s="9" t="s">
        <v>5490</v>
      </c>
      <c r="B114" s="9" t="s">
        <v>249</v>
      </c>
      <c r="C114" s="9" t="s">
        <v>3077</v>
      </c>
      <c r="D114" s="9" t="s">
        <v>3017</v>
      </c>
      <c r="E114" s="9" t="s">
        <v>3018</v>
      </c>
      <c r="F114" s="9" t="s">
        <v>3019</v>
      </c>
      <c r="G114" s="9">
        <v>2002</v>
      </c>
      <c r="H114" s="9">
        <v>1</v>
      </c>
      <c r="I114" s="9">
        <v>64724</v>
      </c>
      <c r="J114" s="37">
        <v>29355</v>
      </c>
      <c r="K114" s="9" t="s">
        <v>431</v>
      </c>
      <c r="L114" s="9" t="s">
        <v>1973</v>
      </c>
      <c r="M114" s="4"/>
      <c r="N114" s="4"/>
      <c r="P114" s="347"/>
      <c r="Q114" s="347"/>
      <c r="R114" s="183"/>
      <c r="S114" s="129"/>
    </row>
    <row r="115" spans="1:19" ht="15" hidden="1" customHeight="1" x14ac:dyDescent="0.25">
      <c r="A115" s="46" t="s">
        <v>5490</v>
      </c>
      <c r="B115" s="46" t="s">
        <v>1014</v>
      </c>
      <c r="C115" s="46" t="s">
        <v>3899</v>
      </c>
      <c r="D115" s="46" t="s">
        <v>3751</v>
      </c>
      <c r="E115" s="46" t="s">
        <v>3752</v>
      </c>
      <c r="F115" s="46" t="s">
        <v>3753</v>
      </c>
      <c r="G115" s="46">
        <v>2005</v>
      </c>
      <c r="H115" s="46">
        <v>1</v>
      </c>
      <c r="I115" s="46">
        <v>64724</v>
      </c>
      <c r="J115" s="47">
        <v>29355</v>
      </c>
      <c r="K115" s="46" t="s">
        <v>428</v>
      </c>
      <c r="L115" s="46" t="s">
        <v>1973</v>
      </c>
      <c r="M115" s="4"/>
      <c r="N115" s="4"/>
      <c r="P115" s="347"/>
      <c r="Q115" s="347"/>
      <c r="R115" s="183"/>
      <c r="S115" s="129"/>
    </row>
    <row r="116" spans="1:19" ht="15" hidden="1" customHeight="1" x14ac:dyDescent="0.25">
      <c r="A116" s="20" t="s">
        <v>5200</v>
      </c>
      <c r="B116" s="20" t="s">
        <v>597</v>
      </c>
      <c r="C116" s="20" t="s">
        <v>1507</v>
      </c>
      <c r="D116" s="20" t="s">
        <v>4702</v>
      </c>
      <c r="E116" s="20" t="s">
        <v>4703</v>
      </c>
      <c r="F116" s="20" t="s">
        <v>4704</v>
      </c>
      <c r="G116" s="20"/>
      <c r="H116" s="20">
        <v>4</v>
      </c>
      <c r="I116" s="20"/>
      <c r="J116" s="36">
        <v>29355</v>
      </c>
      <c r="K116" s="20" t="s">
        <v>1417</v>
      </c>
      <c r="L116" s="20" t="s">
        <v>1974</v>
      </c>
      <c r="M116" s="4"/>
      <c r="N116" s="4"/>
      <c r="P116" s="347">
        <v>56</v>
      </c>
      <c r="Q116" s="348">
        <f>P116*100%/(1000)</f>
        <v>5.6000000000000001E-2</v>
      </c>
      <c r="R116" s="183"/>
      <c r="S116" s="129"/>
    </row>
    <row r="117" spans="1:19" ht="15" hidden="1" customHeight="1" x14ac:dyDescent="0.25">
      <c r="A117" s="61" t="s">
        <v>5200</v>
      </c>
      <c r="B117" s="61" t="s">
        <v>34</v>
      </c>
      <c r="C117" s="61" t="s">
        <v>1507</v>
      </c>
      <c r="D117" s="61" t="s">
        <v>4705</v>
      </c>
      <c r="E117" s="61" t="s">
        <v>4706</v>
      </c>
      <c r="F117" s="61" t="s">
        <v>4707</v>
      </c>
      <c r="G117" s="61"/>
      <c r="H117" s="61">
        <v>50</v>
      </c>
      <c r="I117" s="61"/>
      <c r="J117" s="62">
        <v>29355</v>
      </c>
      <c r="K117" s="61" t="s">
        <v>1417</v>
      </c>
      <c r="L117" s="61" t="s">
        <v>1974</v>
      </c>
      <c r="M117" s="4"/>
      <c r="N117" s="4"/>
      <c r="P117" s="347"/>
      <c r="Q117" s="347"/>
      <c r="R117" s="183"/>
      <c r="S117" s="129"/>
    </row>
    <row r="118" spans="1:19" ht="15" hidden="1" customHeight="1" x14ac:dyDescent="0.25">
      <c r="A118" s="9" t="s">
        <v>5200</v>
      </c>
      <c r="B118" s="9" t="s">
        <v>249</v>
      </c>
      <c r="C118" s="9" t="s">
        <v>1507</v>
      </c>
      <c r="D118" s="9" t="s">
        <v>4708</v>
      </c>
      <c r="E118" s="9" t="s">
        <v>4709</v>
      </c>
      <c r="F118" s="9" t="s">
        <v>4710</v>
      </c>
      <c r="G118" s="9"/>
      <c r="H118" s="9">
        <v>1</v>
      </c>
      <c r="I118" s="9"/>
      <c r="J118" s="37">
        <v>29355</v>
      </c>
      <c r="K118" s="9" t="s">
        <v>1417</v>
      </c>
      <c r="L118" s="9" t="s">
        <v>1974</v>
      </c>
      <c r="M118" s="4"/>
      <c r="N118" s="4"/>
      <c r="P118" s="347"/>
      <c r="Q118" s="347"/>
      <c r="R118" s="183"/>
      <c r="S118" s="129"/>
    </row>
    <row r="119" spans="1:19" ht="15" hidden="1" customHeight="1" x14ac:dyDescent="0.25">
      <c r="A119" s="154" t="s">
        <v>5200</v>
      </c>
      <c r="B119" s="154" t="s">
        <v>3781</v>
      </c>
      <c r="C119" s="154" t="s">
        <v>1507</v>
      </c>
      <c r="D119" s="154" t="s">
        <v>4711</v>
      </c>
      <c r="E119" s="154" t="s">
        <v>4712</v>
      </c>
      <c r="F119" s="154" t="s">
        <v>4713</v>
      </c>
      <c r="G119" s="154"/>
      <c r="H119" s="154">
        <v>1</v>
      </c>
      <c r="I119" s="154"/>
      <c r="J119" s="155">
        <v>29355</v>
      </c>
      <c r="K119" s="154" t="s">
        <v>654</v>
      </c>
      <c r="L119" s="154" t="s">
        <v>1974</v>
      </c>
      <c r="M119" s="4"/>
      <c r="N119" s="4"/>
      <c r="P119" s="347"/>
      <c r="Q119" s="347"/>
      <c r="R119" s="183"/>
      <c r="S119" s="129"/>
    </row>
    <row r="120" spans="1:19" ht="15" hidden="1" customHeight="1" x14ac:dyDescent="0.25">
      <c r="A120" s="20" t="s">
        <v>5201</v>
      </c>
      <c r="B120" s="20" t="s">
        <v>597</v>
      </c>
      <c r="C120" s="20" t="s">
        <v>1507</v>
      </c>
      <c r="D120" s="20"/>
      <c r="E120" s="20"/>
      <c r="F120" s="20" t="s">
        <v>5798</v>
      </c>
      <c r="G120" s="20">
        <v>2347</v>
      </c>
      <c r="H120" s="20">
        <v>4</v>
      </c>
      <c r="I120" s="20" t="s">
        <v>1454</v>
      </c>
      <c r="J120" s="36" t="s">
        <v>1454</v>
      </c>
      <c r="K120" s="20" t="s">
        <v>1417</v>
      </c>
      <c r="L120" s="20" t="s">
        <v>1972</v>
      </c>
      <c r="M120" s="4"/>
      <c r="N120" s="4"/>
      <c r="P120" s="347">
        <v>54</v>
      </c>
      <c r="Q120" s="348">
        <f>P120*100%/(20000)</f>
        <v>2.7000000000000001E-3</v>
      </c>
      <c r="R120" s="183"/>
      <c r="S120" s="129"/>
    </row>
    <row r="121" spans="1:19" ht="15" hidden="1" customHeight="1" x14ac:dyDescent="0.25">
      <c r="A121" s="61" t="s">
        <v>5201</v>
      </c>
      <c r="B121" s="61" t="s">
        <v>34</v>
      </c>
      <c r="C121" s="61" t="s">
        <v>1507</v>
      </c>
      <c r="D121" s="61"/>
      <c r="E121" s="61"/>
      <c r="F121" s="61" t="s">
        <v>7551</v>
      </c>
      <c r="G121" s="61">
        <v>2348</v>
      </c>
      <c r="H121" s="61">
        <v>50</v>
      </c>
      <c r="I121" s="61" t="s">
        <v>1454</v>
      </c>
      <c r="J121" s="62" t="s">
        <v>1454</v>
      </c>
      <c r="K121" s="61" t="s">
        <v>1417</v>
      </c>
      <c r="L121" s="61" t="s">
        <v>1972</v>
      </c>
      <c r="M121" s="4"/>
      <c r="N121" s="4"/>
      <c r="P121" s="347"/>
      <c r="Q121" s="347"/>
      <c r="R121" s="183"/>
      <c r="S121" s="129"/>
    </row>
    <row r="122" spans="1:19" ht="15" hidden="1" customHeight="1" x14ac:dyDescent="0.3">
      <c r="A122" s="57" t="s">
        <v>5201</v>
      </c>
      <c r="B122" s="57" t="s">
        <v>11</v>
      </c>
      <c r="C122" s="57" t="s">
        <v>1507</v>
      </c>
      <c r="D122" s="57"/>
      <c r="E122" s="57"/>
      <c r="F122" s="57"/>
      <c r="G122" s="57">
        <v>2454</v>
      </c>
      <c r="H122" s="57">
        <v>100</v>
      </c>
      <c r="I122" s="57" t="s">
        <v>1454</v>
      </c>
      <c r="J122" s="57" t="s">
        <v>1454</v>
      </c>
      <c r="K122" s="57" t="s">
        <v>1417</v>
      </c>
      <c r="L122" s="57" t="s">
        <v>1972</v>
      </c>
      <c r="M122" s="4"/>
      <c r="N122" s="4"/>
      <c r="P122" s="327"/>
      <c r="Q122" s="327"/>
      <c r="R122" s="183"/>
      <c r="S122" s="129"/>
    </row>
    <row r="123" spans="1:19" ht="15" hidden="1" customHeight="1" x14ac:dyDescent="0.3">
      <c r="A123" s="9" t="s">
        <v>5201</v>
      </c>
      <c r="B123" s="9" t="s">
        <v>6092</v>
      </c>
      <c r="C123" s="9" t="s">
        <v>1507</v>
      </c>
      <c r="D123" s="9"/>
      <c r="E123" s="9"/>
      <c r="F123" s="9"/>
      <c r="G123" s="9">
        <v>2455</v>
      </c>
      <c r="H123" s="9">
        <v>1</v>
      </c>
      <c r="I123" s="9" t="s">
        <v>1454</v>
      </c>
      <c r="J123" s="9" t="s">
        <v>1454</v>
      </c>
      <c r="K123" s="9" t="s">
        <v>1417</v>
      </c>
      <c r="L123" s="9" t="s">
        <v>1972</v>
      </c>
      <c r="M123" s="4"/>
      <c r="N123" s="4"/>
      <c r="P123" s="327"/>
      <c r="Q123" s="327"/>
      <c r="R123" s="183"/>
      <c r="S123" s="129"/>
    </row>
    <row r="124" spans="1:19" ht="15" hidden="1" customHeight="1" x14ac:dyDescent="0.3">
      <c r="A124" s="9" t="s">
        <v>5201</v>
      </c>
      <c r="B124" s="325" t="s">
        <v>249</v>
      </c>
      <c r="C124" s="9" t="s">
        <v>1507</v>
      </c>
      <c r="D124" s="325"/>
      <c r="E124" s="325"/>
      <c r="F124" s="325" t="s">
        <v>7552</v>
      </c>
      <c r="G124" s="325">
        <v>2485</v>
      </c>
      <c r="H124" s="325">
        <v>1</v>
      </c>
      <c r="I124" s="9" t="s">
        <v>1454</v>
      </c>
      <c r="J124" s="9" t="s">
        <v>1454</v>
      </c>
      <c r="K124" s="9" t="s">
        <v>1417</v>
      </c>
      <c r="L124" s="9" t="s">
        <v>1972</v>
      </c>
      <c r="M124" s="4"/>
      <c r="N124" s="4"/>
      <c r="P124" s="334"/>
      <c r="Q124" s="334"/>
      <c r="R124" s="183"/>
      <c r="S124" s="129"/>
    </row>
    <row r="125" spans="1:19" ht="15" hidden="1" customHeight="1" x14ac:dyDescent="0.25">
      <c r="A125" s="20" t="s">
        <v>5491</v>
      </c>
      <c r="B125" s="20" t="s">
        <v>597</v>
      </c>
      <c r="C125" s="20" t="s">
        <v>2675</v>
      </c>
      <c r="D125" s="20" t="s">
        <v>2593</v>
      </c>
      <c r="E125" s="20" t="s">
        <v>2594</v>
      </c>
      <c r="F125" s="20" t="s">
        <v>2595</v>
      </c>
      <c r="G125" s="20">
        <v>2363</v>
      </c>
      <c r="H125" s="20">
        <v>10</v>
      </c>
      <c r="I125" s="20">
        <v>9198</v>
      </c>
      <c r="J125" s="36">
        <v>29355</v>
      </c>
      <c r="K125" s="20" t="s">
        <v>435</v>
      </c>
      <c r="L125" s="20" t="s">
        <v>1974</v>
      </c>
      <c r="M125" s="4"/>
      <c r="N125" s="4"/>
      <c r="P125" s="347">
        <v>456</v>
      </c>
      <c r="Q125" s="348">
        <f>P125*100%/(1000)</f>
        <v>0.45600000000000002</v>
      </c>
      <c r="S125" s="129"/>
    </row>
    <row r="126" spans="1:19" ht="15" hidden="1" customHeight="1" x14ac:dyDescent="0.25">
      <c r="A126" s="57" t="s">
        <v>5491</v>
      </c>
      <c r="B126" s="57" t="s">
        <v>11</v>
      </c>
      <c r="C126" s="57" t="s">
        <v>2676</v>
      </c>
      <c r="D126" s="57" t="s">
        <v>2596</v>
      </c>
      <c r="E126" s="57" t="s">
        <v>2597</v>
      </c>
      <c r="F126" s="57" t="s">
        <v>2598</v>
      </c>
      <c r="G126" s="57">
        <v>2364</v>
      </c>
      <c r="H126" s="57">
        <v>140</v>
      </c>
      <c r="I126" s="57">
        <v>9198</v>
      </c>
      <c r="J126" s="58">
        <v>29355</v>
      </c>
      <c r="K126" s="57" t="s">
        <v>433</v>
      </c>
      <c r="L126" s="57" t="s">
        <v>1974</v>
      </c>
      <c r="M126" s="4"/>
      <c r="N126" s="4"/>
      <c r="P126" s="347"/>
      <c r="Q126" s="347"/>
      <c r="S126" s="129"/>
    </row>
    <row r="127" spans="1:19" ht="15" hidden="1" customHeight="1" x14ac:dyDescent="0.25">
      <c r="A127" s="61" t="s">
        <v>5491</v>
      </c>
      <c r="B127" s="61" t="s">
        <v>34</v>
      </c>
      <c r="C127" s="61" t="s">
        <v>2648</v>
      </c>
      <c r="D127" s="61" t="s">
        <v>1010</v>
      </c>
      <c r="E127" s="61" t="s">
        <v>1011</v>
      </c>
      <c r="F127" s="61" t="s">
        <v>1012</v>
      </c>
      <c r="G127" s="61">
        <v>2659</v>
      </c>
      <c r="H127" s="61">
        <v>230</v>
      </c>
      <c r="I127" s="61">
        <v>9198</v>
      </c>
      <c r="J127" s="62">
        <v>29355</v>
      </c>
      <c r="K127" s="61" t="s">
        <v>435</v>
      </c>
      <c r="L127" s="61" t="s">
        <v>1974</v>
      </c>
      <c r="M127" s="4"/>
      <c r="N127" s="4"/>
      <c r="P127" s="347"/>
      <c r="Q127" s="347"/>
      <c r="S127" s="129"/>
    </row>
    <row r="128" spans="1:19" ht="15" hidden="1" customHeight="1" x14ac:dyDescent="0.25">
      <c r="A128" s="154" t="s">
        <v>5492</v>
      </c>
      <c r="B128" s="154" t="s">
        <v>3781</v>
      </c>
      <c r="C128" s="154" t="s">
        <v>1626</v>
      </c>
      <c r="D128" s="154" t="s">
        <v>3797</v>
      </c>
      <c r="E128" s="154" t="s">
        <v>3798</v>
      </c>
      <c r="F128" s="154" t="s">
        <v>3799</v>
      </c>
      <c r="G128" s="154"/>
      <c r="H128" s="154">
        <v>1</v>
      </c>
      <c r="I128" s="154"/>
      <c r="J128" s="155">
        <v>29355</v>
      </c>
      <c r="K128" s="154" t="s">
        <v>1116</v>
      </c>
      <c r="L128" s="154" t="s">
        <v>1974</v>
      </c>
      <c r="M128" s="4"/>
      <c r="N128" s="4"/>
      <c r="P128" s="347">
        <v>4</v>
      </c>
      <c r="Q128" s="348">
        <f>P128*100%/(1000)</f>
        <v>4.0000000000000001E-3</v>
      </c>
      <c r="S128" s="129"/>
    </row>
    <row r="129" spans="1:19" ht="15" hidden="1" customHeight="1" x14ac:dyDescent="0.25">
      <c r="A129" s="20" t="s">
        <v>5492</v>
      </c>
      <c r="B129" s="20" t="s">
        <v>597</v>
      </c>
      <c r="C129" s="20" t="s">
        <v>3275</v>
      </c>
      <c r="D129" s="20" t="s">
        <v>3228</v>
      </c>
      <c r="E129" s="20" t="s">
        <v>3229</v>
      </c>
      <c r="F129" s="20" t="s">
        <v>3230</v>
      </c>
      <c r="G129" s="20">
        <v>525</v>
      </c>
      <c r="H129" s="20">
        <v>2</v>
      </c>
      <c r="I129" s="20">
        <v>9198</v>
      </c>
      <c r="J129" s="36">
        <v>29355</v>
      </c>
      <c r="K129" s="20" t="s">
        <v>1116</v>
      </c>
      <c r="L129" s="20" t="s">
        <v>1974</v>
      </c>
      <c r="M129" s="4"/>
      <c r="N129" s="4"/>
      <c r="P129" s="347"/>
      <c r="Q129" s="347"/>
      <c r="S129" s="129"/>
    </row>
    <row r="130" spans="1:19" ht="15" hidden="1" customHeight="1" x14ac:dyDescent="0.25">
      <c r="A130" s="9" t="s">
        <v>5492</v>
      </c>
      <c r="B130" s="9" t="s">
        <v>249</v>
      </c>
      <c r="C130" s="9" t="s">
        <v>3276</v>
      </c>
      <c r="D130" s="9" t="s">
        <v>3231</v>
      </c>
      <c r="E130" s="9" t="s">
        <v>3232</v>
      </c>
      <c r="F130" s="9" t="s">
        <v>3233</v>
      </c>
      <c r="G130" s="9">
        <v>526</v>
      </c>
      <c r="H130" s="9">
        <v>1</v>
      </c>
      <c r="I130" s="9">
        <v>9198</v>
      </c>
      <c r="J130" s="37">
        <v>29355</v>
      </c>
      <c r="K130" s="9" t="s">
        <v>1116</v>
      </c>
      <c r="L130" s="9" t="s">
        <v>1974</v>
      </c>
      <c r="M130" s="4"/>
      <c r="N130" s="4"/>
      <c r="P130" s="347"/>
      <c r="Q130" s="347"/>
      <c r="S130" s="129"/>
    </row>
    <row r="131" spans="1:19" ht="15" hidden="1" customHeight="1" x14ac:dyDescent="0.25">
      <c r="A131" s="57" t="s">
        <v>5493</v>
      </c>
      <c r="B131" s="57" t="s">
        <v>11</v>
      </c>
      <c r="C131" s="57" t="s">
        <v>2249</v>
      </c>
      <c r="D131" s="57" t="s">
        <v>2183</v>
      </c>
      <c r="E131" s="57" t="s">
        <v>2184</v>
      </c>
      <c r="F131" s="57" t="s">
        <v>2185</v>
      </c>
      <c r="G131" s="57">
        <v>906</v>
      </c>
      <c r="H131" s="57">
        <v>220</v>
      </c>
      <c r="I131" s="57">
        <v>9198</v>
      </c>
      <c r="J131" s="58">
        <v>29355</v>
      </c>
      <c r="K131" s="57" t="s">
        <v>522</v>
      </c>
      <c r="L131" s="57" t="s">
        <v>1974</v>
      </c>
      <c r="M131" s="4"/>
      <c r="N131" s="4"/>
      <c r="P131" s="347">
        <v>456</v>
      </c>
      <c r="Q131" s="348">
        <f>P131*100%/(1000)</f>
        <v>0.45600000000000002</v>
      </c>
      <c r="S131" s="129"/>
    </row>
    <row r="132" spans="1:19" ht="15" hidden="1" customHeight="1" x14ac:dyDescent="0.25">
      <c r="A132" s="61" t="s">
        <v>5493</v>
      </c>
      <c r="B132" s="61" t="s">
        <v>34</v>
      </c>
      <c r="C132" s="61" t="s">
        <v>2130</v>
      </c>
      <c r="D132" s="61" t="s">
        <v>2054</v>
      </c>
      <c r="E132" s="61" t="s">
        <v>2055</v>
      </c>
      <c r="F132" s="61" t="s">
        <v>2056</v>
      </c>
      <c r="G132" s="61">
        <v>903</v>
      </c>
      <c r="H132" s="61">
        <v>235</v>
      </c>
      <c r="I132" s="61">
        <v>9198</v>
      </c>
      <c r="J132" s="62">
        <v>29355</v>
      </c>
      <c r="K132" s="61" t="s">
        <v>522</v>
      </c>
      <c r="L132" s="61" t="s">
        <v>1974</v>
      </c>
      <c r="M132" s="4"/>
      <c r="N132" s="4"/>
      <c r="P132" s="347"/>
      <c r="Q132" s="347"/>
      <c r="R132" s="183"/>
      <c r="S132" s="129"/>
    </row>
    <row r="133" spans="1:19" ht="15" hidden="1" customHeight="1" x14ac:dyDescent="0.25">
      <c r="A133" s="9" t="s">
        <v>5493</v>
      </c>
      <c r="B133" s="9" t="s">
        <v>249</v>
      </c>
      <c r="C133" s="9" t="s">
        <v>2131</v>
      </c>
      <c r="D133" s="9" t="s">
        <v>2057</v>
      </c>
      <c r="E133" s="9" t="s">
        <v>2058</v>
      </c>
      <c r="F133" s="9" t="s">
        <v>2059</v>
      </c>
      <c r="G133" s="9">
        <v>904</v>
      </c>
      <c r="H133" s="9">
        <v>1</v>
      </c>
      <c r="I133" s="9">
        <v>9198</v>
      </c>
      <c r="J133" s="37">
        <v>29355</v>
      </c>
      <c r="K133" s="9" t="s">
        <v>522</v>
      </c>
      <c r="L133" s="9" t="s">
        <v>1974</v>
      </c>
      <c r="M133" s="4"/>
      <c r="N133" s="4"/>
      <c r="P133" s="347"/>
      <c r="Q133" s="347"/>
      <c r="S133" s="129"/>
    </row>
    <row r="134" spans="1:19" ht="15" hidden="1" customHeight="1" x14ac:dyDescent="0.25">
      <c r="A134" s="57" t="s">
        <v>5494</v>
      </c>
      <c r="B134" s="57" t="s">
        <v>11</v>
      </c>
      <c r="C134" s="57" t="s">
        <v>3066</v>
      </c>
      <c r="D134" s="57" t="s">
        <v>2804</v>
      </c>
      <c r="E134" s="57" t="s">
        <v>2805</v>
      </c>
      <c r="F134" s="57" t="s">
        <v>2806</v>
      </c>
      <c r="G134" s="57">
        <v>3715</v>
      </c>
      <c r="H134" s="57">
        <v>100</v>
      </c>
      <c r="I134" s="57">
        <v>64726</v>
      </c>
      <c r="J134" s="58">
        <v>29355</v>
      </c>
      <c r="K134" s="57" t="s">
        <v>522</v>
      </c>
      <c r="L134" s="57" t="s">
        <v>1974</v>
      </c>
      <c r="M134" s="4"/>
      <c r="N134" s="4"/>
      <c r="P134" s="347">
        <v>312</v>
      </c>
      <c r="Q134" s="348">
        <f>P134*100%/(1000)</f>
        <v>0.312</v>
      </c>
      <c r="S134" s="129"/>
    </row>
    <row r="135" spans="1:19" ht="15" hidden="1" customHeight="1" x14ac:dyDescent="0.25">
      <c r="A135" s="61" t="s">
        <v>5494</v>
      </c>
      <c r="B135" s="61" t="s">
        <v>34</v>
      </c>
      <c r="C135" s="61" t="s">
        <v>3064</v>
      </c>
      <c r="D135" s="61" t="s">
        <v>2798</v>
      </c>
      <c r="E135" s="61" t="s">
        <v>2799</v>
      </c>
      <c r="F135" s="61" t="s">
        <v>2800</v>
      </c>
      <c r="G135" s="61">
        <v>3713</v>
      </c>
      <c r="H135" s="61">
        <v>210</v>
      </c>
      <c r="I135" s="61">
        <v>64726</v>
      </c>
      <c r="J135" s="62">
        <v>29355</v>
      </c>
      <c r="K135" s="61" t="s">
        <v>429</v>
      </c>
      <c r="L135" s="61" t="s">
        <v>1974</v>
      </c>
      <c r="M135" s="4"/>
      <c r="N135" s="4"/>
      <c r="P135" s="347"/>
      <c r="Q135" s="347"/>
      <c r="S135" s="129"/>
    </row>
    <row r="136" spans="1:19" ht="15" hidden="1" customHeight="1" x14ac:dyDescent="0.25">
      <c r="A136" s="9" t="s">
        <v>5494</v>
      </c>
      <c r="B136" s="9" t="s">
        <v>249</v>
      </c>
      <c r="C136" s="9" t="s">
        <v>3065</v>
      </c>
      <c r="D136" s="9" t="s">
        <v>2801</v>
      </c>
      <c r="E136" s="9" t="s">
        <v>2802</v>
      </c>
      <c r="F136" s="9" t="s">
        <v>2803</v>
      </c>
      <c r="G136" s="9">
        <v>3714</v>
      </c>
      <c r="H136" s="9">
        <v>1</v>
      </c>
      <c r="I136" s="9">
        <v>64726</v>
      </c>
      <c r="J136" s="37">
        <v>29355</v>
      </c>
      <c r="K136" s="9" t="s">
        <v>429</v>
      </c>
      <c r="L136" s="9" t="s">
        <v>1974</v>
      </c>
      <c r="M136" s="4"/>
      <c r="N136" s="4"/>
      <c r="P136" s="347"/>
      <c r="Q136" s="347"/>
      <c r="S136" s="129"/>
    </row>
    <row r="137" spans="1:19" ht="15" hidden="1" customHeight="1" x14ac:dyDescent="0.25">
      <c r="A137" s="154" t="s">
        <v>5494</v>
      </c>
      <c r="B137" s="154" t="s">
        <v>3781</v>
      </c>
      <c r="C137" s="154" t="s">
        <v>7494</v>
      </c>
      <c r="D137" s="154" t="s">
        <v>6621</v>
      </c>
      <c r="E137" s="154" t="s">
        <v>6622</v>
      </c>
      <c r="F137" s="154" t="s">
        <v>6623</v>
      </c>
      <c r="G137" s="154">
        <v>3712</v>
      </c>
      <c r="H137" s="154">
        <v>1</v>
      </c>
      <c r="I137" s="154">
        <v>9198</v>
      </c>
      <c r="J137" s="154">
        <v>29355</v>
      </c>
      <c r="K137" s="154" t="s">
        <v>429</v>
      </c>
      <c r="L137" s="154" t="s">
        <v>1974</v>
      </c>
      <c r="M137" s="4"/>
      <c r="N137" s="4"/>
      <c r="P137" s="347"/>
      <c r="Q137" s="347"/>
      <c r="S137" s="129"/>
    </row>
    <row r="138" spans="1:19" ht="15" hidden="1" customHeight="1" x14ac:dyDescent="0.3">
      <c r="A138" s="147" t="s">
        <v>5494</v>
      </c>
      <c r="B138" s="20" t="s">
        <v>597</v>
      </c>
      <c r="C138" s="20" t="s">
        <v>1507</v>
      </c>
      <c r="D138" s="20" t="s">
        <v>7581</v>
      </c>
      <c r="E138" s="20" t="s">
        <v>7580</v>
      </c>
      <c r="F138" s="20" t="s">
        <v>7582</v>
      </c>
      <c r="G138" s="20"/>
      <c r="H138" s="20">
        <v>5</v>
      </c>
      <c r="I138" s="36"/>
      <c r="J138" s="36">
        <v>29355</v>
      </c>
      <c r="K138" s="20" t="s">
        <v>429</v>
      </c>
      <c r="L138" s="147"/>
      <c r="M138" s="20"/>
      <c r="N138" s="20"/>
      <c r="O138" s="20"/>
      <c r="P138" s="313"/>
      <c r="Q138" s="313"/>
      <c r="S138" s="129"/>
    </row>
    <row r="139" spans="1:19" ht="15" hidden="1" customHeight="1" x14ac:dyDescent="0.35">
      <c r="A139" s="147" t="s">
        <v>6504</v>
      </c>
      <c r="B139" s="20" t="s">
        <v>597</v>
      </c>
      <c r="C139" s="20" t="s">
        <v>6594</v>
      </c>
      <c r="D139" s="20"/>
      <c r="E139" s="20"/>
      <c r="F139" s="20"/>
      <c r="G139" s="20">
        <v>2391</v>
      </c>
      <c r="H139" s="20">
        <v>242</v>
      </c>
      <c r="I139" s="20" t="s">
        <v>1454</v>
      </c>
      <c r="J139" s="36" t="s">
        <v>1454</v>
      </c>
      <c r="K139" s="20" t="s">
        <v>429</v>
      </c>
      <c r="L139" s="20" t="s">
        <v>1973</v>
      </c>
      <c r="M139" s="4"/>
      <c r="N139" s="4"/>
      <c r="P139">
        <v>242</v>
      </c>
      <c r="Q139" s="303">
        <f>P139*100%/(10000)</f>
        <v>2.4199999999999999E-2</v>
      </c>
      <c r="S139" s="129"/>
    </row>
    <row r="140" spans="1:19" ht="15" hidden="1" customHeight="1" x14ac:dyDescent="0.25">
      <c r="A140" s="9" t="s">
        <v>5495</v>
      </c>
      <c r="B140" s="9" t="s">
        <v>249</v>
      </c>
      <c r="C140" s="9" t="s">
        <v>4503</v>
      </c>
      <c r="D140" s="9" t="s">
        <v>4423</v>
      </c>
      <c r="E140" s="9" t="s">
        <v>4424</v>
      </c>
      <c r="F140" s="9" t="s">
        <v>4425</v>
      </c>
      <c r="G140" s="9" t="s">
        <v>4504</v>
      </c>
      <c r="H140" s="9">
        <v>1</v>
      </c>
      <c r="I140" s="9">
        <v>9198</v>
      </c>
      <c r="J140" s="37">
        <v>29355</v>
      </c>
      <c r="K140" s="9" t="s">
        <v>433</v>
      </c>
      <c r="L140" s="9" t="s">
        <v>1974</v>
      </c>
      <c r="M140" s="4"/>
      <c r="N140" s="4"/>
      <c r="P140" s="347">
        <v>101</v>
      </c>
      <c r="Q140" s="348">
        <f>P140*100%/(1000)</f>
        <v>0.10100000000000001</v>
      </c>
      <c r="S140" s="129"/>
    </row>
    <row r="141" spans="1:19" ht="15" hidden="1" customHeight="1" x14ac:dyDescent="0.25">
      <c r="A141" s="45" t="s">
        <v>5495</v>
      </c>
      <c r="B141" s="46" t="s">
        <v>1134</v>
      </c>
      <c r="C141" s="46" t="s">
        <v>4543</v>
      </c>
      <c r="D141" s="46" t="s">
        <v>4417</v>
      </c>
      <c r="E141" s="46" t="s">
        <v>4418</v>
      </c>
      <c r="F141" s="46" t="s">
        <v>4419</v>
      </c>
      <c r="G141" s="46" t="s">
        <v>4505</v>
      </c>
      <c r="H141" s="46">
        <v>100</v>
      </c>
      <c r="I141" s="46">
        <v>9198</v>
      </c>
      <c r="J141" s="47">
        <v>29355</v>
      </c>
      <c r="K141" s="46" t="s">
        <v>428</v>
      </c>
      <c r="L141" s="46" t="s">
        <v>1974</v>
      </c>
      <c r="M141" s="4"/>
      <c r="P141" s="347"/>
      <c r="Q141" s="347"/>
      <c r="S141" s="128"/>
    </row>
    <row r="142" spans="1:19" ht="15" hidden="1" customHeight="1" x14ac:dyDescent="0.25">
      <c r="A142" s="9" t="s">
        <v>5496</v>
      </c>
      <c r="B142" s="9" t="s">
        <v>249</v>
      </c>
      <c r="C142" s="9" t="s">
        <v>4787</v>
      </c>
      <c r="D142" s="9" t="s">
        <v>4777</v>
      </c>
      <c r="E142" s="9" t="s">
        <v>4778</v>
      </c>
      <c r="F142" s="9" t="s">
        <v>4779</v>
      </c>
      <c r="G142" s="9">
        <v>3966</v>
      </c>
      <c r="H142" s="9">
        <v>1</v>
      </c>
      <c r="I142" s="9">
        <v>9198</v>
      </c>
      <c r="J142" s="37">
        <v>29355</v>
      </c>
      <c r="K142" s="9" t="s">
        <v>433</v>
      </c>
      <c r="L142" s="9" t="s">
        <v>1974</v>
      </c>
      <c r="M142" s="4"/>
      <c r="P142" s="347">
        <v>100</v>
      </c>
      <c r="Q142" s="348">
        <f>P142*100%/(1000)</f>
        <v>0.1</v>
      </c>
      <c r="R142" s="183"/>
      <c r="S142" s="128"/>
    </row>
    <row r="143" spans="1:19" ht="15" hidden="1" customHeight="1" x14ac:dyDescent="0.25">
      <c r="A143" s="45" t="s">
        <v>5496</v>
      </c>
      <c r="B143" s="46" t="s">
        <v>1134</v>
      </c>
      <c r="C143" s="46" t="s">
        <v>4788</v>
      </c>
      <c r="D143" s="46" t="s">
        <v>4770</v>
      </c>
      <c r="E143" s="46" t="s">
        <v>4771</v>
      </c>
      <c r="F143" s="46" t="s">
        <v>4772</v>
      </c>
      <c r="G143" s="46">
        <v>3969</v>
      </c>
      <c r="H143" s="46">
        <v>99</v>
      </c>
      <c r="I143" s="46">
        <v>9198</v>
      </c>
      <c r="J143" s="47">
        <v>29355</v>
      </c>
      <c r="K143" s="46" t="s">
        <v>428</v>
      </c>
      <c r="L143" s="46" t="s">
        <v>1974</v>
      </c>
      <c r="M143" s="4"/>
      <c r="P143" s="347"/>
      <c r="Q143" s="347"/>
      <c r="S143" s="128"/>
    </row>
    <row r="144" spans="1:19" ht="15" hidden="1" customHeight="1" x14ac:dyDescent="0.25">
      <c r="A144" s="20" t="s">
        <v>5497</v>
      </c>
      <c r="B144" s="20" t="s">
        <v>597</v>
      </c>
      <c r="C144" s="20" t="s">
        <v>5227</v>
      </c>
      <c r="D144" s="20" t="s">
        <v>5165</v>
      </c>
      <c r="E144" s="20" t="s">
        <v>5166</v>
      </c>
      <c r="F144" s="20" t="s">
        <v>5167</v>
      </c>
      <c r="G144" s="20">
        <v>905</v>
      </c>
      <c r="H144" s="20">
        <v>4</v>
      </c>
      <c r="I144" s="20">
        <v>9198</v>
      </c>
      <c r="J144" s="36">
        <v>29355</v>
      </c>
      <c r="K144" s="20" t="s">
        <v>433</v>
      </c>
      <c r="L144" s="20" t="s">
        <v>1974</v>
      </c>
      <c r="M144" s="4"/>
      <c r="P144" s="347">
        <v>98</v>
      </c>
      <c r="Q144" s="348">
        <f>P144*100%/(1000)</f>
        <v>9.8000000000000004E-2</v>
      </c>
      <c r="S144" s="128"/>
    </row>
    <row r="145" spans="1:19" ht="15" hidden="1" customHeight="1" x14ac:dyDescent="0.25">
      <c r="A145" s="57" t="s">
        <v>5497</v>
      </c>
      <c r="B145" s="57" t="s">
        <v>11</v>
      </c>
      <c r="C145" s="57" t="s">
        <v>5230</v>
      </c>
      <c r="D145" s="57" t="s">
        <v>5168</v>
      </c>
      <c r="E145" s="57" t="s">
        <v>5169</v>
      </c>
      <c r="F145" s="57" t="s">
        <v>5170</v>
      </c>
      <c r="G145" s="57">
        <v>906</v>
      </c>
      <c r="H145" s="57">
        <v>49</v>
      </c>
      <c r="I145" s="57">
        <v>9198</v>
      </c>
      <c r="J145" s="58">
        <v>29355</v>
      </c>
      <c r="K145" s="57" t="s">
        <v>433</v>
      </c>
      <c r="L145" s="57" t="s">
        <v>1974</v>
      </c>
      <c r="M145" s="4"/>
      <c r="P145" s="347"/>
      <c r="Q145" s="347"/>
      <c r="S145" s="128"/>
    </row>
    <row r="146" spans="1:19" ht="15" hidden="1" customHeight="1" x14ac:dyDescent="0.25">
      <c r="A146" s="61" t="s">
        <v>5497</v>
      </c>
      <c r="B146" s="61" t="s">
        <v>34</v>
      </c>
      <c r="C146" s="61" t="s">
        <v>5228</v>
      </c>
      <c r="D146" s="61" t="s">
        <v>5171</v>
      </c>
      <c r="E146" s="61" t="s">
        <v>5172</v>
      </c>
      <c r="F146" s="61" t="s">
        <v>5173</v>
      </c>
      <c r="G146" s="61">
        <v>908</v>
      </c>
      <c r="H146" s="61">
        <v>44</v>
      </c>
      <c r="I146" s="61">
        <v>9198</v>
      </c>
      <c r="J146" s="62">
        <v>29355</v>
      </c>
      <c r="K146" s="61" t="s">
        <v>433</v>
      </c>
      <c r="L146" s="61" t="s">
        <v>1974</v>
      </c>
      <c r="M146" s="4"/>
      <c r="P146" s="347"/>
      <c r="Q146" s="347"/>
      <c r="S146" s="128"/>
    </row>
    <row r="147" spans="1:19" ht="15" hidden="1" customHeight="1" x14ac:dyDescent="0.25">
      <c r="A147" s="9" t="s">
        <v>5497</v>
      </c>
      <c r="B147" s="9" t="s">
        <v>249</v>
      </c>
      <c r="C147" s="9" t="s">
        <v>5229</v>
      </c>
      <c r="D147" s="9" t="s">
        <v>5174</v>
      </c>
      <c r="E147" s="9" t="s">
        <v>5175</v>
      </c>
      <c r="F147" s="9" t="s">
        <v>5176</v>
      </c>
      <c r="G147" s="9">
        <v>907</v>
      </c>
      <c r="H147" s="9">
        <v>1</v>
      </c>
      <c r="I147" s="9">
        <v>9198</v>
      </c>
      <c r="J147" s="37">
        <v>29355</v>
      </c>
      <c r="K147" s="9" t="s">
        <v>433</v>
      </c>
      <c r="L147" s="9" t="s">
        <v>1974</v>
      </c>
      <c r="M147" s="4"/>
      <c r="P147" s="347"/>
      <c r="Q147" s="347"/>
      <c r="S147" s="128"/>
    </row>
    <row r="148" spans="1:19" ht="15" hidden="1" customHeight="1" x14ac:dyDescent="0.25">
      <c r="A148" s="57" t="s">
        <v>5498</v>
      </c>
      <c r="B148" s="57" t="s">
        <v>11</v>
      </c>
      <c r="C148" s="57" t="s">
        <v>2911</v>
      </c>
      <c r="D148" s="57" t="s">
        <v>2896</v>
      </c>
      <c r="E148" s="57" t="s">
        <v>2897</v>
      </c>
      <c r="F148" s="57" t="s">
        <v>2898</v>
      </c>
      <c r="G148" s="57">
        <v>2656</v>
      </c>
      <c r="H148" s="57">
        <v>300</v>
      </c>
      <c r="I148" s="57">
        <v>9198</v>
      </c>
      <c r="J148" s="58">
        <v>29355</v>
      </c>
      <c r="K148" s="57" t="s">
        <v>433</v>
      </c>
      <c r="L148" s="57" t="s">
        <v>1974</v>
      </c>
      <c r="M148" s="4"/>
      <c r="N148" s="4"/>
      <c r="P148" s="347">
        <v>681</v>
      </c>
      <c r="Q148" s="348">
        <f>P148*100%/(1000)</f>
        <v>0.68100000000000005</v>
      </c>
      <c r="S148" s="129"/>
    </row>
    <row r="149" spans="1:19" ht="15" hidden="1" customHeight="1" x14ac:dyDescent="0.25">
      <c r="A149" s="61" t="s">
        <v>5498</v>
      </c>
      <c r="B149" s="61" t="s">
        <v>34</v>
      </c>
      <c r="C149" s="61" t="s">
        <v>2373</v>
      </c>
      <c r="D149" s="61" t="s">
        <v>1596</v>
      </c>
      <c r="E149" s="61" t="s">
        <v>1597</v>
      </c>
      <c r="F149" s="61" t="s">
        <v>1598</v>
      </c>
      <c r="G149" s="61">
        <v>2654</v>
      </c>
      <c r="H149" s="61">
        <v>370</v>
      </c>
      <c r="I149" s="61">
        <v>9198</v>
      </c>
      <c r="J149" s="62">
        <v>29355</v>
      </c>
      <c r="K149" s="61" t="s">
        <v>433</v>
      </c>
      <c r="L149" s="61" t="s">
        <v>1974</v>
      </c>
      <c r="M149" s="4"/>
      <c r="N149" s="4"/>
      <c r="P149" s="347"/>
      <c r="Q149" s="347"/>
      <c r="S149" s="129"/>
    </row>
    <row r="150" spans="1:19" ht="15" hidden="1" customHeight="1" x14ac:dyDescent="0.25">
      <c r="A150" s="9" t="s">
        <v>5498</v>
      </c>
      <c r="B150" s="9" t="s">
        <v>249</v>
      </c>
      <c r="C150" s="9" t="s">
        <v>2372</v>
      </c>
      <c r="D150" s="9" t="s">
        <v>1599</v>
      </c>
      <c r="E150" s="9" t="s">
        <v>1600</v>
      </c>
      <c r="F150" s="9" t="s">
        <v>1601</v>
      </c>
      <c r="G150" s="9">
        <v>2655</v>
      </c>
      <c r="H150" s="9">
        <v>1</v>
      </c>
      <c r="I150" s="9">
        <v>9198</v>
      </c>
      <c r="J150" s="37">
        <v>29355</v>
      </c>
      <c r="K150" s="9" t="s">
        <v>433</v>
      </c>
      <c r="L150" s="9" t="s">
        <v>1974</v>
      </c>
      <c r="M150" s="4"/>
      <c r="N150" s="4"/>
      <c r="P150" s="347"/>
      <c r="Q150" s="347"/>
      <c r="S150" s="129"/>
    </row>
    <row r="151" spans="1:19" ht="15" hidden="1" customHeight="1" x14ac:dyDescent="0.25">
      <c r="A151" s="154" t="s">
        <v>5498</v>
      </c>
      <c r="B151" s="154" t="s">
        <v>3781</v>
      </c>
      <c r="C151" s="154" t="s">
        <v>6052</v>
      </c>
      <c r="D151" s="154" t="s">
        <v>5159</v>
      </c>
      <c r="E151" s="154" t="s">
        <v>5160</v>
      </c>
      <c r="F151" s="154" t="s">
        <v>5161</v>
      </c>
      <c r="G151" s="154">
        <v>2354</v>
      </c>
      <c r="H151" s="154">
        <v>10</v>
      </c>
      <c r="I151" s="154">
        <v>9198</v>
      </c>
      <c r="J151" s="155">
        <v>29355</v>
      </c>
      <c r="K151" s="154" t="s">
        <v>433</v>
      </c>
      <c r="L151" s="154" t="s">
        <v>1974</v>
      </c>
      <c r="M151" s="4"/>
      <c r="N151" s="4"/>
      <c r="P151" s="347"/>
      <c r="Q151" s="347"/>
      <c r="S151" s="129"/>
    </row>
    <row r="152" spans="1:19" ht="15" hidden="1" customHeight="1" x14ac:dyDescent="0.25">
      <c r="A152" s="20" t="s">
        <v>6208</v>
      </c>
      <c r="B152" s="20" t="s">
        <v>597</v>
      </c>
      <c r="C152" s="20" t="s">
        <v>6237</v>
      </c>
      <c r="D152" s="20" t="s">
        <v>6209</v>
      </c>
      <c r="E152" s="20" t="s">
        <v>6210</v>
      </c>
      <c r="F152" s="20" t="s">
        <v>6211</v>
      </c>
      <c r="G152" s="20">
        <v>1881</v>
      </c>
      <c r="H152" s="20">
        <v>10</v>
      </c>
      <c r="I152" s="20">
        <v>9198</v>
      </c>
      <c r="J152" s="36">
        <v>29355</v>
      </c>
      <c r="K152" s="20" t="s">
        <v>522</v>
      </c>
      <c r="L152" s="20" t="s">
        <v>1974</v>
      </c>
      <c r="M152" s="4"/>
      <c r="N152" s="4"/>
      <c r="P152" s="347">
        <v>1455</v>
      </c>
      <c r="Q152" s="348">
        <f>P152*100%/(1000)</f>
        <v>1.4550000000000001</v>
      </c>
      <c r="S152" s="129"/>
    </row>
    <row r="153" spans="1:19" ht="15" hidden="1" customHeight="1" x14ac:dyDescent="0.25">
      <c r="A153" s="61" t="s">
        <v>6208</v>
      </c>
      <c r="B153" s="61" t="s">
        <v>34</v>
      </c>
      <c r="C153" s="61" t="s">
        <v>6238</v>
      </c>
      <c r="D153" s="61" t="s">
        <v>6212</v>
      </c>
      <c r="E153" s="61" t="s">
        <v>6213</v>
      </c>
      <c r="F153" s="61" t="s">
        <v>6214</v>
      </c>
      <c r="G153" s="61">
        <v>1882</v>
      </c>
      <c r="H153" s="61">
        <v>693</v>
      </c>
      <c r="I153" s="61">
        <v>9198</v>
      </c>
      <c r="J153" s="62">
        <v>29355</v>
      </c>
      <c r="K153" s="61" t="s">
        <v>522</v>
      </c>
      <c r="L153" s="61" t="s">
        <v>1974</v>
      </c>
      <c r="M153" s="4"/>
      <c r="N153" s="4"/>
      <c r="P153" s="347"/>
      <c r="Q153" s="347"/>
      <c r="S153" s="129"/>
    </row>
    <row r="154" spans="1:19" ht="15" hidden="1" customHeight="1" x14ac:dyDescent="0.25">
      <c r="A154" s="57" t="s">
        <v>6208</v>
      </c>
      <c r="B154" s="57" t="s">
        <v>11</v>
      </c>
      <c r="C154" s="57" t="s">
        <v>6239</v>
      </c>
      <c r="D154" s="57" t="s">
        <v>6215</v>
      </c>
      <c r="E154" s="57" t="s">
        <v>6216</v>
      </c>
      <c r="F154" s="57" t="s">
        <v>6217</v>
      </c>
      <c r="G154" s="57">
        <v>1884</v>
      </c>
      <c r="H154" s="57">
        <v>750</v>
      </c>
      <c r="I154" s="57">
        <v>9198</v>
      </c>
      <c r="J154" s="58">
        <v>29355</v>
      </c>
      <c r="K154" s="57" t="s">
        <v>522</v>
      </c>
      <c r="L154" s="57" t="s">
        <v>1974</v>
      </c>
      <c r="M154" s="4"/>
      <c r="N154" s="4"/>
      <c r="P154" s="347"/>
      <c r="Q154" s="347"/>
      <c r="S154" s="129"/>
    </row>
    <row r="155" spans="1:19" ht="15" hidden="1" customHeight="1" x14ac:dyDescent="0.25">
      <c r="A155" s="9" t="s">
        <v>6208</v>
      </c>
      <c r="B155" s="9" t="s">
        <v>249</v>
      </c>
      <c r="C155" s="9" t="s">
        <v>6240</v>
      </c>
      <c r="D155" s="9" t="s">
        <v>6218</v>
      </c>
      <c r="E155" s="9" t="s">
        <v>6219</v>
      </c>
      <c r="F155" s="9" t="s">
        <v>6220</v>
      </c>
      <c r="G155" s="9">
        <v>1883</v>
      </c>
      <c r="H155" s="9">
        <v>2</v>
      </c>
      <c r="I155" s="9">
        <v>9198</v>
      </c>
      <c r="J155" s="37">
        <v>29355</v>
      </c>
      <c r="K155" s="9" t="s">
        <v>522</v>
      </c>
      <c r="L155" s="9" t="s">
        <v>1974</v>
      </c>
      <c r="M155" s="4"/>
      <c r="N155" s="4"/>
      <c r="P155" s="347"/>
      <c r="Q155" s="347"/>
      <c r="S155" s="129"/>
    </row>
    <row r="156" spans="1:19" ht="15" hidden="1" customHeight="1" x14ac:dyDescent="0.25">
      <c r="A156" s="20" t="s">
        <v>5092</v>
      </c>
      <c r="B156" s="20" t="s">
        <v>597</v>
      </c>
      <c r="C156" s="20" t="s">
        <v>1507</v>
      </c>
      <c r="D156" s="20" t="s">
        <v>3606</v>
      </c>
      <c r="E156" s="20" t="s">
        <v>3607</v>
      </c>
      <c r="F156" s="20" t="s">
        <v>3608</v>
      </c>
      <c r="G156" s="20"/>
      <c r="H156" s="20">
        <v>4</v>
      </c>
      <c r="I156" s="20"/>
      <c r="J156" s="36">
        <v>29355</v>
      </c>
      <c r="K156" s="20" t="s">
        <v>1417</v>
      </c>
      <c r="L156" s="20" t="s">
        <v>1974</v>
      </c>
      <c r="M156" s="4"/>
      <c r="N156" s="4"/>
      <c r="P156" s="347">
        <v>5</v>
      </c>
      <c r="Q156" s="348">
        <f>P156*100%/(1000)</f>
        <v>5.0000000000000001E-3</v>
      </c>
      <c r="R156" s="183"/>
      <c r="S156" s="129"/>
    </row>
    <row r="157" spans="1:19" ht="15" hidden="1" customHeight="1" x14ac:dyDescent="0.25">
      <c r="A157" s="9" t="s">
        <v>5092</v>
      </c>
      <c r="B157" s="9" t="s">
        <v>249</v>
      </c>
      <c r="C157" s="9" t="s">
        <v>1507</v>
      </c>
      <c r="D157" s="9" t="s">
        <v>3609</v>
      </c>
      <c r="E157" s="9" t="s">
        <v>3610</v>
      </c>
      <c r="F157" s="9" t="s">
        <v>3611</v>
      </c>
      <c r="G157" s="9"/>
      <c r="H157" s="9">
        <v>1</v>
      </c>
      <c r="I157" s="9"/>
      <c r="J157" s="37">
        <v>29355</v>
      </c>
      <c r="K157" s="9" t="s">
        <v>1417</v>
      </c>
      <c r="L157" s="9" t="s">
        <v>1974</v>
      </c>
      <c r="M157" s="4"/>
      <c r="N157" s="4"/>
      <c r="P157" s="347"/>
      <c r="Q157" s="347"/>
      <c r="S157" s="129"/>
    </row>
    <row r="158" spans="1:19" ht="15" hidden="1" customHeight="1" x14ac:dyDescent="0.25">
      <c r="A158" s="20" t="s">
        <v>5136</v>
      </c>
      <c r="B158" s="20" t="s">
        <v>597</v>
      </c>
      <c r="C158" s="20" t="s">
        <v>5129</v>
      </c>
      <c r="D158" s="20"/>
      <c r="E158" s="20"/>
      <c r="F158" s="20" t="s">
        <v>6722</v>
      </c>
      <c r="G158" s="20">
        <v>2320</v>
      </c>
      <c r="H158" s="20">
        <v>4</v>
      </c>
      <c r="I158" s="20" t="s">
        <v>1454</v>
      </c>
      <c r="J158" s="36" t="s">
        <v>1454</v>
      </c>
      <c r="K158" s="20" t="s">
        <v>1417</v>
      </c>
      <c r="L158" s="20" t="s">
        <v>1974</v>
      </c>
      <c r="M158" s="4"/>
      <c r="N158" s="4"/>
      <c r="P158" s="347">
        <v>56</v>
      </c>
      <c r="Q158" s="348">
        <f>P158*100%/(1000)</f>
        <v>5.6000000000000001E-2</v>
      </c>
      <c r="S158" s="129"/>
    </row>
    <row r="159" spans="1:19" ht="15" hidden="1" customHeight="1" x14ac:dyDescent="0.25">
      <c r="A159" s="9" t="s">
        <v>5136</v>
      </c>
      <c r="B159" s="9" t="s">
        <v>249</v>
      </c>
      <c r="C159" s="9" t="s">
        <v>5130</v>
      </c>
      <c r="D159" s="9"/>
      <c r="E159" s="9"/>
      <c r="F159" s="9"/>
      <c r="G159" s="9">
        <v>2360</v>
      </c>
      <c r="H159" s="9">
        <v>1</v>
      </c>
      <c r="I159" s="9" t="s">
        <v>1454</v>
      </c>
      <c r="J159" s="37" t="s">
        <v>1454</v>
      </c>
      <c r="K159" s="9" t="s">
        <v>1417</v>
      </c>
      <c r="L159" s="9" t="s">
        <v>1974</v>
      </c>
      <c r="M159" s="4"/>
      <c r="N159" s="4"/>
      <c r="P159" s="347"/>
      <c r="Q159" s="347"/>
      <c r="S159" s="129"/>
    </row>
    <row r="160" spans="1:19" ht="15" hidden="1" customHeight="1" x14ac:dyDescent="0.25">
      <c r="A160" s="154" t="s">
        <v>5136</v>
      </c>
      <c r="B160" s="154" t="s">
        <v>3781</v>
      </c>
      <c r="C160" s="154" t="s">
        <v>6716</v>
      </c>
      <c r="D160" s="154"/>
      <c r="E160" s="154"/>
      <c r="F160" s="154" t="s">
        <v>6454</v>
      </c>
      <c r="G160" s="154">
        <v>2385</v>
      </c>
      <c r="H160" s="154">
        <v>1</v>
      </c>
      <c r="I160" s="154" t="s">
        <v>1454</v>
      </c>
      <c r="J160" s="154" t="s">
        <v>1454</v>
      </c>
      <c r="K160" s="154" t="s">
        <v>1417</v>
      </c>
      <c r="L160" s="154" t="s">
        <v>1974</v>
      </c>
      <c r="M160" s="4"/>
      <c r="N160" s="4"/>
      <c r="P160" s="347"/>
      <c r="Q160" s="347"/>
      <c r="S160" s="129"/>
    </row>
    <row r="161" spans="1:19" ht="15" hidden="1" customHeight="1" x14ac:dyDescent="0.25">
      <c r="A161" s="61" t="s">
        <v>5136</v>
      </c>
      <c r="B161" s="61" t="s">
        <v>34</v>
      </c>
      <c r="C161" s="61" t="s">
        <v>6715</v>
      </c>
      <c r="D161" s="61"/>
      <c r="E161" s="61"/>
      <c r="F161" s="61" t="s">
        <v>6455</v>
      </c>
      <c r="G161" s="61">
        <v>2386</v>
      </c>
      <c r="H161" s="61">
        <v>50</v>
      </c>
      <c r="I161" s="61" t="s">
        <v>1454</v>
      </c>
      <c r="J161" s="61" t="s">
        <v>1454</v>
      </c>
      <c r="K161" s="61" t="s">
        <v>1417</v>
      </c>
      <c r="L161" s="61" t="s">
        <v>1974</v>
      </c>
      <c r="M161" s="4"/>
      <c r="N161" s="4"/>
      <c r="P161" s="347"/>
      <c r="Q161" s="347"/>
      <c r="S161" s="129"/>
    </row>
    <row r="162" spans="1:19" ht="15" hidden="1" customHeight="1" x14ac:dyDescent="0.25">
      <c r="A162" s="61" t="s">
        <v>7222</v>
      </c>
      <c r="B162" s="61" t="s">
        <v>34</v>
      </c>
      <c r="C162" s="61" t="s">
        <v>7250</v>
      </c>
      <c r="D162" s="61"/>
      <c r="E162" s="61"/>
      <c r="F162" s="61" t="s">
        <v>7574</v>
      </c>
      <c r="G162" s="61">
        <v>2349</v>
      </c>
      <c r="H162" s="61">
        <v>40</v>
      </c>
      <c r="I162" s="61" t="s">
        <v>1454</v>
      </c>
      <c r="J162" s="61" t="s">
        <v>1454</v>
      </c>
      <c r="K162" s="61" t="s">
        <v>436</v>
      </c>
      <c r="L162" s="61" t="s">
        <v>1974</v>
      </c>
      <c r="M162" s="4"/>
      <c r="N162" s="4"/>
      <c r="P162" s="347">
        <v>41</v>
      </c>
      <c r="Q162" s="348">
        <f>P162*100%/(1000)</f>
        <v>4.1000000000000002E-2</v>
      </c>
      <c r="S162" s="129"/>
    </row>
    <row r="163" spans="1:19" ht="15" hidden="1" customHeight="1" x14ac:dyDescent="0.25">
      <c r="A163" s="9" t="s">
        <v>7222</v>
      </c>
      <c r="B163" s="9" t="s">
        <v>249</v>
      </c>
      <c r="C163" s="9" t="s">
        <v>7251</v>
      </c>
      <c r="D163" s="9"/>
      <c r="E163" s="9"/>
      <c r="F163" s="9" t="s">
        <v>7575</v>
      </c>
      <c r="G163" s="9">
        <v>2350</v>
      </c>
      <c r="H163" s="9">
        <v>1</v>
      </c>
      <c r="I163" s="9" t="s">
        <v>1454</v>
      </c>
      <c r="J163" s="37" t="s">
        <v>1454</v>
      </c>
      <c r="K163" s="9" t="s">
        <v>436</v>
      </c>
      <c r="L163" s="9" t="s">
        <v>1974</v>
      </c>
      <c r="M163" s="4"/>
      <c r="N163" s="4"/>
      <c r="P163" s="347"/>
      <c r="Q163" s="347"/>
      <c r="S163" s="129"/>
    </row>
    <row r="164" spans="1:19" ht="15" hidden="1" customHeight="1" x14ac:dyDescent="0.25">
      <c r="A164" s="57" t="s">
        <v>5499</v>
      </c>
      <c r="B164" s="57" t="s">
        <v>11</v>
      </c>
      <c r="C164" s="57" t="s">
        <v>1990</v>
      </c>
      <c r="D164" s="57" t="s">
        <v>1955</v>
      </c>
      <c r="E164" s="57" t="s">
        <v>1956</v>
      </c>
      <c r="F164" s="57" t="s">
        <v>1957</v>
      </c>
      <c r="G164" s="57">
        <v>1159</v>
      </c>
      <c r="H164" s="57">
        <v>99</v>
      </c>
      <c r="I164" s="57">
        <v>9198</v>
      </c>
      <c r="J164" s="58">
        <v>65243</v>
      </c>
      <c r="K164" s="57" t="s">
        <v>433</v>
      </c>
      <c r="L164" s="57" t="s">
        <v>1974</v>
      </c>
      <c r="M164" s="4"/>
      <c r="N164" s="4"/>
      <c r="P164" s="347">
        <v>459</v>
      </c>
      <c r="Q164" s="348">
        <f>P164*100%/(1000)</f>
        <v>0.45900000000000002</v>
      </c>
      <c r="R164" s="212"/>
      <c r="S164" s="129"/>
    </row>
    <row r="165" spans="1:19" ht="15" hidden="1" customHeight="1" x14ac:dyDescent="0.25">
      <c r="A165" s="61" t="s">
        <v>5499</v>
      </c>
      <c r="B165" s="61" t="s">
        <v>34</v>
      </c>
      <c r="C165" s="61" t="s">
        <v>785</v>
      </c>
      <c r="D165" s="61" t="s">
        <v>1098</v>
      </c>
      <c r="E165" s="61" t="s">
        <v>1099</v>
      </c>
      <c r="F165" s="61" t="s">
        <v>1100</v>
      </c>
      <c r="G165" s="61">
        <v>1017</v>
      </c>
      <c r="H165" s="61">
        <v>314</v>
      </c>
      <c r="I165" s="61">
        <v>9198</v>
      </c>
      <c r="J165" s="62">
        <v>65243</v>
      </c>
      <c r="K165" s="61" t="s">
        <v>433</v>
      </c>
      <c r="L165" s="61" t="s">
        <v>1974</v>
      </c>
      <c r="M165" s="4"/>
      <c r="N165" s="4"/>
      <c r="P165" s="347"/>
      <c r="Q165" s="347"/>
      <c r="S165" s="129"/>
    </row>
    <row r="166" spans="1:19" ht="15" hidden="1" customHeight="1" x14ac:dyDescent="0.25">
      <c r="A166" s="9" t="s">
        <v>5499</v>
      </c>
      <c r="B166" s="9" t="s">
        <v>249</v>
      </c>
      <c r="C166" s="9" t="s">
        <v>2692</v>
      </c>
      <c r="D166" s="9" t="s">
        <v>2645</v>
      </c>
      <c r="E166" s="9" t="s">
        <v>2646</v>
      </c>
      <c r="F166" s="9" t="s">
        <v>2647</v>
      </c>
      <c r="G166" s="9">
        <v>777</v>
      </c>
      <c r="H166" s="9">
        <v>1</v>
      </c>
      <c r="I166" s="9">
        <v>9198</v>
      </c>
      <c r="J166" s="37">
        <v>65243</v>
      </c>
      <c r="K166" s="9" t="s">
        <v>433</v>
      </c>
      <c r="L166" s="9" t="s">
        <v>1974</v>
      </c>
      <c r="M166" s="4"/>
      <c r="N166" s="4"/>
      <c r="P166" s="347"/>
      <c r="Q166" s="347"/>
      <c r="S166" s="129"/>
    </row>
    <row r="167" spans="1:19" ht="15" hidden="1" customHeight="1" x14ac:dyDescent="0.25">
      <c r="A167" s="46" t="s">
        <v>5499</v>
      </c>
      <c r="B167" s="46" t="s">
        <v>1014</v>
      </c>
      <c r="C167" s="46" t="s">
        <v>3248</v>
      </c>
      <c r="D167" s="46" t="s">
        <v>3150</v>
      </c>
      <c r="E167" s="46" t="s">
        <v>3151</v>
      </c>
      <c r="F167" s="46" t="s">
        <v>3152</v>
      </c>
      <c r="G167" s="46">
        <v>2565</v>
      </c>
      <c r="H167" s="46">
        <v>30</v>
      </c>
      <c r="I167" s="46">
        <v>9198</v>
      </c>
      <c r="J167" s="47">
        <v>65243</v>
      </c>
      <c r="K167" s="46" t="s">
        <v>428</v>
      </c>
      <c r="L167" s="46" t="s">
        <v>1974</v>
      </c>
      <c r="M167" s="4"/>
      <c r="N167" s="4"/>
      <c r="P167" s="347"/>
      <c r="Q167" s="347"/>
      <c r="S167" s="129"/>
    </row>
    <row r="168" spans="1:19" ht="15" hidden="1" customHeight="1" x14ac:dyDescent="0.25">
      <c r="A168" s="67" t="s">
        <v>5499</v>
      </c>
      <c r="B168" s="67" t="s">
        <v>35</v>
      </c>
      <c r="C168" s="67" t="s">
        <v>786</v>
      </c>
      <c r="D168" s="67" t="s">
        <v>191</v>
      </c>
      <c r="E168" s="67" t="s">
        <v>190</v>
      </c>
      <c r="F168" s="67" t="s">
        <v>189</v>
      </c>
      <c r="G168" s="67">
        <v>208</v>
      </c>
      <c r="H168" s="67">
        <v>5</v>
      </c>
      <c r="I168" s="67">
        <v>64716</v>
      </c>
      <c r="J168" s="68">
        <v>65243</v>
      </c>
      <c r="K168" s="67" t="s">
        <v>433</v>
      </c>
      <c r="L168" s="67" t="s">
        <v>1974</v>
      </c>
      <c r="M168" s="4"/>
      <c r="N168" s="4"/>
      <c r="P168" s="347"/>
      <c r="Q168" s="347"/>
      <c r="S168" s="129"/>
    </row>
    <row r="169" spans="1:19" ht="15" hidden="1" customHeight="1" x14ac:dyDescent="0.25">
      <c r="A169" s="20" t="s">
        <v>5499</v>
      </c>
      <c r="B169" s="20" t="s">
        <v>597</v>
      </c>
      <c r="C169" s="20" t="s">
        <v>1507</v>
      </c>
      <c r="D169" s="20" t="s">
        <v>6989</v>
      </c>
      <c r="E169" s="20" t="s">
        <v>6990</v>
      </c>
      <c r="F169" s="20" t="s">
        <v>6991</v>
      </c>
      <c r="G169" s="20"/>
      <c r="H169" s="20">
        <v>10</v>
      </c>
      <c r="I169" s="20">
        <v>9198</v>
      </c>
      <c r="J169" s="36">
        <v>65243</v>
      </c>
      <c r="K169" s="20" t="s">
        <v>433</v>
      </c>
      <c r="L169" s="20" t="s">
        <v>1974</v>
      </c>
      <c r="M169" s="4"/>
      <c r="N169" s="4"/>
      <c r="P169" s="347"/>
      <c r="Q169" s="347"/>
      <c r="S169" s="129"/>
    </row>
    <row r="170" spans="1:19" ht="15" hidden="1" customHeight="1" x14ac:dyDescent="0.25">
      <c r="A170" s="20" t="s">
        <v>5500</v>
      </c>
      <c r="B170" s="20" t="s">
        <v>597</v>
      </c>
      <c r="C170" s="20" t="s">
        <v>4287</v>
      </c>
      <c r="D170" s="20" t="s">
        <v>4003</v>
      </c>
      <c r="E170" s="20" t="s">
        <v>4004</v>
      </c>
      <c r="F170" s="20" t="s">
        <v>4005</v>
      </c>
      <c r="G170" s="20">
        <v>500</v>
      </c>
      <c r="H170" s="20">
        <v>2</v>
      </c>
      <c r="I170" s="20">
        <v>9198</v>
      </c>
      <c r="J170" s="36">
        <v>29355</v>
      </c>
      <c r="K170" s="20" t="s">
        <v>4002</v>
      </c>
      <c r="L170" s="20" t="s">
        <v>1974</v>
      </c>
      <c r="M170" s="4"/>
      <c r="N170" s="4"/>
      <c r="P170" s="347">
        <v>28</v>
      </c>
      <c r="Q170" s="348">
        <f>P170*100%/(1000)</f>
        <v>2.8000000000000001E-2</v>
      </c>
      <c r="S170" s="129"/>
    </row>
    <row r="171" spans="1:19" ht="15" hidden="1" customHeight="1" x14ac:dyDescent="0.25">
      <c r="A171" s="61" t="s">
        <v>5500</v>
      </c>
      <c r="B171" s="61" t="s">
        <v>34</v>
      </c>
      <c r="C171" s="61" t="s">
        <v>4288</v>
      </c>
      <c r="D171" s="61" t="s">
        <v>4006</v>
      </c>
      <c r="E171" s="61" t="s">
        <v>4007</v>
      </c>
      <c r="F171" s="61" t="s">
        <v>4008</v>
      </c>
      <c r="G171" s="61">
        <v>501</v>
      </c>
      <c r="H171" s="61">
        <v>24</v>
      </c>
      <c r="I171" s="61">
        <v>9198</v>
      </c>
      <c r="J171" s="62">
        <v>29355</v>
      </c>
      <c r="K171" s="61" t="s">
        <v>4002</v>
      </c>
      <c r="L171" s="61" t="s">
        <v>1974</v>
      </c>
      <c r="M171" s="4"/>
      <c r="N171" s="4"/>
      <c r="P171" s="347"/>
      <c r="Q171" s="347"/>
      <c r="S171" s="129"/>
    </row>
    <row r="172" spans="1:19" ht="15" hidden="1" customHeight="1" x14ac:dyDescent="0.25">
      <c r="A172" s="9" t="s">
        <v>5500</v>
      </c>
      <c r="B172" s="9" t="s">
        <v>249</v>
      </c>
      <c r="C172" s="9" t="s">
        <v>4289</v>
      </c>
      <c r="D172" s="9" t="s">
        <v>4009</v>
      </c>
      <c r="E172" s="9" t="s">
        <v>4010</v>
      </c>
      <c r="F172" s="9" t="s">
        <v>4011</v>
      </c>
      <c r="G172" s="9">
        <v>502</v>
      </c>
      <c r="H172" s="9">
        <v>1</v>
      </c>
      <c r="I172" s="9">
        <v>9198</v>
      </c>
      <c r="J172" s="37">
        <v>29355</v>
      </c>
      <c r="K172" s="9" t="s">
        <v>4002</v>
      </c>
      <c r="L172" s="9" t="s">
        <v>1974</v>
      </c>
      <c r="M172" s="4"/>
      <c r="N172" s="4"/>
      <c r="P172" s="347"/>
      <c r="Q172" s="347"/>
      <c r="S172" s="129"/>
    </row>
    <row r="173" spans="1:19" ht="15" hidden="1" customHeight="1" x14ac:dyDescent="0.25">
      <c r="A173" s="154" t="s">
        <v>5500</v>
      </c>
      <c r="B173" s="154" t="s">
        <v>3781</v>
      </c>
      <c r="C173" s="154" t="s">
        <v>4290</v>
      </c>
      <c r="D173" s="154" t="s">
        <v>4012</v>
      </c>
      <c r="E173" s="154" t="s">
        <v>4013</v>
      </c>
      <c r="F173" s="154" t="s">
        <v>4014</v>
      </c>
      <c r="G173" s="154">
        <v>503</v>
      </c>
      <c r="H173" s="154">
        <v>1</v>
      </c>
      <c r="I173" s="154">
        <v>9198</v>
      </c>
      <c r="J173" s="155">
        <v>29355</v>
      </c>
      <c r="K173" s="154" t="s">
        <v>4002</v>
      </c>
      <c r="L173" s="154" t="s">
        <v>1974</v>
      </c>
      <c r="M173" s="4"/>
      <c r="N173" s="4"/>
      <c r="P173" s="347"/>
      <c r="Q173" s="347"/>
      <c r="S173" s="129"/>
    </row>
    <row r="174" spans="1:19" ht="15" hidden="1" customHeight="1" x14ac:dyDescent="0.25">
      <c r="A174" s="20" t="s">
        <v>5501</v>
      </c>
      <c r="B174" s="20" t="s">
        <v>597</v>
      </c>
      <c r="C174" s="20" t="s">
        <v>2234</v>
      </c>
      <c r="D174" s="20" t="s">
        <v>2192</v>
      </c>
      <c r="E174" s="20" t="s">
        <v>2193</v>
      </c>
      <c r="F174" s="20" t="s">
        <v>2194</v>
      </c>
      <c r="G174" s="20">
        <v>3278</v>
      </c>
      <c r="H174" s="20">
        <v>8</v>
      </c>
      <c r="I174" s="20">
        <v>9198</v>
      </c>
      <c r="J174" s="36">
        <v>29355</v>
      </c>
      <c r="K174" s="20" t="s">
        <v>434</v>
      </c>
      <c r="L174" s="20" t="s">
        <v>1974</v>
      </c>
      <c r="M174" s="4"/>
      <c r="N174" s="4"/>
      <c r="P174" s="347">
        <v>123</v>
      </c>
      <c r="Q174" s="348">
        <f>P174*100%/(1000)</f>
        <v>0.123</v>
      </c>
      <c r="R174" s="212"/>
      <c r="S174" s="129"/>
    </row>
    <row r="175" spans="1:19" ht="15" hidden="1" customHeight="1" x14ac:dyDescent="0.25">
      <c r="A175" s="61" t="s">
        <v>5501</v>
      </c>
      <c r="B175" s="61" t="s">
        <v>34</v>
      </c>
      <c r="C175" s="61" t="s">
        <v>2235</v>
      </c>
      <c r="D175" s="61" t="s">
        <v>2195</v>
      </c>
      <c r="E175" s="61" t="s">
        <v>2196</v>
      </c>
      <c r="F175" s="61" t="s">
        <v>2197</v>
      </c>
      <c r="G175" s="61">
        <v>3279</v>
      </c>
      <c r="H175" s="61">
        <v>94</v>
      </c>
      <c r="I175" s="61">
        <v>9198</v>
      </c>
      <c r="J175" s="62">
        <v>29355</v>
      </c>
      <c r="K175" s="61" t="s">
        <v>434</v>
      </c>
      <c r="L175" s="61" t="s">
        <v>1974</v>
      </c>
      <c r="M175" s="4"/>
      <c r="N175" s="4"/>
      <c r="P175" s="347"/>
      <c r="Q175" s="347"/>
      <c r="R175" s="212"/>
      <c r="S175" s="129"/>
    </row>
    <row r="176" spans="1:19" ht="15" hidden="1" customHeight="1" x14ac:dyDescent="0.25">
      <c r="A176" s="9" t="s">
        <v>5501</v>
      </c>
      <c r="B176" s="9" t="s">
        <v>249</v>
      </c>
      <c r="C176" s="9" t="s">
        <v>2236</v>
      </c>
      <c r="D176" s="9" t="s">
        <v>2198</v>
      </c>
      <c r="E176" s="9" t="s">
        <v>2199</v>
      </c>
      <c r="F176" s="9" t="s">
        <v>2200</v>
      </c>
      <c r="G176" s="9">
        <v>2983</v>
      </c>
      <c r="H176" s="9">
        <v>1</v>
      </c>
      <c r="I176" s="9">
        <v>9198</v>
      </c>
      <c r="J176" s="37">
        <v>29355</v>
      </c>
      <c r="K176" s="9" t="s">
        <v>434</v>
      </c>
      <c r="L176" s="9" t="s">
        <v>1974</v>
      </c>
      <c r="M176" s="4"/>
      <c r="N176" s="4"/>
      <c r="P176" s="347"/>
      <c r="Q176" s="347"/>
      <c r="R176" s="212"/>
      <c r="S176" s="129"/>
    </row>
    <row r="177" spans="1:19" ht="15" hidden="1" customHeight="1" x14ac:dyDescent="0.25">
      <c r="A177" s="165" t="s">
        <v>5501</v>
      </c>
      <c r="B177" s="165" t="s">
        <v>3825</v>
      </c>
      <c r="C177" s="165" t="s">
        <v>4117</v>
      </c>
      <c r="D177" s="165" t="s">
        <v>3878</v>
      </c>
      <c r="E177" s="165" t="s">
        <v>3879</v>
      </c>
      <c r="F177" s="165" t="s">
        <v>3880</v>
      </c>
      <c r="G177" s="165">
        <v>1931</v>
      </c>
      <c r="H177" s="165">
        <v>20</v>
      </c>
      <c r="I177" s="165">
        <v>9198</v>
      </c>
      <c r="J177" s="166">
        <v>29355</v>
      </c>
      <c r="K177" s="165" t="s">
        <v>428</v>
      </c>
      <c r="L177" s="165" t="s">
        <v>1974</v>
      </c>
      <c r="M177" s="4"/>
      <c r="N177" s="4"/>
      <c r="P177" s="347"/>
      <c r="Q177" s="347"/>
      <c r="R177" s="212"/>
      <c r="S177" s="260"/>
    </row>
    <row r="178" spans="1:19" ht="15" hidden="1" customHeight="1" x14ac:dyDescent="0.25">
      <c r="A178" s="20" t="s">
        <v>5502</v>
      </c>
      <c r="B178" s="20" t="s">
        <v>597</v>
      </c>
      <c r="C178" s="20" t="s">
        <v>787</v>
      </c>
      <c r="D178" s="20" t="s">
        <v>508</v>
      </c>
      <c r="E178" s="20" t="s">
        <v>509</v>
      </c>
      <c r="F178" s="20" t="s">
        <v>507</v>
      </c>
      <c r="G178" s="20">
        <v>808</v>
      </c>
      <c r="H178" s="20">
        <v>27</v>
      </c>
      <c r="I178" s="20">
        <v>9198</v>
      </c>
      <c r="J178" s="36">
        <v>65020</v>
      </c>
      <c r="K178" s="20" t="s">
        <v>434</v>
      </c>
      <c r="L178" s="20" t="s">
        <v>1975</v>
      </c>
      <c r="M178" s="4"/>
      <c r="N178" s="41"/>
      <c r="P178" s="347">
        <v>1678</v>
      </c>
      <c r="Q178" s="348">
        <f>P178*100%/(2000)</f>
        <v>0.83899999999999997</v>
      </c>
      <c r="R178" s="146" t="s">
        <v>3693</v>
      </c>
      <c r="S178" s="129"/>
    </row>
    <row r="179" spans="1:19" ht="15" hidden="1" customHeight="1" x14ac:dyDescent="0.25">
      <c r="A179" s="57" t="s">
        <v>5502</v>
      </c>
      <c r="B179" s="57" t="s">
        <v>11</v>
      </c>
      <c r="C179" s="57" t="s">
        <v>2103</v>
      </c>
      <c r="D179" s="57" t="s">
        <v>2045</v>
      </c>
      <c r="E179" s="57" t="s">
        <v>2046</v>
      </c>
      <c r="F179" s="57" t="s">
        <v>2047</v>
      </c>
      <c r="G179" s="57">
        <v>807</v>
      </c>
      <c r="H179" s="57">
        <v>750</v>
      </c>
      <c r="I179" s="57">
        <v>9198</v>
      </c>
      <c r="J179" s="58">
        <v>65020</v>
      </c>
      <c r="K179" s="57" t="s">
        <v>574</v>
      </c>
      <c r="L179" s="57" t="s">
        <v>1975</v>
      </c>
      <c r="M179" s="4"/>
      <c r="N179" s="4"/>
      <c r="P179" s="347"/>
      <c r="Q179" s="347"/>
      <c r="R179" s="146" t="s">
        <v>4104</v>
      </c>
      <c r="S179" s="146" t="s">
        <v>6061</v>
      </c>
    </row>
    <row r="180" spans="1:19" ht="15" hidden="1" customHeight="1" x14ac:dyDescent="0.25">
      <c r="A180" s="61" t="s">
        <v>5502</v>
      </c>
      <c r="B180" s="61" t="s">
        <v>34</v>
      </c>
      <c r="C180" s="61" t="s">
        <v>788</v>
      </c>
      <c r="D180" s="61" t="s">
        <v>207</v>
      </c>
      <c r="E180" s="61" t="s">
        <v>208</v>
      </c>
      <c r="F180" s="61" t="s">
        <v>1569</v>
      </c>
      <c r="G180" s="61">
        <v>806</v>
      </c>
      <c r="H180" s="61">
        <v>900</v>
      </c>
      <c r="I180" s="61">
        <v>9198</v>
      </c>
      <c r="J180" s="62">
        <v>65020</v>
      </c>
      <c r="K180" s="61" t="s">
        <v>434</v>
      </c>
      <c r="L180" s="61" t="s">
        <v>1975</v>
      </c>
      <c r="M180" s="4"/>
      <c r="N180" s="4"/>
      <c r="P180" s="347"/>
      <c r="Q180" s="347"/>
      <c r="R180" s="146" t="s">
        <v>6295</v>
      </c>
      <c r="S180" s="129"/>
    </row>
    <row r="181" spans="1:19" ht="15" hidden="1" customHeight="1" x14ac:dyDescent="0.25">
      <c r="A181" s="154" t="s">
        <v>5502</v>
      </c>
      <c r="B181" s="154" t="s">
        <v>3781</v>
      </c>
      <c r="C181" s="154" t="s">
        <v>7431</v>
      </c>
      <c r="D181" s="154" t="s">
        <v>7348</v>
      </c>
      <c r="E181" s="154" t="s">
        <v>7346</v>
      </c>
      <c r="F181" s="154" t="s">
        <v>7347</v>
      </c>
      <c r="G181" s="154">
        <v>3182</v>
      </c>
      <c r="H181" s="154">
        <v>1</v>
      </c>
      <c r="I181" s="154">
        <v>9198</v>
      </c>
      <c r="J181" s="155">
        <v>65020</v>
      </c>
      <c r="K181" s="154" t="s">
        <v>574</v>
      </c>
      <c r="L181" s="317" t="s">
        <v>1975</v>
      </c>
      <c r="M181" s="4"/>
      <c r="N181" s="4"/>
      <c r="P181" s="347"/>
      <c r="Q181" s="347"/>
      <c r="R181" s="145"/>
      <c r="S181" s="129"/>
    </row>
    <row r="182" spans="1:19" ht="15" hidden="1" customHeight="1" x14ac:dyDescent="0.3">
      <c r="A182" s="9" t="s">
        <v>5502</v>
      </c>
      <c r="B182" s="9" t="s">
        <v>249</v>
      </c>
      <c r="C182" s="9" t="s">
        <v>1507</v>
      </c>
      <c r="D182" s="9" t="s">
        <v>7578</v>
      </c>
      <c r="E182" s="9" t="s">
        <v>7576</v>
      </c>
      <c r="F182" s="9" t="s">
        <v>7577</v>
      </c>
      <c r="G182" s="9"/>
      <c r="H182" s="9">
        <v>1</v>
      </c>
      <c r="I182" s="9">
        <v>9198</v>
      </c>
      <c r="J182" s="37">
        <v>65020</v>
      </c>
      <c r="K182" s="9" t="s">
        <v>574</v>
      </c>
      <c r="L182" s="9" t="s">
        <v>1975</v>
      </c>
      <c r="M182" s="4"/>
      <c r="N182" s="4"/>
      <c r="P182" s="343"/>
      <c r="Q182" s="343"/>
      <c r="R182" s="145"/>
      <c r="S182" s="129"/>
    </row>
    <row r="183" spans="1:19" s="44" customFormat="1" ht="15.75" hidden="1" customHeight="1" x14ac:dyDescent="0.25">
      <c r="A183" s="20" t="s">
        <v>5503</v>
      </c>
      <c r="B183" s="20" t="s">
        <v>597</v>
      </c>
      <c r="C183" s="20" t="s">
        <v>2537</v>
      </c>
      <c r="D183" s="20" t="s">
        <v>2526</v>
      </c>
      <c r="E183" s="20" t="s">
        <v>2527</v>
      </c>
      <c r="F183" s="20" t="s">
        <v>2528</v>
      </c>
      <c r="G183" s="20">
        <v>2904</v>
      </c>
      <c r="H183" s="20">
        <v>4</v>
      </c>
      <c r="I183" s="20">
        <v>9198</v>
      </c>
      <c r="J183" s="36">
        <v>29355</v>
      </c>
      <c r="K183" s="20" t="s">
        <v>440</v>
      </c>
      <c r="L183" s="20" t="s">
        <v>1974</v>
      </c>
      <c r="M183" s="4"/>
      <c r="N183" s="4"/>
      <c r="P183" s="347">
        <v>60</v>
      </c>
      <c r="Q183" s="348">
        <f>P183*100%/(1000)</f>
        <v>0.06</v>
      </c>
      <c r="R183" s="183"/>
      <c r="S183" s="129"/>
    </row>
    <row r="184" spans="1:19" ht="15" hidden="1" customHeight="1" x14ac:dyDescent="0.25">
      <c r="A184" s="61" t="s">
        <v>5503</v>
      </c>
      <c r="B184" s="61" t="s">
        <v>34</v>
      </c>
      <c r="C184" s="61" t="s">
        <v>2538</v>
      </c>
      <c r="D184" s="61" t="s">
        <v>2523</v>
      </c>
      <c r="E184" s="61" t="s">
        <v>2524</v>
      </c>
      <c r="F184" s="61" t="s">
        <v>2525</v>
      </c>
      <c r="G184" s="61">
        <v>2905</v>
      </c>
      <c r="H184" s="61">
        <v>54</v>
      </c>
      <c r="I184" s="61">
        <v>9198</v>
      </c>
      <c r="J184" s="62">
        <v>29355</v>
      </c>
      <c r="K184" s="61" t="s">
        <v>440</v>
      </c>
      <c r="L184" s="61" t="s">
        <v>1974</v>
      </c>
      <c r="M184" s="4"/>
      <c r="N184" s="5"/>
      <c r="P184" s="347"/>
      <c r="Q184" s="347"/>
      <c r="R184" s="183"/>
      <c r="S184" s="129"/>
    </row>
    <row r="185" spans="1:19" ht="15" hidden="1" customHeight="1" x14ac:dyDescent="0.25">
      <c r="A185" s="9" t="s">
        <v>5503</v>
      </c>
      <c r="B185" s="9" t="s">
        <v>249</v>
      </c>
      <c r="C185" s="9" t="s">
        <v>6176</v>
      </c>
      <c r="D185" s="9" t="s">
        <v>5755</v>
      </c>
      <c r="E185" s="9" t="s">
        <v>5756</v>
      </c>
      <c r="F185" s="9" t="s">
        <v>5757</v>
      </c>
      <c r="G185" s="9">
        <v>1561</v>
      </c>
      <c r="H185" s="9">
        <v>1</v>
      </c>
      <c r="I185" s="9">
        <v>9198</v>
      </c>
      <c r="J185" s="37">
        <v>29355</v>
      </c>
      <c r="K185" s="9" t="s">
        <v>440</v>
      </c>
      <c r="L185" s="9" t="s">
        <v>1974</v>
      </c>
      <c r="M185" s="4"/>
      <c r="N185" s="5"/>
      <c r="P185" s="347"/>
      <c r="Q185" s="347"/>
      <c r="R185" s="183"/>
      <c r="S185" s="129"/>
    </row>
    <row r="186" spans="1:19" ht="15" hidden="1" customHeight="1" x14ac:dyDescent="0.25">
      <c r="A186" s="154" t="s">
        <v>5503</v>
      </c>
      <c r="B186" s="154" t="s">
        <v>3781</v>
      </c>
      <c r="C186" s="154" t="s">
        <v>6177</v>
      </c>
      <c r="D186" s="154" t="s">
        <v>5752</v>
      </c>
      <c r="E186" s="154" t="s">
        <v>5753</v>
      </c>
      <c r="F186" s="154" t="s">
        <v>5754</v>
      </c>
      <c r="G186" s="154">
        <v>1562</v>
      </c>
      <c r="H186" s="154">
        <v>1</v>
      </c>
      <c r="I186" s="154">
        <v>9198</v>
      </c>
      <c r="J186" s="155">
        <v>29355</v>
      </c>
      <c r="K186" s="154" t="s">
        <v>654</v>
      </c>
      <c r="L186" s="154" t="s">
        <v>1974</v>
      </c>
      <c r="M186" s="4"/>
      <c r="N186" s="5"/>
      <c r="P186" s="347"/>
      <c r="Q186" s="347"/>
      <c r="R186" s="183"/>
      <c r="S186" s="129"/>
    </row>
    <row r="187" spans="1:19" ht="15" hidden="1" customHeight="1" x14ac:dyDescent="0.3">
      <c r="A187" s="61" t="s">
        <v>7555</v>
      </c>
      <c r="B187" s="61" t="s">
        <v>34</v>
      </c>
      <c r="C187" s="61" t="s">
        <v>1507</v>
      </c>
      <c r="D187" s="61"/>
      <c r="E187" s="61"/>
      <c r="F187" s="61"/>
      <c r="G187" s="61">
        <v>2425</v>
      </c>
      <c r="H187" s="61">
        <v>120</v>
      </c>
      <c r="I187" s="61" t="s">
        <v>1454</v>
      </c>
      <c r="J187" s="62" t="s">
        <v>1454</v>
      </c>
      <c r="K187" s="61" t="s">
        <v>431</v>
      </c>
      <c r="L187" s="61" t="s">
        <v>1974</v>
      </c>
      <c r="M187" s="4"/>
      <c r="N187" s="43"/>
      <c r="O187" s="42"/>
      <c r="P187" s="335"/>
      <c r="Q187" s="335"/>
      <c r="R187" s="186"/>
      <c r="S187" s="129"/>
    </row>
    <row r="188" spans="1:19" ht="15" hidden="1" customHeight="1" x14ac:dyDescent="0.3">
      <c r="A188" s="9" t="s">
        <v>7555</v>
      </c>
      <c r="B188" s="9" t="s">
        <v>249</v>
      </c>
      <c r="C188" s="9" t="s">
        <v>1507</v>
      </c>
      <c r="D188" s="9"/>
      <c r="E188" s="9"/>
      <c r="F188" s="9"/>
      <c r="G188" s="9">
        <v>2426</v>
      </c>
      <c r="H188" s="9">
        <v>1</v>
      </c>
      <c r="I188" s="9" t="s">
        <v>1454</v>
      </c>
      <c r="J188" s="37" t="s">
        <v>1454</v>
      </c>
      <c r="K188" s="9" t="s">
        <v>431</v>
      </c>
      <c r="L188" s="9" t="s">
        <v>1974</v>
      </c>
      <c r="M188" s="4"/>
      <c r="N188" s="43"/>
      <c r="O188" s="42"/>
      <c r="P188" s="335"/>
      <c r="Q188" s="335"/>
      <c r="R188" s="259"/>
      <c r="S188" s="129"/>
    </row>
    <row r="189" spans="1:19" ht="15" hidden="1" customHeight="1" x14ac:dyDescent="0.25">
      <c r="A189" s="57" t="s">
        <v>7556</v>
      </c>
      <c r="B189" s="57" t="s">
        <v>11</v>
      </c>
      <c r="C189" s="57" t="s">
        <v>1507</v>
      </c>
      <c r="D189" s="57"/>
      <c r="E189" s="57"/>
      <c r="F189" s="57"/>
      <c r="G189" s="57">
        <v>2427</v>
      </c>
      <c r="H189" s="57">
        <v>200</v>
      </c>
      <c r="I189" s="57" t="s">
        <v>1454</v>
      </c>
      <c r="J189" s="58" t="s">
        <v>1454</v>
      </c>
      <c r="K189" s="57" t="s">
        <v>522</v>
      </c>
      <c r="L189" s="57" t="s">
        <v>1974</v>
      </c>
      <c r="M189" s="4"/>
      <c r="N189" s="4"/>
      <c r="O189" s="6"/>
      <c r="P189" s="335"/>
      <c r="Q189" s="335"/>
      <c r="R189" s="145" t="s">
        <v>6060</v>
      </c>
      <c r="S189" s="129"/>
    </row>
    <row r="190" spans="1:19" ht="15" hidden="1" customHeight="1" x14ac:dyDescent="0.3">
      <c r="A190" s="9" t="s">
        <v>7556</v>
      </c>
      <c r="B190" s="9" t="s">
        <v>6092</v>
      </c>
      <c r="C190" s="9" t="s">
        <v>1507</v>
      </c>
      <c r="D190" s="9"/>
      <c r="E190" s="9"/>
      <c r="F190" s="9"/>
      <c r="G190" s="9">
        <v>2428</v>
      </c>
      <c r="H190" s="9">
        <v>1</v>
      </c>
      <c r="I190" s="9" t="s">
        <v>1454</v>
      </c>
      <c r="J190" s="37" t="s">
        <v>1454</v>
      </c>
      <c r="K190" s="9" t="s">
        <v>522</v>
      </c>
      <c r="L190" s="9" t="s">
        <v>1974</v>
      </c>
      <c r="M190" s="4"/>
      <c r="N190" s="4"/>
      <c r="P190" s="335"/>
      <c r="Q190" s="335"/>
      <c r="R190" s="183"/>
      <c r="S190" s="129"/>
    </row>
    <row r="191" spans="1:19" ht="15" hidden="1" customHeight="1" x14ac:dyDescent="0.25">
      <c r="A191" s="61" t="s">
        <v>5504</v>
      </c>
      <c r="B191" s="61" t="s">
        <v>34</v>
      </c>
      <c r="C191" s="61" t="s">
        <v>5401</v>
      </c>
      <c r="D191" s="61" t="s">
        <v>5402</v>
      </c>
      <c r="E191" s="61" t="s">
        <v>5403</v>
      </c>
      <c r="F191" s="61" t="s">
        <v>5404</v>
      </c>
      <c r="G191" s="61">
        <v>3176</v>
      </c>
      <c r="H191" s="61">
        <v>80</v>
      </c>
      <c r="I191" s="61">
        <v>64724</v>
      </c>
      <c r="J191" s="62">
        <v>29355</v>
      </c>
      <c r="K191" s="61" t="s">
        <v>431</v>
      </c>
      <c r="L191" s="61" t="s">
        <v>1974</v>
      </c>
      <c r="M191" s="4"/>
      <c r="N191" s="5"/>
      <c r="P191" s="347">
        <v>81</v>
      </c>
      <c r="Q191" s="348">
        <f>P191*100%/(1000)</f>
        <v>8.1000000000000003E-2</v>
      </c>
      <c r="R191" s="183"/>
      <c r="S191" s="129"/>
    </row>
    <row r="192" spans="1:19" ht="15" hidden="1" customHeight="1" x14ac:dyDescent="0.25">
      <c r="A192" s="9" t="s">
        <v>5504</v>
      </c>
      <c r="B192" s="9" t="s">
        <v>249</v>
      </c>
      <c r="C192" s="9" t="s">
        <v>4265</v>
      </c>
      <c r="D192" s="9" t="s">
        <v>4229</v>
      </c>
      <c r="E192" s="9" t="s">
        <v>4230</v>
      </c>
      <c r="F192" s="9" t="s">
        <v>4231</v>
      </c>
      <c r="G192" s="9">
        <v>3175</v>
      </c>
      <c r="H192" s="9">
        <v>1</v>
      </c>
      <c r="I192" s="9">
        <v>64724</v>
      </c>
      <c r="J192" s="37">
        <v>29355</v>
      </c>
      <c r="K192" s="9" t="s">
        <v>431</v>
      </c>
      <c r="L192" s="9" t="s">
        <v>1974</v>
      </c>
      <c r="M192" s="4"/>
      <c r="N192" s="5"/>
      <c r="P192" s="347"/>
      <c r="Q192" s="347"/>
      <c r="R192" s="183"/>
      <c r="S192" s="129"/>
    </row>
    <row r="193" spans="1:19" ht="15" hidden="1" customHeight="1" x14ac:dyDescent="0.25">
      <c r="A193" s="20" t="s">
        <v>5505</v>
      </c>
      <c r="B193" s="20" t="s">
        <v>597</v>
      </c>
      <c r="C193" s="20" t="s">
        <v>3091</v>
      </c>
      <c r="D193" s="20" t="s">
        <v>3011</v>
      </c>
      <c r="E193" s="20" t="s">
        <v>3012</v>
      </c>
      <c r="F193" s="20" t="s">
        <v>3013</v>
      </c>
      <c r="G193" s="20">
        <v>2371</v>
      </c>
      <c r="H193" s="20">
        <v>2</v>
      </c>
      <c r="I193" s="20">
        <v>64728</v>
      </c>
      <c r="J193" s="36">
        <v>29355</v>
      </c>
      <c r="K193" s="20" t="s">
        <v>428</v>
      </c>
      <c r="L193" s="20" t="s">
        <v>1974</v>
      </c>
      <c r="M193" s="4"/>
      <c r="N193" s="43"/>
      <c r="P193" s="347">
        <v>1071</v>
      </c>
      <c r="Q193" s="348">
        <f>P193*100%/(1000)</f>
        <v>1.071</v>
      </c>
      <c r="R193" s="145" t="s">
        <v>4341</v>
      </c>
      <c r="S193" s="3" t="s">
        <v>4340</v>
      </c>
    </row>
    <row r="194" spans="1:19" ht="15" hidden="1" customHeight="1" x14ac:dyDescent="0.25">
      <c r="A194" s="57" t="s">
        <v>5505</v>
      </c>
      <c r="B194" s="57" t="s">
        <v>11</v>
      </c>
      <c r="C194" s="57" t="s">
        <v>2110</v>
      </c>
      <c r="D194" s="57" t="s">
        <v>2075</v>
      </c>
      <c r="E194" s="57" t="s">
        <v>2076</v>
      </c>
      <c r="F194" s="57" t="s">
        <v>2077</v>
      </c>
      <c r="G194" s="57">
        <v>1838</v>
      </c>
      <c r="H194" s="57">
        <v>850</v>
      </c>
      <c r="I194" s="57">
        <v>64728</v>
      </c>
      <c r="J194" s="58">
        <v>29355</v>
      </c>
      <c r="K194" s="57" t="s">
        <v>428</v>
      </c>
      <c r="L194" s="57" t="s">
        <v>1974</v>
      </c>
      <c r="M194" s="4"/>
      <c r="N194" s="4"/>
      <c r="O194" s="6"/>
      <c r="P194" s="347"/>
      <c r="Q194" s="347"/>
      <c r="R194" s="145" t="s">
        <v>6060</v>
      </c>
      <c r="S194" s="129"/>
    </row>
    <row r="195" spans="1:19" ht="15" hidden="1" customHeight="1" x14ac:dyDescent="0.25">
      <c r="A195" s="141" t="s">
        <v>5505</v>
      </c>
      <c r="B195" s="141" t="s">
        <v>34</v>
      </c>
      <c r="C195" s="141" t="s">
        <v>1777</v>
      </c>
      <c r="D195" s="141" t="s">
        <v>1574</v>
      </c>
      <c r="E195" s="141" t="s">
        <v>1575</v>
      </c>
      <c r="F195" s="141" t="s">
        <v>1576</v>
      </c>
      <c r="G195" s="141">
        <v>3716</v>
      </c>
      <c r="H195" s="141">
        <v>218</v>
      </c>
      <c r="I195" s="141">
        <v>64728</v>
      </c>
      <c r="J195" s="62">
        <v>29355</v>
      </c>
      <c r="K195" s="141" t="s">
        <v>428</v>
      </c>
      <c r="L195" s="141" t="s">
        <v>1974</v>
      </c>
      <c r="M195" s="4"/>
      <c r="N195" s="43"/>
      <c r="P195" s="347"/>
      <c r="Q195" s="347"/>
      <c r="R195" s="262" t="s">
        <v>6221</v>
      </c>
      <c r="S195" s="129"/>
    </row>
    <row r="196" spans="1:19" ht="15" hidden="1" customHeight="1" x14ac:dyDescent="0.25">
      <c r="A196" s="9" t="s">
        <v>5505</v>
      </c>
      <c r="B196" s="9" t="s">
        <v>249</v>
      </c>
      <c r="C196" s="9" t="s">
        <v>2328</v>
      </c>
      <c r="D196" s="9" t="s">
        <v>1577</v>
      </c>
      <c r="E196" s="9" t="s">
        <v>1578</v>
      </c>
      <c r="F196" s="9" t="s">
        <v>1579</v>
      </c>
      <c r="G196" s="9">
        <v>3717</v>
      </c>
      <c r="H196" s="9">
        <v>1</v>
      </c>
      <c r="I196" s="9">
        <v>64728</v>
      </c>
      <c r="J196" s="37">
        <v>29355</v>
      </c>
      <c r="K196" s="9" t="s">
        <v>428</v>
      </c>
      <c r="L196" s="9" t="s">
        <v>1974</v>
      </c>
      <c r="M196" s="4"/>
      <c r="N196" s="43"/>
      <c r="O196" s="42"/>
      <c r="P196" s="347"/>
      <c r="Q196" s="347"/>
      <c r="R196" s="186"/>
      <c r="S196" s="129"/>
    </row>
    <row r="197" spans="1:19" ht="15" hidden="1" customHeight="1" x14ac:dyDescent="0.25">
      <c r="A197" s="61" t="s">
        <v>5087</v>
      </c>
      <c r="B197" s="61" t="s">
        <v>34</v>
      </c>
      <c r="C197" s="61" t="s">
        <v>4993</v>
      </c>
      <c r="D197" s="61"/>
      <c r="E197" s="61"/>
      <c r="F197" s="61" t="s">
        <v>4991</v>
      </c>
      <c r="G197" s="61">
        <v>2327</v>
      </c>
      <c r="H197" s="61">
        <v>31</v>
      </c>
      <c r="I197" s="61" t="s">
        <v>1454</v>
      </c>
      <c r="J197" s="62" t="s">
        <v>1454</v>
      </c>
      <c r="K197" s="61" t="s">
        <v>428</v>
      </c>
      <c r="L197" s="61" t="s">
        <v>1974</v>
      </c>
      <c r="M197" s="4"/>
      <c r="N197" s="43"/>
      <c r="O197" s="42"/>
      <c r="P197" s="347">
        <v>32</v>
      </c>
      <c r="Q197" s="348">
        <f>P197*100%/(1000)</f>
        <v>3.2000000000000001E-2</v>
      </c>
      <c r="R197" s="186"/>
      <c r="S197" s="129"/>
    </row>
    <row r="198" spans="1:19" ht="15" hidden="1" customHeight="1" x14ac:dyDescent="0.25">
      <c r="A198" s="9" t="s">
        <v>5087</v>
      </c>
      <c r="B198" s="9" t="s">
        <v>249</v>
      </c>
      <c r="C198" s="9" t="s">
        <v>4994</v>
      </c>
      <c r="D198" s="9"/>
      <c r="E198" s="9"/>
      <c r="F198" s="9" t="s">
        <v>4992</v>
      </c>
      <c r="G198" s="9">
        <v>2328</v>
      </c>
      <c r="H198" s="9">
        <v>1</v>
      </c>
      <c r="I198" s="9" t="s">
        <v>1454</v>
      </c>
      <c r="J198" s="37" t="s">
        <v>1454</v>
      </c>
      <c r="K198" s="9" t="s">
        <v>428</v>
      </c>
      <c r="L198" s="9" t="s">
        <v>1974</v>
      </c>
      <c r="M198" s="4"/>
      <c r="N198" s="43"/>
      <c r="O198" s="42"/>
      <c r="P198" s="347"/>
      <c r="Q198" s="347"/>
      <c r="R198" s="259"/>
      <c r="S198" s="129"/>
    </row>
    <row r="199" spans="1:19" s="6" customFormat="1" ht="15" hidden="1" customHeight="1" x14ac:dyDescent="0.25">
      <c r="A199" s="20" t="s">
        <v>5506</v>
      </c>
      <c r="B199" s="20" t="s">
        <v>597</v>
      </c>
      <c r="C199" s="20" t="s">
        <v>1288</v>
      </c>
      <c r="D199" s="20" t="s">
        <v>1179</v>
      </c>
      <c r="E199" s="20" t="s">
        <v>1180</v>
      </c>
      <c r="F199" s="20" t="s">
        <v>1181</v>
      </c>
      <c r="G199" s="20">
        <v>1732</v>
      </c>
      <c r="H199" s="20">
        <v>10</v>
      </c>
      <c r="I199" s="20">
        <v>64716</v>
      </c>
      <c r="J199" s="36">
        <v>29355</v>
      </c>
      <c r="K199" s="20" t="s">
        <v>432</v>
      </c>
      <c r="L199" s="20" t="s">
        <v>1974</v>
      </c>
      <c r="M199" s="4"/>
      <c r="N199" s="4"/>
      <c r="O199" s="44"/>
      <c r="P199" s="347">
        <v>89</v>
      </c>
      <c r="Q199" s="348">
        <f>P199*100%/(1000)</f>
        <v>8.8999999999999996E-2</v>
      </c>
      <c r="R199" s="183"/>
      <c r="S199" s="129"/>
    </row>
    <row r="200" spans="1:19" s="6" customFormat="1" ht="15" hidden="1" customHeight="1" x14ac:dyDescent="0.25">
      <c r="A200" s="61" t="s">
        <v>5506</v>
      </c>
      <c r="B200" s="61" t="s">
        <v>34</v>
      </c>
      <c r="C200" s="61" t="s">
        <v>1289</v>
      </c>
      <c r="D200" s="61" t="s">
        <v>1176</v>
      </c>
      <c r="E200" s="61" t="s">
        <v>1177</v>
      </c>
      <c r="F200" s="61" t="s">
        <v>1178</v>
      </c>
      <c r="G200" s="61">
        <v>1731</v>
      </c>
      <c r="H200" s="61">
        <v>79</v>
      </c>
      <c r="I200" s="61">
        <v>64716</v>
      </c>
      <c r="J200" s="62">
        <v>29355</v>
      </c>
      <c r="K200" s="61" t="s">
        <v>432</v>
      </c>
      <c r="L200" s="61" t="s">
        <v>1974</v>
      </c>
      <c r="M200" s="4"/>
      <c r="N200" s="5"/>
      <c r="O200" s="1"/>
      <c r="P200" s="347"/>
      <c r="Q200" s="347"/>
      <c r="R200" s="183"/>
      <c r="S200" s="129"/>
    </row>
    <row r="201" spans="1:19" s="6" customFormat="1" ht="14.25" hidden="1" customHeight="1" x14ac:dyDescent="0.25">
      <c r="A201" s="57" t="s">
        <v>5507</v>
      </c>
      <c r="B201" s="57" t="s">
        <v>11</v>
      </c>
      <c r="C201" s="57" t="s">
        <v>1778</v>
      </c>
      <c r="D201" s="57" t="s">
        <v>1768</v>
      </c>
      <c r="E201" s="57" t="s">
        <v>1769</v>
      </c>
      <c r="F201" s="57" t="s">
        <v>1770</v>
      </c>
      <c r="G201" s="57">
        <v>670</v>
      </c>
      <c r="H201" s="57">
        <v>69</v>
      </c>
      <c r="I201" s="57">
        <v>9198</v>
      </c>
      <c r="J201" s="58">
        <v>65239</v>
      </c>
      <c r="K201" s="57" t="s">
        <v>433</v>
      </c>
      <c r="L201" s="57" t="s">
        <v>1974</v>
      </c>
      <c r="M201" s="4"/>
      <c r="N201" s="4"/>
      <c r="O201" s="1"/>
      <c r="P201" s="347">
        <v>286</v>
      </c>
      <c r="Q201" s="348">
        <f>P201*100%/(1000)</f>
        <v>0.28599999999999998</v>
      </c>
      <c r="R201" s="3"/>
      <c r="S201" s="129"/>
    </row>
    <row r="202" spans="1:19" s="6" customFormat="1" ht="15" hidden="1" customHeight="1" x14ac:dyDescent="0.25">
      <c r="A202" s="61" t="s">
        <v>5507</v>
      </c>
      <c r="B202" s="61" t="s">
        <v>34</v>
      </c>
      <c r="C202" s="61" t="s">
        <v>789</v>
      </c>
      <c r="D202" s="61" t="s">
        <v>212</v>
      </c>
      <c r="E202" s="61" t="s">
        <v>216</v>
      </c>
      <c r="F202" s="61" t="s">
        <v>217</v>
      </c>
      <c r="G202" s="61">
        <v>672</v>
      </c>
      <c r="H202" s="61">
        <v>317</v>
      </c>
      <c r="I202" s="61">
        <v>9198</v>
      </c>
      <c r="J202" s="62">
        <v>65239</v>
      </c>
      <c r="K202" s="61" t="s">
        <v>436</v>
      </c>
      <c r="L202" s="61" t="s">
        <v>1974</v>
      </c>
      <c r="M202" s="4"/>
      <c r="N202" s="4"/>
      <c r="O202" s="1"/>
      <c r="P202" s="347"/>
      <c r="Q202" s="347"/>
      <c r="R202" s="145" t="s">
        <v>2924</v>
      </c>
      <c r="S202" s="129" t="s">
        <v>2910</v>
      </c>
    </row>
    <row r="203" spans="1:19" s="44" customFormat="1" ht="15.75" hidden="1" customHeight="1" x14ac:dyDescent="0.25">
      <c r="A203" s="67" t="s">
        <v>5507</v>
      </c>
      <c r="B203" s="67" t="s">
        <v>35</v>
      </c>
      <c r="C203" s="67" t="s">
        <v>790</v>
      </c>
      <c r="D203" s="67" t="s">
        <v>213</v>
      </c>
      <c r="E203" s="67" t="s">
        <v>214</v>
      </c>
      <c r="F203" s="67" t="s">
        <v>215</v>
      </c>
      <c r="G203" s="67">
        <v>671</v>
      </c>
      <c r="H203" s="67">
        <v>5</v>
      </c>
      <c r="I203" s="67">
        <v>9198</v>
      </c>
      <c r="J203" s="68">
        <v>65239</v>
      </c>
      <c r="K203" s="67" t="s">
        <v>436</v>
      </c>
      <c r="L203" s="67" t="s">
        <v>1974</v>
      </c>
      <c r="M203" s="4"/>
      <c r="N203" s="4"/>
      <c r="O203" s="1"/>
      <c r="P203" s="347"/>
      <c r="Q203" s="347"/>
      <c r="R203" s="146" t="s">
        <v>3694</v>
      </c>
      <c r="S203" s="146" t="s">
        <v>4107</v>
      </c>
    </row>
    <row r="204" spans="1:19" ht="15" hidden="1" customHeight="1" x14ac:dyDescent="0.25">
      <c r="A204" s="9" t="s">
        <v>5507</v>
      </c>
      <c r="B204" s="9" t="s">
        <v>249</v>
      </c>
      <c r="C204" s="9" t="s">
        <v>7579</v>
      </c>
      <c r="D204" s="9" t="s">
        <v>7560</v>
      </c>
      <c r="E204" s="9" t="s">
        <v>7561</v>
      </c>
      <c r="F204" s="9" t="s">
        <v>7562</v>
      </c>
      <c r="G204" s="9">
        <v>1111</v>
      </c>
      <c r="H204" s="9">
        <v>1</v>
      </c>
      <c r="I204" s="9">
        <v>9198</v>
      </c>
      <c r="J204" s="37">
        <v>65239</v>
      </c>
      <c r="K204" s="9" t="s">
        <v>436</v>
      </c>
      <c r="L204" s="9" t="s">
        <v>1974</v>
      </c>
      <c r="M204" s="4"/>
      <c r="N204" s="4"/>
      <c r="P204" s="347"/>
      <c r="Q204" s="347"/>
      <c r="S204" s="129"/>
    </row>
    <row r="205" spans="1:19" s="44" customFormat="1" ht="15.75" hidden="1" customHeight="1" x14ac:dyDescent="0.25">
      <c r="A205" s="154" t="s">
        <v>5507</v>
      </c>
      <c r="B205" s="154" t="s">
        <v>3781</v>
      </c>
      <c r="C205" s="154" t="s">
        <v>4773</v>
      </c>
      <c r="D205" s="154" t="s">
        <v>4674</v>
      </c>
      <c r="E205" s="154" t="s">
        <v>4675</v>
      </c>
      <c r="F205" s="154" t="s">
        <v>4676</v>
      </c>
      <c r="G205" s="154">
        <v>674</v>
      </c>
      <c r="H205" s="154">
        <v>1</v>
      </c>
      <c r="I205" s="154">
        <v>9198</v>
      </c>
      <c r="J205" s="155">
        <v>65239</v>
      </c>
      <c r="K205" s="154" t="s">
        <v>436</v>
      </c>
      <c r="L205" s="154" t="s">
        <v>1974</v>
      </c>
      <c r="M205" s="4"/>
      <c r="N205" s="4"/>
      <c r="O205" s="1"/>
      <c r="P205" s="347"/>
      <c r="Q205" s="347"/>
      <c r="R205" s="145"/>
      <c r="S205" s="145"/>
    </row>
    <row r="206" spans="1:19" ht="15" hidden="1" customHeight="1" x14ac:dyDescent="0.25">
      <c r="A206" s="20" t="s">
        <v>5508</v>
      </c>
      <c r="B206" s="20" t="s">
        <v>597</v>
      </c>
      <c r="C206" s="20" t="s">
        <v>3250</v>
      </c>
      <c r="D206" s="20" t="s">
        <v>3005</v>
      </c>
      <c r="E206" s="20" t="s">
        <v>3006</v>
      </c>
      <c r="F206" s="20" t="s">
        <v>3007</v>
      </c>
      <c r="G206" s="20">
        <v>1213</v>
      </c>
      <c r="H206" s="20">
        <v>2</v>
      </c>
      <c r="I206" s="20">
        <v>9198</v>
      </c>
      <c r="J206" s="36">
        <v>29355</v>
      </c>
      <c r="K206" s="20" t="s">
        <v>654</v>
      </c>
      <c r="L206" s="20" t="s">
        <v>1974</v>
      </c>
      <c r="M206" s="4"/>
      <c r="N206" s="4"/>
      <c r="P206" s="347">
        <v>150</v>
      </c>
      <c r="Q206" s="348">
        <f>P206*100%/(1000)</f>
        <v>0.15</v>
      </c>
      <c r="R206" s="183"/>
      <c r="S206" s="129"/>
    </row>
    <row r="207" spans="1:19" ht="15" hidden="1" customHeight="1" x14ac:dyDescent="0.25">
      <c r="A207" s="61" t="s">
        <v>5508</v>
      </c>
      <c r="B207" s="61" t="s">
        <v>34</v>
      </c>
      <c r="C207" s="61" t="s">
        <v>3336</v>
      </c>
      <c r="D207" s="61" t="s">
        <v>3141</v>
      </c>
      <c r="E207" s="61" t="s">
        <v>3142</v>
      </c>
      <c r="F207" s="61" t="s">
        <v>3143</v>
      </c>
      <c r="G207" s="61">
        <v>1217</v>
      </c>
      <c r="H207" s="61">
        <v>146</v>
      </c>
      <c r="I207" s="61">
        <v>9198</v>
      </c>
      <c r="J207" s="62">
        <v>29355</v>
      </c>
      <c r="K207" s="61" t="s">
        <v>654</v>
      </c>
      <c r="L207" s="61" t="s">
        <v>1974</v>
      </c>
      <c r="M207" s="4"/>
      <c r="N207" s="4"/>
      <c r="P207" s="347"/>
      <c r="Q207" s="347"/>
      <c r="R207" s="183"/>
      <c r="S207" s="129"/>
    </row>
    <row r="208" spans="1:19" ht="15" hidden="1" customHeight="1" x14ac:dyDescent="0.25">
      <c r="A208" s="9" t="s">
        <v>5508</v>
      </c>
      <c r="B208" s="9" t="s">
        <v>249</v>
      </c>
      <c r="C208" s="9"/>
      <c r="D208" s="9" t="s">
        <v>3008</v>
      </c>
      <c r="E208" s="9" t="s">
        <v>3009</v>
      </c>
      <c r="F208" s="9" t="s">
        <v>3010</v>
      </c>
      <c r="G208" s="9">
        <v>1215</v>
      </c>
      <c r="H208" s="9">
        <v>1</v>
      </c>
      <c r="I208" s="9">
        <v>9198</v>
      </c>
      <c r="J208" s="37">
        <v>29355</v>
      </c>
      <c r="K208" s="9" t="s">
        <v>654</v>
      </c>
      <c r="L208" s="9" t="s">
        <v>1974</v>
      </c>
      <c r="M208" s="4"/>
      <c r="N208" s="4"/>
      <c r="P208" s="347"/>
      <c r="Q208" s="347"/>
      <c r="S208" s="129"/>
    </row>
    <row r="209" spans="1:19" ht="15" hidden="1" customHeight="1" x14ac:dyDescent="0.25">
      <c r="A209" s="154" t="s">
        <v>5508</v>
      </c>
      <c r="B209" s="154" t="s">
        <v>3781</v>
      </c>
      <c r="C209" s="154" t="s">
        <v>4641</v>
      </c>
      <c r="D209" s="154" t="s">
        <v>4580</v>
      </c>
      <c r="E209" s="154" t="s">
        <v>4581</v>
      </c>
      <c r="F209" s="154" t="s">
        <v>4582</v>
      </c>
      <c r="G209" s="154">
        <v>1218</v>
      </c>
      <c r="H209" s="154">
        <v>1</v>
      </c>
      <c r="I209" s="154">
        <v>9198</v>
      </c>
      <c r="J209" s="155">
        <v>29355</v>
      </c>
      <c r="K209" s="154" t="s">
        <v>654</v>
      </c>
      <c r="L209" s="154" t="s">
        <v>1974</v>
      </c>
      <c r="M209" s="4"/>
      <c r="N209" s="4"/>
      <c r="P209" s="347"/>
      <c r="Q209" s="347"/>
      <c r="S209" s="129"/>
    </row>
    <row r="210" spans="1:19" ht="15" hidden="1" customHeight="1" x14ac:dyDescent="0.3">
      <c r="A210" s="20" t="s">
        <v>7527</v>
      </c>
      <c r="B210" s="20" t="s">
        <v>597</v>
      </c>
      <c r="C210" s="20" t="s">
        <v>1507</v>
      </c>
      <c r="D210" s="20"/>
      <c r="E210" s="20"/>
      <c r="F210" s="20"/>
      <c r="G210" s="20">
        <v>2456</v>
      </c>
      <c r="H210" s="20">
        <v>2</v>
      </c>
      <c r="I210" s="20" t="s">
        <v>1454</v>
      </c>
      <c r="J210" s="20" t="s">
        <v>1454</v>
      </c>
      <c r="K210" s="20" t="s">
        <v>1417</v>
      </c>
      <c r="L210" s="20" t="s">
        <v>1972</v>
      </c>
      <c r="M210" s="4"/>
      <c r="N210" s="4"/>
      <c r="P210" s="329"/>
      <c r="Q210" s="329"/>
      <c r="S210" s="129"/>
    </row>
    <row r="211" spans="1:19" ht="15" hidden="1" customHeight="1" x14ac:dyDescent="0.3">
      <c r="A211" s="61" t="s">
        <v>7527</v>
      </c>
      <c r="B211" s="61" t="s">
        <v>34</v>
      </c>
      <c r="C211" s="61" t="s">
        <v>1507</v>
      </c>
      <c r="D211" s="61"/>
      <c r="E211" s="61"/>
      <c r="F211" s="61"/>
      <c r="G211" s="61">
        <v>2457</v>
      </c>
      <c r="H211" s="61">
        <v>40</v>
      </c>
      <c r="I211" s="61" t="s">
        <v>1454</v>
      </c>
      <c r="J211" s="61" t="s">
        <v>1454</v>
      </c>
      <c r="K211" s="61" t="s">
        <v>1417</v>
      </c>
      <c r="L211" s="61" t="s">
        <v>1972</v>
      </c>
      <c r="M211" s="4"/>
      <c r="N211" s="4"/>
      <c r="P211" s="329"/>
      <c r="Q211" s="329"/>
      <c r="S211" s="129"/>
    </row>
    <row r="212" spans="1:19" ht="15" hidden="1" customHeight="1" x14ac:dyDescent="0.3">
      <c r="A212" s="57" t="s">
        <v>7527</v>
      </c>
      <c r="B212" s="57" t="s">
        <v>11</v>
      </c>
      <c r="C212" s="57" t="s">
        <v>1507</v>
      </c>
      <c r="D212" s="57"/>
      <c r="E212" s="57"/>
      <c r="F212" s="57"/>
      <c r="G212" s="57">
        <v>2458</v>
      </c>
      <c r="H212" s="57">
        <v>80</v>
      </c>
      <c r="I212" s="57" t="s">
        <v>1454</v>
      </c>
      <c r="J212" s="57" t="s">
        <v>1454</v>
      </c>
      <c r="K212" s="57" t="s">
        <v>1417</v>
      </c>
      <c r="L212" s="57" t="s">
        <v>1972</v>
      </c>
      <c r="M212" s="4"/>
      <c r="N212" s="4"/>
      <c r="P212" s="329"/>
      <c r="Q212" s="329"/>
      <c r="S212" s="129"/>
    </row>
    <row r="213" spans="1:19" ht="15" hidden="1" customHeight="1" x14ac:dyDescent="0.3">
      <c r="A213" s="9" t="s">
        <v>7527</v>
      </c>
      <c r="B213" s="9" t="s">
        <v>6092</v>
      </c>
      <c r="C213" s="9" t="s">
        <v>1507</v>
      </c>
      <c r="D213" s="9"/>
      <c r="E213" s="9"/>
      <c r="F213" s="9"/>
      <c r="G213" s="9">
        <v>2459</v>
      </c>
      <c r="H213" s="9">
        <v>1</v>
      </c>
      <c r="I213" s="9" t="s">
        <v>1454</v>
      </c>
      <c r="J213" s="9" t="s">
        <v>1454</v>
      </c>
      <c r="K213" s="9" t="s">
        <v>1417</v>
      </c>
      <c r="L213" s="9" t="s">
        <v>1972</v>
      </c>
      <c r="M213" s="4"/>
      <c r="N213" s="4"/>
      <c r="P213" s="329"/>
      <c r="Q213" s="329"/>
      <c r="S213" s="129"/>
    </row>
    <row r="214" spans="1:19" ht="15" hidden="1" customHeight="1" x14ac:dyDescent="0.3">
      <c r="A214" s="9" t="s">
        <v>7527</v>
      </c>
      <c r="B214" s="9" t="s">
        <v>249</v>
      </c>
      <c r="C214" s="9" t="s">
        <v>1507</v>
      </c>
      <c r="D214" s="9"/>
      <c r="E214" s="9"/>
      <c r="F214" s="9"/>
      <c r="G214" s="9">
        <v>2460</v>
      </c>
      <c r="H214" s="9">
        <v>1</v>
      </c>
      <c r="I214" s="9" t="s">
        <v>1454</v>
      </c>
      <c r="J214" s="9" t="s">
        <v>1454</v>
      </c>
      <c r="K214" s="9" t="s">
        <v>1417</v>
      </c>
      <c r="L214" s="9" t="s">
        <v>1972</v>
      </c>
      <c r="M214" s="4"/>
      <c r="N214" s="4"/>
      <c r="P214" s="329"/>
      <c r="Q214" s="329"/>
      <c r="S214" s="129"/>
    </row>
    <row r="215" spans="1:19" ht="15" hidden="1" customHeight="1" x14ac:dyDescent="0.25">
      <c r="A215" s="20" t="s">
        <v>5509</v>
      </c>
      <c r="B215" s="20" t="s">
        <v>597</v>
      </c>
      <c r="C215" s="20" t="s">
        <v>2349</v>
      </c>
      <c r="D215" s="20" t="s">
        <v>2201</v>
      </c>
      <c r="E215" s="20" t="s">
        <v>2202</v>
      </c>
      <c r="F215" s="20" t="s">
        <v>2203</v>
      </c>
      <c r="G215" s="20">
        <v>2737</v>
      </c>
      <c r="H215" s="20">
        <v>10</v>
      </c>
      <c r="I215" s="20">
        <v>9198</v>
      </c>
      <c r="J215" s="36">
        <v>29355</v>
      </c>
      <c r="K215" s="20" t="s">
        <v>574</v>
      </c>
      <c r="L215" s="20" t="s">
        <v>1974</v>
      </c>
      <c r="M215" s="4"/>
      <c r="N215" s="4"/>
      <c r="P215" s="347">
        <v>171</v>
      </c>
      <c r="Q215" s="348">
        <f>P215*100%/(1000)</f>
        <v>0.17100000000000001</v>
      </c>
      <c r="R215" s="183"/>
      <c r="S215" s="129"/>
    </row>
    <row r="216" spans="1:19" ht="15" hidden="1" customHeight="1" x14ac:dyDescent="0.25">
      <c r="A216" s="61" t="s">
        <v>5509</v>
      </c>
      <c r="B216" s="61" t="s">
        <v>34</v>
      </c>
      <c r="C216" s="61" t="s">
        <v>2267</v>
      </c>
      <c r="D216" s="61" t="s">
        <v>2204</v>
      </c>
      <c r="E216" s="61" t="s">
        <v>2205</v>
      </c>
      <c r="F216" s="61" t="s">
        <v>2206</v>
      </c>
      <c r="G216" s="61">
        <v>2735</v>
      </c>
      <c r="H216" s="61">
        <v>60</v>
      </c>
      <c r="I216" s="61">
        <v>9198</v>
      </c>
      <c r="J216" s="62">
        <v>29355</v>
      </c>
      <c r="K216" s="61" t="s">
        <v>574</v>
      </c>
      <c r="L216" s="61" t="s">
        <v>1974</v>
      </c>
      <c r="M216" s="4"/>
      <c r="N216" s="4"/>
      <c r="P216" s="347"/>
      <c r="Q216" s="347"/>
      <c r="R216" s="183"/>
      <c r="S216" s="129"/>
    </row>
    <row r="217" spans="1:19" ht="15" hidden="1" customHeight="1" x14ac:dyDescent="0.25">
      <c r="A217" s="57" t="s">
        <v>5509</v>
      </c>
      <c r="B217" s="57" t="s">
        <v>11</v>
      </c>
      <c r="C217" s="57" t="s">
        <v>1507</v>
      </c>
      <c r="D217" s="57" t="s">
        <v>6852</v>
      </c>
      <c r="E217" s="57" t="s">
        <v>6847</v>
      </c>
      <c r="F217" s="57" t="s">
        <v>6848</v>
      </c>
      <c r="G217" s="57"/>
      <c r="H217" s="57">
        <v>100</v>
      </c>
      <c r="I217" s="57">
        <v>9198</v>
      </c>
      <c r="J217" s="57">
        <v>29355</v>
      </c>
      <c r="K217" s="57" t="s">
        <v>574</v>
      </c>
      <c r="L217" s="57" t="s">
        <v>1974</v>
      </c>
      <c r="M217" s="4"/>
      <c r="N217" s="4"/>
      <c r="P217" s="347"/>
      <c r="Q217" s="347"/>
      <c r="R217" s="183"/>
      <c r="S217" s="129"/>
    </row>
    <row r="218" spans="1:19" ht="15" hidden="1" customHeight="1" x14ac:dyDescent="0.25">
      <c r="A218" s="9" t="s">
        <v>5509</v>
      </c>
      <c r="B218" s="9" t="s">
        <v>249</v>
      </c>
      <c r="C218" s="9" t="s">
        <v>1507</v>
      </c>
      <c r="D218" s="9" t="s">
        <v>6851</v>
      </c>
      <c r="E218" s="9" t="s">
        <v>6850</v>
      </c>
      <c r="F218" s="9" t="s">
        <v>6849</v>
      </c>
      <c r="G218" s="9"/>
      <c r="H218" s="9">
        <v>1</v>
      </c>
      <c r="I218" s="9">
        <v>9198</v>
      </c>
      <c r="J218" s="9">
        <v>29355</v>
      </c>
      <c r="K218" s="9" t="s">
        <v>574</v>
      </c>
      <c r="L218" s="9" t="s">
        <v>1974</v>
      </c>
      <c r="M218" s="4"/>
      <c r="N218" s="4"/>
      <c r="P218" s="347"/>
      <c r="Q218" s="347"/>
      <c r="R218" s="183"/>
      <c r="S218" s="129"/>
    </row>
    <row r="219" spans="1:19" ht="15" hidden="1" customHeight="1" x14ac:dyDescent="0.25">
      <c r="A219" s="20" t="s">
        <v>5510</v>
      </c>
      <c r="B219" s="20" t="s">
        <v>597</v>
      </c>
      <c r="C219" s="20" t="s">
        <v>1648</v>
      </c>
      <c r="D219" s="20" t="s">
        <v>1656</v>
      </c>
      <c r="E219" s="20" t="s">
        <v>1655</v>
      </c>
      <c r="F219" s="20" t="s">
        <v>1654</v>
      </c>
      <c r="G219" s="20">
        <v>2591</v>
      </c>
      <c r="H219" s="20">
        <v>10</v>
      </c>
      <c r="I219" s="20">
        <v>9198</v>
      </c>
      <c r="J219" s="36">
        <v>29355</v>
      </c>
      <c r="K219" s="20" t="s">
        <v>440</v>
      </c>
      <c r="L219" s="20" t="s">
        <v>1974</v>
      </c>
      <c r="M219" s="4"/>
      <c r="N219" s="4"/>
      <c r="P219" s="347">
        <v>365</v>
      </c>
      <c r="Q219" s="348">
        <f>P219*100%/(1000)</f>
        <v>0.36499999999999999</v>
      </c>
      <c r="R219" s="183"/>
      <c r="S219" s="129"/>
    </row>
    <row r="220" spans="1:19" ht="15" hidden="1" customHeight="1" x14ac:dyDescent="0.25">
      <c r="A220" s="57" t="s">
        <v>5510</v>
      </c>
      <c r="B220" s="57" t="s">
        <v>11</v>
      </c>
      <c r="C220" s="57" t="s">
        <v>3330</v>
      </c>
      <c r="D220" s="57" t="s">
        <v>3299</v>
      </c>
      <c r="E220" s="57" t="s">
        <v>3300</v>
      </c>
      <c r="F220" s="57" t="s">
        <v>3301</v>
      </c>
      <c r="G220" s="57">
        <v>2704</v>
      </c>
      <c r="H220" s="57">
        <v>268</v>
      </c>
      <c r="I220" s="57">
        <v>9198</v>
      </c>
      <c r="J220" s="58">
        <v>29355</v>
      </c>
      <c r="K220" s="57" t="s">
        <v>1417</v>
      </c>
      <c r="L220" s="57" t="s">
        <v>1974</v>
      </c>
      <c r="M220" s="4"/>
      <c r="N220" s="4"/>
      <c r="P220" s="347"/>
      <c r="Q220" s="347"/>
      <c r="R220" s="183"/>
      <c r="S220" s="129"/>
    </row>
    <row r="221" spans="1:19" ht="15" hidden="1" customHeight="1" x14ac:dyDescent="0.25">
      <c r="A221" s="61" t="s">
        <v>5510</v>
      </c>
      <c r="B221" s="61" t="s">
        <v>34</v>
      </c>
      <c r="C221" s="61" t="s">
        <v>1647</v>
      </c>
      <c r="D221" s="61" t="s">
        <v>1651</v>
      </c>
      <c r="E221" s="61" t="s">
        <v>1650</v>
      </c>
      <c r="F221" s="61" t="s">
        <v>1649</v>
      </c>
      <c r="G221" s="61">
        <v>2590</v>
      </c>
      <c r="H221" s="61">
        <v>85</v>
      </c>
      <c r="I221" s="61">
        <v>9198</v>
      </c>
      <c r="J221" s="62">
        <v>29355</v>
      </c>
      <c r="K221" s="61" t="s">
        <v>440</v>
      </c>
      <c r="L221" s="61" t="s">
        <v>1974</v>
      </c>
      <c r="M221" s="4"/>
      <c r="N221" s="4"/>
      <c r="P221" s="347"/>
      <c r="Q221" s="347"/>
      <c r="R221" s="183"/>
      <c r="S221" s="129"/>
    </row>
    <row r="222" spans="1:19" ht="15" hidden="1" customHeight="1" x14ac:dyDescent="0.25">
      <c r="A222" s="9" t="s">
        <v>5510</v>
      </c>
      <c r="B222" s="9" t="s">
        <v>249</v>
      </c>
      <c r="C222" s="9" t="s">
        <v>3329</v>
      </c>
      <c r="D222" s="9" t="s">
        <v>3302</v>
      </c>
      <c r="E222" s="9" t="s">
        <v>3303</v>
      </c>
      <c r="F222" s="9" t="s">
        <v>3304</v>
      </c>
      <c r="G222" s="9">
        <v>2703</v>
      </c>
      <c r="H222" s="9">
        <v>1</v>
      </c>
      <c r="I222" s="9">
        <v>9198</v>
      </c>
      <c r="J222" s="37">
        <v>29355</v>
      </c>
      <c r="K222" s="9" t="s">
        <v>440</v>
      </c>
      <c r="L222" s="9" t="s">
        <v>1974</v>
      </c>
      <c r="M222" s="4"/>
      <c r="N222" s="4"/>
      <c r="P222" s="347"/>
      <c r="Q222" s="347"/>
      <c r="R222" s="183"/>
      <c r="S222" s="129"/>
    </row>
    <row r="223" spans="1:19" ht="15" hidden="1" customHeight="1" x14ac:dyDescent="0.25">
      <c r="A223" s="154" t="s">
        <v>5510</v>
      </c>
      <c r="B223" s="154" t="s">
        <v>3781</v>
      </c>
      <c r="C223" s="154" t="s">
        <v>6194</v>
      </c>
      <c r="D223" s="154" t="s">
        <v>5767</v>
      </c>
      <c r="E223" s="154" t="s">
        <v>5768</v>
      </c>
      <c r="F223" s="154" t="s">
        <v>5769</v>
      </c>
      <c r="G223" s="154">
        <v>2595</v>
      </c>
      <c r="H223" s="154">
        <v>1</v>
      </c>
      <c r="I223" s="154">
        <v>9198</v>
      </c>
      <c r="J223" s="155">
        <v>29355</v>
      </c>
      <c r="K223" s="154" t="s">
        <v>654</v>
      </c>
      <c r="L223" s="154" t="s">
        <v>1974</v>
      </c>
      <c r="M223" s="4"/>
      <c r="N223" s="4"/>
      <c r="P223" s="347"/>
      <c r="Q223" s="347"/>
      <c r="R223" s="183"/>
      <c r="S223" s="129"/>
    </row>
    <row r="224" spans="1:19" ht="15" hidden="1" customHeight="1" x14ac:dyDescent="0.25">
      <c r="A224" s="20" t="s">
        <v>5511</v>
      </c>
      <c r="B224" s="20" t="s">
        <v>597</v>
      </c>
      <c r="C224" s="20" t="s">
        <v>3314</v>
      </c>
      <c r="D224" s="20" t="s">
        <v>3188</v>
      </c>
      <c r="E224" s="20" t="s">
        <v>3189</v>
      </c>
      <c r="F224" s="20" t="s">
        <v>3190</v>
      </c>
      <c r="G224" s="20">
        <v>300</v>
      </c>
      <c r="H224" s="20">
        <v>2</v>
      </c>
      <c r="I224" s="20">
        <v>9198</v>
      </c>
      <c r="J224" s="36">
        <v>29355</v>
      </c>
      <c r="K224" s="20" t="s">
        <v>440</v>
      </c>
      <c r="L224" s="20" t="s">
        <v>1974</v>
      </c>
      <c r="M224" s="4"/>
      <c r="N224" s="4"/>
      <c r="P224" s="347">
        <v>192</v>
      </c>
      <c r="Q224" s="348">
        <f>P224*100%/(1000)</f>
        <v>0.192</v>
      </c>
      <c r="R224" s="183"/>
      <c r="S224" s="129"/>
    </row>
    <row r="225" spans="1:19" ht="15" hidden="1" customHeight="1" x14ac:dyDescent="0.25">
      <c r="A225" s="61" t="s">
        <v>5511</v>
      </c>
      <c r="B225" s="61" t="s">
        <v>34</v>
      </c>
      <c r="C225" s="61" t="s">
        <v>3315</v>
      </c>
      <c r="D225" s="61" t="s">
        <v>3191</v>
      </c>
      <c r="E225" s="61" t="s">
        <v>3192</v>
      </c>
      <c r="F225" s="61" t="s">
        <v>3193</v>
      </c>
      <c r="G225" s="61">
        <v>302</v>
      </c>
      <c r="H225" s="61">
        <v>188</v>
      </c>
      <c r="I225" s="61">
        <v>9198</v>
      </c>
      <c r="J225" s="62">
        <v>29355</v>
      </c>
      <c r="K225" s="61" t="s">
        <v>440</v>
      </c>
      <c r="L225" s="61" t="s">
        <v>1974</v>
      </c>
      <c r="M225" s="4"/>
      <c r="N225" s="4"/>
      <c r="P225" s="347"/>
      <c r="Q225" s="347"/>
      <c r="R225" s="183"/>
      <c r="S225" s="129"/>
    </row>
    <row r="226" spans="1:19" ht="15" hidden="1" customHeight="1" x14ac:dyDescent="0.25">
      <c r="A226" s="9" t="s">
        <v>5511</v>
      </c>
      <c r="B226" s="9" t="s">
        <v>249</v>
      </c>
      <c r="C226" s="9" t="s">
        <v>3316</v>
      </c>
      <c r="D226" s="9" t="s">
        <v>3194</v>
      </c>
      <c r="E226" s="9" t="s">
        <v>3195</v>
      </c>
      <c r="F226" s="9" t="s">
        <v>3196</v>
      </c>
      <c r="G226" s="9">
        <v>301</v>
      </c>
      <c r="H226" s="9">
        <v>1</v>
      </c>
      <c r="I226" s="9">
        <v>9198</v>
      </c>
      <c r="J226" s="37">
        <v>29355</v>
      </c>
      <c r="K226" s="9" t="s">
        <v>440</v>
      </c>
      <c r="L226" s="9" t="s">
        <v>1974</v>
      </c>
      <c r="M226" s="4"/>
      <c r="N226" s="4"/>
      <c r="P226" s="347"/>
      <c r="Q226" s="347"/>
      <c r="R226" s="183"/>
      <c r="S226" s="129"/>
    </row>
    <row r="227" spans="1:19" ht="15" hidden="1" customHeight="1" x14ac:dyDescent="0.25">
      <c r="A227" s="154" t="s">
        <v>5511</v>
      </c>
      <c r="B227" s="154" t="s">
        <v>3781</v>
      </c>
      <c r="C227" s="154" t="s">
        <v>4357</v>
      </c>
      <c r="D227" s="154" t="s">
        <v>4176</v>
      </c>
      <c r="E227" s="154" t="s">
        <v>4177</v>
      </c>
      <c r="F227" s="154" t="s">
        <v>4178</v>
      </c>
      <c r="G227" s="154">
        <v>303</v>
      </c>
      <c r="H227" s="154">
        <v>1</v>
      </c>
      <c r="I227" s="154">
        <v>9198</v>
      </c>
      <c r="J227" s="155">
        <v>29355</v>
      </c>
      <c r="K227" s="154" t="s">
        <v>654</v>
      </c>
      <c r="L227" s="154" t="s">
        <v>1974</v>
      </c>
      <c r="M227" s="4"/>
      <c r="N227" s="4"/>
      <c r="P227" s="347"/>
      <c r="Q227" s="347"/>
      <c r="R227" s="183"/>
      <c r="S227" s="129"/>
    </row>
    <row r="228" spans="1:19" ht="15" hidden="1" customHeight="1" x14ac:dyDescent="0.25">
      <c r="A228" s="61" t="s">
        <v>4836</v>
      </c>
      <c r="B228" s="61" t="s">
        <v>34</v>
      </c>
      <c r="C228" s="61" t="s">
        <v>4873</v>
      </c>
      <c r="D228" s="61"/>
      <c r="E228" s="61"/>
      <c r="F228" s="61" t="s">
        <v>4839</v>
      </c>
      <c r="G228" s="61">
        <v>2310</v>
      </c>
      <c r="H228" s="61">
        <v>195</v>
      </c>
      <c r="I228" s="61" t="s">
        <v>1454</v>
      </c>
      <c r="J228" s="62" t="s">
        <v>1454</v>
      </c>
      <c r="K228" s="61" t="s">
        <v>431</v>
      </c>
      <c r="L228" s="61" t="s">
        <v>1974</v>
      </c>
      <c r="M228" s="4"/>
      <c r="N228" s="4"/>
      <c r="P228" s="347">
        <v>196</v>
      </c>
      <c r="Q228" s="348">
        <f>P228*100%/(1000)</f>
        <v>0.19600000000000001</v>
      </c>
      <c r="R228" s="183"/>
      <c r="S228" s="129"/>
    </row>
    <row r="229" spans="1:19" ht="15" hidden="1" customHeight="1" x14ac:dyDescent="0.25">
      <c r="A229" s="9" t="s">
        <v>4836</v>
      </c>
      <c r="B229" s="9" t="s">
        <v>249</v>
      </c>
      <c r="C229" s="9" t="s">
        <v>4874</v>
      </c>
      <c r="D229" s="9"/>
      <c r="E229" s="9"/>
      <c r="F229" s="9" t="s">
        <v>4838</v>
      </c>
      <c r="G229" s="9">
        <v>2311</v>
      </c>
      <c r="H229" s="9">
        <v>1</v>
      </c>
      <c r="I229" s="9" t="s">
        <v>1454</v>
      </c>
      <c r="J229" s="37" t="s">
        <v>1454</v>
      </c>
      <c r="K229" s="9" t="s">
        <v>5135</v>
      </c>
      <c r="L229" s="9" t="s">
        <v>1974</v>
      </c>
      <c r="M229" s="4"/>
      <c r="N229" s="4"/>
      <c r="P229" s="347"/>
      <c r="Q229" s="347"/>
      <c r="R229" s="183"/>
      <c r="S229" s="129"/>
    </row>
    <row r="230" spans="1:19" ht="15" hidden="1" customHeight="1" x14ac:dyDescent="0.25">
      <c r="A230" s="9" t="s">
        <v>4837</v>
      </c>
      <c r="B230" s="9" t="s">
        <v>249</v>
      </c>
      <c r="C230" s="9" t="s">
        <v>4875</v>
      </c>
      <c r="D230" s="9"/>
      <c r="E230" s="9"/>
      <c r="F230" s="9" t="s">
        <v>4841</v>
      </c>
      <c r="G230" s="9">
        <v>2313</v>
      </c>
      <c r="H230" s="9">
        <v>1</v>
      </c>
      <c r="I230" s="9" t="s">
        <v>1454</v>
      </c>
      <c r="J230" s="37" t="s">
        <v>1454</v>
      </c>
      <c r="K230" s="9" t="s">
        <v>522</v>
      </c>
      <c r="L230" s="9" t="s">
        <v>1974</v>
      </c>
      <c r="M230" s="4"/>
      <c r="N230" s="4"/>
      <c r="P230" s="347">
        <v>127</v>
      </c>
      <c r="Q230" s="348">
        <f>P230*100%/(1000)</f>
        <v>0.127</v>
      </c>
      <c r="R230" s="183"/>
      <c r="S230" s="129"/>
    </row>
    <row r="231" spans="1:19" ht="15" hidden="1" customHeight="1" x14ac:dyDescent="0.25">
      <c r="A231" s="57" t="s">
        <v>4837</v>
      </c>
      <c r="B231" s="57" t="s">
        <v>11</v>
      </c>
      <c r="C231" s="57" t="s">
        <v>4876</v>
      </c>
      <c r="D231" s="57"/>
      <c r="E231" s="57"/>
      <c r="F231" s="57" t="s">
        <v>4840</v>
      </c>
      <c r="G231" s="57">
        <v>2312</v>
      </c>
      <c r="H231" s="57">
        <v>126</v>
      </c>
      <c r="I231" s="57" t="s">
        <v>1454</v>
      </c>
      <c r="J231" s="58" t="s">
        <v>1454</v>
      </c>
      <c r="K231" s="57" t="s">
        <v>522</v>
      </c>
      <c r="L231" s="57" t="s">
        <v>1974</v>
      </c>
      <c r="M231" s="4"/>
      <c r="N231" s="4"/>
      <c r="P231" s="347"/>
      <c r="Q231" s="347"/>
      <c r="R231" s="183"/>
      <c r="S231" s="129"/>
    </row>
    <row r="232" spans="1:19" ht="15" hidden="1" customHeight="1" x14ac:dyDescent="0.35">
      <c r="A232" s="61" t="s">
        <v>5512</v>
      </c>
      <c r="B232" s="61" t="s">
        <v>34</v>
      </c>
      <c r="C232" s="61" t="s">
        <v>2901</v>
      </c>
      <c r="D232" s="61" t="s">
        <v>2891</v>
      </c>
      <c r="E232" s="61" t="s">
        <v>2892</v>
      </c>
      <c r="F232" s="61" t="s">
        <v>2893</v>
      </c>
      <c r="G232" s="61">
        <v>2108</v>
      </c>
      <c r="H232" s="61">
        <v>50</v>
      </c>
      <c r="I232" s="61">
        <v>9198</v>
      </c>
      <c r="J232" s="62">
        <v>29355</v>
      </c>
      <c r="K232" s="61" t="s">
        <v>1691</v>
      </c>
      <c r="L232" s="61" t="s">
        <v>1974</v>
      </c>
      <c r="M232" s="4"/>
      <c r="N232" s="4"/>
      <c r="P232">
        <v>50</v>
      </c>
      <c r="Q232" s="303">
        <f>P232*100%/(1000)</f>
        <v>0.05</v>
      </c>
      <c r="R232" s="183"/>
      <c r="S232" s="129"/>
    </row>
    <row r="233" spans="1:19" ht="15" hidden="1" customHeight="1" x14ac:dyDescent="0.25">
      <c r="A233" s="20" t="s">
        <v>5513</v>
      </c>
      <c r="B233" s="20" t="s">
        <v>597</v>
      </c>
      <c r="C233" s="20" t="s">
        <v>1675</v>
      </c>
      <c r="D233" s="20" t="s">
        <v>1635</v>
      </c>
      <c r="E233" s="20" t="s">
        <v>1636</v>
      </c>
      <c r="F233" s="20" t="s">
        <v>1637</v>
      </c>
      <c r="G233" s="20">
        <v>2815</v>
      </c>
      <c r="H233" s="20">
        <v>20</v>
      </c>
      <c r="I233" s="20">
        <v>9198</v>
      </c>
      <c r="J233" s="36">
        <v>65345</v>
      </c>
      <c r="K233" s="20" t="s">
        <v>430</v>
      </c>
      <c r="L233" s="20" t="s">
        <v>1975</v>
      </c>
      <c r="M233" s="4"/>
      <c r="N233" s="4"/>
      <c r="P233" s="347">
        <v>1589</v>
      </c>
      <c r="Q233" s="348">
        <f>P233*100%/(2000)</f>
        <v>0.79449999999999998</v>
      </c>
      <c r="R233" s="146" t="s">
        <v>4895</v>
      </c>
      <c r="S233" s="129"/>
    </row>
    <row r="234" spans="1:19" ht="15" hidden="1" customHeight="1" x14ac:dyDescent="0.25">
      <c r="A234" s="57" t="s">
        <v>5513</v>
      </c>
      <c r="B234" s="57" t="s">
        <v>11</v>
      </c>
      <c r="C234" s="57" t="s">
        <v>2084</v>
      </c>
      <c r="D234" s="57" t="s">
        <v>2026</v>
      </c>
      <c r="E234" s="57" t="s">
        <v>2027</v>
      </c>
      <c r="F234" s="57" t="s">
        <v>2028</v>
      </c>
      <c r="G234" s="57">
        <v>1633</v>
      </c>
      <c r="H234" s="57">
        <v>1050</v>
      </c>
      <c r="I234" s="57">
        <v>9198</v>
      </c>
      <c r="J234" s="58">
        <v>65345</v>
      </c>
      <c r="K234" s="57" t="s">
        <v>654</v>
      </c>
      <c r="L234" s="57" t="s">
        <v>1975</v>
      </c>
      <c r="M234" s="4"/>
      <c r="N234" s="4"/>
      <c r="P234" s="347"/>
      <c r="Q234" s="347"/>
      <c r="R234" s="146" t="s">
        <v>6061</v>
      </c>
      <c r="S234" s="129"/>
    </row>
    <row r="235" spans="1:19" ht="15" hidden="1" customHeight="1" x14ac:dyDescent="0.25">
      <c r="A235" s="61" t="s">
        <v>5513</v>
      </c>
      <c r="B235" s="61" t="s">
        <v>34</v>
      </c>
      <c r="C235" s="61" t="s">
        <v>791</v>
      </c>
      <c r="D235" s="61" t="s">
        <v>370</v>
      </c>
      <c r="E235" s="61" t="s">
        <v>369</v>
      </c>
      <c r="F235" s="61" t="s">
        <v>368</v>
      </c>
      <c r="G235" s="61">
        <v>2428</v>
      </c>
      <c r="H235" s="61">
        <v>513</v>
      </c>
      <c r="I235" s="61">
        <v>9198</v>
      </c>
      <c r="J235" s="62">
        <v>65345</v>
      </c>
      <c r="K235" s="61" t="s">
        <v>430</v>
      </c>
      <c r="L235" s="61" t="s">
        <v>1975</v>
      </c>
      <c r="M235" s="4"/>
      <c r="N235" s="4"/>
      <c r="P235" s="347"/>
      <c r="Q235" s="347"/>
      <c r="R235" s="146" t="s">
        <v>6297</v>
      </c>
      <c r="S235" s="129"/>
    </row>
    <row r="236" spans="1:19" ht="15" hidden="1" customHeight="1" x14ac:dyDescent="0.25">
      <c r="A236" s="9" t="s">
        <v>5513</v>
      </c>
      <c r="B236" s="9" t="s">
        <v>249</v>
      </c>
      <c r="C236" s="9" t="s">
        <v>2085</v>
      </c>
      <c r="D236" s="9" t="s">
        <v>2029</v>
      </c>
      <c r="E236" s="9" t="s">
        <v>2030</v>
      </c>
      <c r="F236" s="9" t="s">
        <v>2031</v>
      </c>
      <c r="G236" s="9">
        <v>1709</v>
      </c>
      <c r="H236" s="9">
        <v>5</v>
      </c>
      <c r="I236" s="9">
        <v>9198</v>
      </c>
      <c r="J236" s="37">
        <v>65345</v>
      </c>
      <c r="K236" s="9" t="s">
        <v>430</v>
      </c>
      <c r="L236" s="9" t="s">
        <v>1975</v>
      </c>
      <c r="M236" s="4"/>
      <c r="N236" s="4"/>
      <c r="P236" s="347"/>
      <c r="Q236" s="347"/>
      <c r="R236" s="213"/>
      <c r="S236" s="129"/>
    </row>
    <row r="237" spans="1:19" ht="15" hidden="1" customHeight="1" x14ac:dyDescent="0.25">
      <c r="A237" s="154" t="s">
        <v>5513</v>
      </c>
      <c r="B237" s="154" t="s">
        <v>3781</v>
      </c>
      <c r="C237" s="154" t="s">
        <v>4853</v>
      </c>
      <c r="D237" s="154" t="s">
        <v>4810</v>
      </c>
      <c r="E237" s="154" t="s">
        <v>4811</v>
      </c>
      <c r="F237" s="154" t="s">
        <v>4812</v>
      </c>
      <c r="G237" s="154">
        <v>2408</v>
      </c>
      <c r="H237" s="154">
        <v>1</v>
      </c>
      <c r="I237" s="154">
        <v>9198</v>
      </c>
      <c r="J237" s="155">
        <v>65345</v>
      </c>
      <c r="K237" s="154" t="s">
        <v>654</v>
      </c>
      <c r="L237" s="154" t="s">
        <v>1975</v>
      </c>
      <c r="M237" s="4"/>
      <c r="N237" s="4"/>
      <c r="P237" s="347"/>
      <c r="Q237" s="347"/>
      <c r="R237" s="213"/>
      <c r="S237" s="129"/>
    </row>
    <row r="238" spans="1:19" ht="15" hidden="1" customHeight="1" x14ac:dyDescent="0.25">
      <c r="A238" s="57" t="s">
        <v>7072</v>
      </c>
      <c r="B238" s="57" t="s">
        <v>11</v>
      </c>
      <c r="C238" s="57" t="s">
        <v>1507</v>
      </c>
      <c r="D238" s="57"/>
      <c r="E238" s="57"/>
      <c r="F238" s="57"/>
      <c r="G238" s="57">
        <v>2418</v>
      </c>
      <c r="H238" s="57">
        <v>150</v>
      </c>
      <c r="I238" s="57" t="s">
        <v>1454</v>
      </c>
      <c r="J238" s="58" t="s">
        <v>1454</v>
      </c>
      <c r="K238" s="57" t="s">
        <v>428</v>
      </c>
      <c r="L238" s="57"/>
      <c r="M238" s="4"/>
      <c r="N238" s="4"/>
      <c r="P238" s="347">
        <v>201</v>
      </c>
      <c r="Q238" s="347"/>
      <c r="S238" s="129"/>
    </row>
    <row r="239" spans="1:19" ht="15" hidden="1" customHeight="1" x14ac:dyDescent="0.25">
      <c r="A239" s="61" t="s">
        <v>7072</v>
      </c>
      <c r="B239" s="61" t="s">
        <v>34</v>
      </c>
      <c r="C239" s="61" t="s">
        <v>1507</v>
      </c>
      <c r="D239" s="61"/>
      <c r="E239" s="61"/>
      <c r="F239" s="61"/>
      <c r="G239" s="61">
        <v>2419</v>
      </c>
      <c r="H239" s="61">
        <v>50</v>
      </c>
      <c r="I239" s="61" t="s">
        <v>1454</v>
      </c>
      <c r="J239" s="62" t="s">
        <v>1454</v>
      </c>
      <c r="K239" s="61" t="s">
        <v>428</v>
      </c>
      <c r="L239" s="61"/>
      <c r="M239" s="4"/>
      <c r="N239" s="4"/>
      <c r="P239" s="347"/>
      <c r="Q239" s="347"/>
      <c r="S239" s="129"/>
    </row>
    <row r="240" spans="1:19" ht="15" hidden="1" customHeight="1" x14ac:dyDescent="0.25">
      <c r="A240" s="9" t="s">
        <v>7072</v>
      </c>
      <c r="B240" s="9" t="s">
        <v>249</v>
      </c>
      <c r="C240" s="9" t="s">
        <v>1507</v>
      </c>
      <c r="D240" s="9"/>
      <c r="E240" s="9"/>
      <c r="F240" s="9"/>
      <c r="G240" s="9">
        <v>2420</v>
      </c>
      <c r="H240" s="9">
        <v>1</v>
      </c>
      <c r="I240" s="9" t="s">
        <v>1454</v>
      </c>
      <c r="J240" s="37" t="s">
        <v>1454</v>
      </c>
      <c r="K240" s="9" t="s">
        <v>428</v>
      </c>
      <c r="L240" s="9"/>
      <c r="M240" s="4"/>
      <c r="N240" s="4"/>
      <c r="P240" s="347"/>
      <c r="Q240" s="347"/>
      <c r="R240" s="213"/>
      <c r="S240" s="129"/>
    </row>
    <row r="241" spans="1:19" ht="15" hidden="1" customHeight="1" x14ac:dyDescent="0.25">
      <c r="A241" s="20" t="s">
        <v>5514</v>
      </c>
      <c r="B241" s="20" t="s">
        <v>597</v>
      </c>
      <c r="C241" s="20" t="s">
        <v>4610</v>
      </c>
      <c r="D241" s="20" t="s">
        <v>3390</v>
      </c>
      <c r="E241" s="20" t="s">
        <v>3391</v>
      </c>
      <c r="F241" s="20" t="s">
        <v>3392</v>
      </c>
      <c r="G241" s="20">
        <v>438</v>
      </c>
      <c r="H241" s="20">
        <v>4</v>
      </c>
      <c r="I241" s="20">
        <v>9198</v>
      </c>
      <c r="J241" s="36">
        <v>29355</v>
      </c>
      <c r="K241" s="20" t="s">
        <v>1417</v>
      </c>
      <c r="L241" s="20" t="s">
        <v>1974</v>
      </c>
      <c r="M241" s="4"/>
      <c r="N241" s="4"/>
      <c r="P241" s="347">
        <v>255</v>
      </c>
      <c r="Q241" s="348">
        <f>P241*100%/(1000)</f>
        <v>0.255</v>
      </c>
      <c r="R241" s="213"/>
      <c r="S241" s="129"/>
    </row>
    <row r="242" spans="1:19" ht="15" hidden="1" customHeight="1" x14ac:dyDescent="0.25">
      <c r="A242" s="61" t="s">
        <v>5514</v>
      </c>
      <c r="B242" s="61" t="s">
        <v>34</v>
      </c>
      <c r="C242" s="61" t="s">
        <v>7331</v>
      </c>
      <c r="D242" s="61" t="s">
        <v>7076</v>
      </c>
      <c r="E242" s="61" t="s">
        <v>7077</v>
      </c>
      <c r="F242" s="61" t="s">
        <v>7078</v>
      </c>
      <c r="G242" s="61">
        <v>789</v>
      </c>
      <c r="H242" s="61">
        <v>100</v>
      </c>
      <c r="I242" s="61">
        <v>9198</v>
      </c>
      <c r="J242" s="62">
        <v>29355</v>
      </c>
      <c r="K242" s="61" t="s">
        <v>1417</v>
      </c>
      <c r="L242" s="61" t="s">
        <v>1974</v>
      </c>
      <c r="M242" s="4"/>
      <c r="N242" s="4"/>
      <c r="P242" s="347"/>
      <c r="Q242" s="347"/>
      <c r="S242" s="129"/>
    </row>
    <row r="243" spans="1:19" ht="15" hidden="1" customHeight="1" x14ac:dyDescent="0.25">
      <c r="A243" s="142" t="s">
        <v>5514</v>
      </c>
      <c r="B243" s="142" t="s">
        <v>249</v>
      </c>
      <c r="C243" s="142" t="s">
        <v>4611</v>
      </c>
      <c r="D243" s="142" t="s">
        <v>3393</v>
      </c>
      <c r="E243" s="142" t="s">
        <v>3394</v>
      </c>
      <c r="F243" s="142" t="s">
        <v>3395</v>
      </c>
      <c r="G243" s="142">
        <v>437</v>
      </c>
      <c r="H243" s="142">
        <v>1</v>
      </c>
      <c r="I243" s="142">
        <v>9198</v>
      </c>
      <c r="J243" s="37">
        <v>29355</v>
      </c>
      <c r="K243" s="142" t="s">
        <v>1417</v>
      </c>
      <c r="L243" s="142" t="s">
        <v>1974</v>
      </c>
      <c r="M243" s="4"/>
      <c r="N243" s="4"/>
      <c r="P243" s="347"/>
      <c r="Q243" s="347"/>
      <c r="R243" s="213"/>
      <c r="S243" s="129"/>
    </row>
    <row r="244" spans="1:19" ht="15" hidden="1" customHeight="1" x14ac:dyDescent="0.25">
      <c r="A244" s="57" t="s">
        <v>5514</v>
      </c>
      <c r="B244" s="57" t="s">
        <v>11</v>
      </c>
      <c r="C244" s="57" t="s">
        <v>7330</v>
      </c>
      <c r="D244" s="57" t="s">
        <v>7079</v>
      </c>
      <c r="E244" s="57" t="s">
        <v>7080</v>
      </c>
      <c r="F244" s="57" t="s">
        <v>7081</v>
      </c>
      <c r="G244" s="57">
        <v>788</v>
      </c>
      <c r="H244" s="57">
        <v>150</v>
      </c>
      <c r="I244" s="57">
        <v>9198</v>
      </c>
      <c r="J244" s="58">
        <v>29355</v>
      </c>
      <c r="K244" s="57" t="s">
        <v>1417</v>
      </c>
      <c r="L244" s="57" t="s">
        <v>1974</v>
      </c>
      <c r="M244" s="4"/>
      <c r="N244" s="4"/>
      <c r="P244" s="347"/>
      <c r="Q244" s="347"/>
      <c r="S244" s="129"/>
    </row>
    <row r="245" spans="1:19" ht="15" hidden="1" customHeight="1" x14ac:dyDescent="0.25">
      <c r="A245" s="20" t="s">
        <v>5515</v>
      </c>
      <c r="B245" s="20" t="s">
        <v>597</v>
      </c>
      <c r="C245" s="20" t="s">
        <v>1384</v>
      </c>
      <c r="D245" s="20" t="s">
        <v>2492</v>
      </c>
      <c r="E245" s="20" t="s">
        <v>2494</v>
      </c>
      <c r="F245" s="20" t="s">
        <v>2496</v>
      </c>
      <c r="G245" s="20">
        <v>3239</v>
      </c>
      <c r="H245" s="20">
        <v>2</v>
      </c>
      <c r="I245" s="20">
        <v>9198</v>
      </c>
      <c r="J245" s="36">
        <v>29355</v>
      </c>
      <c r="K245" s="20" t="s">
        <v>1116</v>
      </c>
      <c r="L245" s="20" t="s">
        <v>1974</v>
      </c>
      <c r="M245" s="4"/>
      <c r="N245" s="4"/>
      <c r="P245" s="347">
        <v>56</v>
      </c>
      <c r="Q245" s="348">
        <f>P245*100%/(1000)</f>
        <v>5.6000000000000001E-2</v>
      </c>
      <c r="R245" s="183"/>
      <c r="S245" s="129"/>
    </row>
    <row r="246" spans="1:19" ht="15" hidden="1" customHeight="1" x14ac:dyDescent="0.25">
      <c r="A246" s="61" t="s">
        <v>5515</v>
      </c>
      <c r="B246" s="61" t="s">
        <v>34</v>
      </c>
      <c r="C246" s="61" t="s">
        <v>1385</v>
      </c>
      <c r="D246" s="61" t="s">
        <v>2493</v>
      </c>
      <c r="E246" s="61" t="s">
        <v>2495</v>
      </c>
      <c r="F246" s="61" t="s">
        <v>2497</v>
      </c>
      <c r="G246" s="61">
        <v>3240</v>
      </c>
      <c r="H246" s="61">
        <v>54</v>
      </c>
      <c r="I246" s="61">
        <v>9198</v>
      </c>
      <c r="J246" s="62">
        <v>29355</v>
      </c>
      <c r="K246" s="61" t="s">
        <v>1116</v>
      </c>
      <c r="L246" s="61" t="s">
        <v>1974</v>
      </c>
      <c r="M246" s="4"/>
      <c r="N246" s="4"/>
      <c r="P246" s="347"/>
      <c r="Q246" s="347"/>
      <c r="S246" s="129"/>
    </row>
    <row r="247" spans="1:19" ht="15" hidden="1" customHeight="1" x14ac:dyDescent="0.25">
      <c r="A247" s="20" t="s">
        <v>5516</v>
      </c>
      <c r="B247" s="20" t="s">
        <v>597</v>
      </c>
      <c r="C247" s="20" t="s">
        <v>1507</v>
      </c>
      <c r="D247" s="20" t="s">
        <v>4714</v>
      </c>
      <c r="E247" s="20" t="s">
        <v>4715</v>
      </c>
      <c r="F247" s="20" t="s">
        <v>4716</v>
      </c>
      <c r="G247" s="20"/>
      <c r="H247" s="20">
        <v>2</v>
      </c>
      <c r="I247" s="20"/>
      <c r="J247" s="36">
        <v>29355</v>
      </c>
      <c r="K247" s="20" t="s">
        <v>428</v>
      </c>
      <c r="L247" s="20" t="s">
        <v>1974</v>
      </c>
      <c r="M247" s="4"/>
      <c r="N247" s="4"/>
      <c r="P247" s="347">
        <v>103</v>
      </c>
      <c r="Q247" s="348">
        <f>P247*100%/(1000)</f>
        <v>0.10299999999999999</v>
      </c>
      <c r="S247" s="129"/>
    </row>
    <row r="248" spans="1:19" ht="15" hidden="1" customHeight="1" x14ac:dyDescent="0.25">
      <c r="A248" s="141" t="s">
        <v>5516</v>
      </c>
      <c r="B248" s="141" t="s">
        <v>34</v>
      </c>
      <c r="C248" s="141" t="s">
        <v>1507</v>
      </c>
      <c r="D248" s="141" t="s">
        <v>4717</v>
      </c>
      <c r="E248" s="141" t="s">
        <v>4718</v>
      </c>
      <c r="F248" s="141" t="s">
        <v>4719</v>
      </c>
      <c r="G248" s="141"/>
      <c r="H248" s="141">
        <v>50</v>
      </c>
      <c r="I248" s="141"/>
      <c r="J248" s="62">
        <v>29355</v>
      </c>
      <c r="K248" s="141" t="s">
        <v>428</v>
      </c>
      <c r="L248" s="141" t="s">
        <v>1974</v>
      </c>
      <c r="M248" s="4"/>
      <c r="N248" s="4"/>
      <c r="P248" s="347"/>
      <c r="Q248" s="347"/>
      <c r="S248" s="129"/>
    </row>
    <row r="249" spans="1:19" ht="15" hidden="1" customHeight="1" x14ac:dyDescent="0.25">
      <c r="A249" s="142" t="s">
        <v>5516</v>
      </c>
      <c r="B249" s="142" t="s">
        <v>249</v>
      </c>
      <c r="C249" s="142" t="s">
        <v>1507</v>
      </c>
      <c r="D249" s="142" t="s">
        <v>4720</v>
      </c>
      <c r="E249" s="142" t="s">
        <v>4721</v>
      </c>
      <c r="F249" s="142" t="s">
        <v>4722</v>
      </c>
      <c r="G249" s="142"/>
      <c r="H249" s="142">
        <v>1</v>
      </c>
      <c r="I249" s="142"/>
      <c r="J249" s="37">
        <v>29355</v>
      </c>
      <c r="K249" s="142" t="s">
        <v>428</v>
      </c>
      <c r="L249" s="142" t="s">
        <v>1974</v>
      </c>
      <c r="M249" s="4"/>
      <c r="N249" s="4"/>
      <c r="P249" s="347"/>
      <c r="Q249" s="347"/>
      <c r="R249" s="183"/>
      <c r="S249" s="129"/>
    </row>
    <row r="250" spans="1:19" ht="15" hidden="1" customHeight="1" x14ac:dyDescent="0.25">
      <c r="A250" s="57" t="s">
        <v>5516</v>
      </c>
      <c r="B250" s="57" t="s">
        <v>11</v>
      </c>
      <c r="C250" s="57" t="s">
        <v>1507</v>
      </c>
      <c r="D250" s="57" t="s">
        <v>4723</v>
      </c>
      <c r="E250" s="57" t="s">
        <v>4724</v>
      </c>
      <c r="F250" s="57" t="s">
        <v>4725</v>
      </c>
      <c r="G250" s="57"/>
      <c r="H250" s="57">
        <v>50</v>
      </c>
      <c r="I250" s="57"/>
      <c r="J250" s="58">
        <v>29355</v>
      </c>
      <c r="K250" s="57" t="s">
        <v>428</v>
      </c>
      <c r="L250" s="57" t="s">
        <v>1974</v>
      </c>
      <c r="M250" s="4"/>
      <c r="N250" s="4"/>
      <c r="P250" s="347"/>
      <c r="Q250" s="347"/>
      <c r="S250" s="129"/>
    </row>
    <row r="251" spans="1:19" ht="15" hidden="1" customHeight="1" x14ac:dyDescent="0.25">
      <c r="A251" s="20" t="s">
        <v>5517</v>
      </c>
      <c r="B251" s="20" t="s">
        <v>597</v>
      </c>
      <c r="C251" s="20" t="s">
        <v>1625</v>
      </c>
      <c r="D251" s="20" t="s">
        <v>1442</v>
      </c>
      <c r="E251" s="20" t="s">
        <v>1443</v>
      </c>
      <c r="F251" s="20" t="s">
        <v>1444</v>
      </c>
      <c r="G251" s="20">
        <v>3982</v>
      </c>
      <c r="H251" s="20">
        <v>4</v>
      </c>
      <c r="I251" s="20">
        <v>9198</v>
      </c>
      <c r="J251" s="36">
        <v>29355</v>
      </c>
      <c r="K251" s="20" t="s">
        <v>434</v>
      </c>
      <c r="L251" s="20" t="s">
        <v>1974</v>
      </c>
      <c r="M251" s="4"/>
      <c r="N251" s="4"/>
      <c r="P251" s="347">
        <v>161</v>
      </c>
      <c r="Q251" s="348">
        <f>P251*100%/(1000)</f>
        <v>0.161</v>
      </c>
      <c r="R251" s="183"/>
      <c r="S251" s="129"/>
    </row>
    <row r="252" spans="1:19" ht="15" hidden="1" customHeight="1" x14ac:dyDescent="0.25">
      <c r="A252" s="61" t="s">
        <v>5517</v>
      </c>
      <c r="B252" s="61" t="s">
        <v>34</v>
      </c>
      <c r="C252" s="61" t="s">
        <v>1624</v>
      </c>
      <c r="D252" s="61" t="s">
        <v>1439</v>
      </c>
      <c r="E252" s="61" t="s">
        <v>1440</v>
      </c>
      <c r="F252" s="61" t="s">
        <v>1441</v>
      </c>
      <c r="G252" s="61">
        <v>3983</v>
      </c>
      <c r="H252" s="61">
        <v>157</v>
      </c>
      <c r="I252" s="61">
        <v>9198</v>
      </c>
      <c r="J252" s="62">
        <v>29355</v>
      </c>
      <c r="K252" s="61" t="s">
        <v>434</v>
      </c>
      <c r="L252" s="61" t="s">
        <v>1974</v>
      </c>
      <c r="M252" s="4"/>
      <c r="N252" s="4"/>
      <c r="P252" s="347"/>
      <c r="Q252" s="347"/>
      <c r="R252" s="212"/>
      <c r="S252" s="129"/>
    </row>
    <row r="253" spans="1:19" ht="15" hidden="1" customHeight="1" x14ac:dyDescent="0.25">
      <c r="A253" s="61" t="s">
        <v>5518</v>
      </c>
      <c r="B253" s="61" t="s">
        <v>34</v>
      </c>
      <c r="C253" s="61" t="s">
        <v>5100</v>
      </c>
      <c r="D253" s="61" t="s">
        <v>3594</v>
      </c>
      <c r="E253" s="61" t="s">
        <v>3595</v>
      </c>
      <c r="F253" s="61" t="s">
        <v>3596</v>
      </c>
      <c r="G253" s="61">
        <v>372</v>
      </c>
      <c r="H253" s="61">
        <v>120</v>
      </c>
      <c r="I253" s="61">
        <v>9198</v>
      </c>
      <c r="J253" s="62">
        <v>29355</v>
      </c>
      <c r="K253" s="61" t="s">
        <v>1417</v>
      </c>
      <c r="L253" s="61" t="s">
        <v>1974</v>
      </c>
      <c r="M253" s="4"/>
      <c r="N253" s="4"/>
      <c r="P253" s="347">
        <v>276</v>
      </c>
      <c r="Q253" s="348">
        <f>P253*100%/(1000)</f>
        <v>0.27600000000000002</v>
      </c>
      <c r="R253" s="212"/>
      <c r="S253" s="129"/>
    </row>
    <row r="254" spans="1:19" ht="15" hidden="1" customHeight="1" x14ac:dyDescent="0.25">
      <c r="A254" s="142" t="s">
        <v>5518</v>
      </c>
      <c r="B254" s="142" t="s">
        <v>249</v>
      </c>
      <c r="C254" s="142" t="s">
        <v>4534</v>
      </c>
      <c r="D254" s="142" t="s">
        <v>3597</v>
      </c>
      <c r="E254" s="142" t="s">
        <v>3598</v>
      </c>
      <c r="F254" s="142" t="s">
        <v>3599</v>
      </c>
      <c r="G254" s="142">
        <v>371</v>
      </c>
      <c r="H254" s="142">
        <v>1</v>
      </c>
      <c r="I254" s="142">
        <v>9198</v>
      </c>
      <c r="J254" s="37">
        <v>29355</v>
      </c>
      <c r="K254" s="142" t="s">
        <v>1417</v>
      </c>
      <c r="L254" s="142" t="s">
        <v>1974</v>
      </c>
      <c r="M254" s="4"/>
      <c r="N254" s="4"/>
      <c r="P254" s="347"/>
      <c r="Q254" s="347"/>
      <c r="R254" s="212"/>
      <c r="S254" s="129"/>
    </row>
    <row r="255" spans="1:19" ht="15" hidden="1" customHeight="1" x14ac:dyDescent="0.25">
      <c r="A255" s="57" t="s">
        <v>5518</v>
      </c>
      <c r="B255" s="57" t="s">
        <v>11</v>
      </c>
      <c r="C255" s="57" t="s">
        <v>7333</v>
      </c>
      <c r="D255" s="57" t="s">
        <v>7085</v>
      </c>
      <c r="E255" s="57" t="s">
        <v>7086</v>
      </c>
      <c r="F255" s="57" t="s">
        <v>7087</v>
      </c>
      <c r="G255" s="57">
        <v>654</v>
      </c>
      <c r="H255" s="57">
        <v>150</v>
      </c>
      <c r="I255" s="57">
        <v>9198</v>
      </c>
      <c r="J255" s="58">
        <v>29355</v>
      </c>
      <c r="K255" s="57" t="s">
        <v>1417</v>
      </c>
      <c r="L255" s="57" t="s">
        <v>1974</v>
      </c>
      <c r="M255" s="4"/>
      <c r="N255" s="4"/>
      <c r="P255" s="347"/>
      <c r="Q255" s="347"/>
      <c r="S255" s="129"/>
    </row>
    <row r="256" spans="1:19" ht="15" hidden="1" customHeight="1" x14ac:dyDescent="0.25">
      <c r="A256" s="199" t="s">
        <v>5518</v>
      </c>
      <c r="B256" s="199" t="s">
        <v>3781</v>
      </c>
      <c r="C256" s="199" t="s">
        <v>4535</v>
      </c>
      <c r="D256" s="199" t="s">
        <v>4426</v>
      </c>
      <c r="E256" s="199" t="s">
        <v>4427</v>
      </c>
      <c r="F256" s="199" t="s">
        <v>4428</v>
      </c>
      <c r="G256" s="199">
        <v>373</v>
      </c>
      <c r="H256" s="199">
        <v>1</v>
      </c>
      <c r="I256" s="199">
        <v>9198</v>
      </c>
      <c r="J256" s="155">
        <v>29355</v>
      </c>
      <c r="K256" s="199" t="s">
        <v>433</v>
      </c>
      <c r="L256" s="199" t="s">
        <v>1974</v>
      </c>
      <c r="M256" s="4"/>
      <c r="N256" s="4"/>
      <c r="P256" s="347"/>
      <c r="Q256" s="347"/>
      <c r="R256" s="212"/>
      <c r="S256" s="129"/>
    </row>
    <row r="257" spans="1:19" ht="15" hidden="1" customHeight="1" x14ac:dyDescent="0.25">
      <c r="A257" s="20" t="s">
        <v>5518</v>
      </c>
      <c r="B257" s="20" t="s">
        <v>597</v>
      </c>
      <c r="C257" s="20" t="s">
        <v>4533</v>
      </c>
      <c r="D257" s="20" t="s">
        <v>3591</v>
      </c>
      <c r="E257" s="20" t="s">
        <v>3592</v>
      </c>
      <c r="F257" s="20" t="s">
        <v>3593</v>
      </c>
      <c r="G257" s="20">
        <v>370</v>
      </c>
      <c r="H257" s="20">
        <v>4</v>
      </c>
      <c r="I257" s="20">
        <v>9198</v>
      </c>
      <c r="J257" s="36">
        <v>29355</v>
      </c>
      <c r="K257" s="20" t="s">
        <v>1417</v>
      </c>
      <c r="L257" s="20" t="s">
        <v>1974</v>
      </c>
      <c r="M257" s="4"/>
      <c r="N257" s="4"/>
      <c r="P257" s="347"/>
      <c r="Q257" s="347"/>
      <c r="R257" s="212"/>
      <c r="S257" s="129"/>
    </row>
    <row r="258" spans="1:19" ht="15" hidden="1" customHeight="1" x14ac:dyDescent="0.35">
      <c r="A258" s="61" t="s">
        <v>5519</v>
      </c>
      <c r="B258" s="61" t="s">
        <v>34</v>
      </c>
      <c r="C258" s="61" t="s">
        <v>2699</v>
      </c>
      <c r="D258" s="61" t="s">
        <v>2677</v>
      </c>
      <c r="E258" s="61" t="s">
        <v>2678</v>
      </c>
      <c r="F258" s="61" t="s">
        <v>2679</v>
      </c>
      <c r="G258" s="61">
        <v>3166</v>
      </c>
      <c r="H258" s="61">
        <v>50</v>
      </c>
      <c r="I258" s="61">
        <v>9198</v>
      </c>
      <c r="J258" s="62">
        <v>29355</v>
      </c>
      <c r="K258" s="61" t="s">
        <v>1691</v>
      </c>
      <c r="L258" s="61" t="s">
        <v>1974</v>
      </c>
      <c r="M258" s="4"/>
      <c r="N258" s="4"/>
      <c r="P258">
        <v>50</v>
      </c>
      <c r="Q258" s="303">
        <f>P258*100%/(1000)</f>
        <v>0.05</v>
      </c>
      <c r="R258" s="212"/>
      <c r="S258" s="129"/>
    </row>
    <row r="259" spans="1:19" ht="15" hidden="1" customHeight="1" x14ac:dyDescent="0.25">
      <c r="A259" s="20" t="s">
        <v>5520</v>
      </c>
      <c r="B259" s="20" t="s">
        <v>597</v>
      </c>
      <c r="C259" s="20" t="s">
        <v>4405</v>
      </c>
      <c r="D259" s="20" t="s">
        <v>3554</v>
      </c>
      <c r="E259" s="20" t="s">
        <v>3555</v>
      </c>
      <c r="F259" s="20" t="s">
        <v>3556</v>
      </c>
      <c r="G259" s="20">
        <v>1781</v>
      </c>
      <c r="H259" s="20">
        <v>10</v>
      </c>
      <c r="I259" s="20">
        <v>9198</v>
      </c>
      <c r="J259" s="36">
        <v>29355</v>
      </c>
      <c r="K259" s="20" t="s">
        <v>574</v>
      </c>
      <c r="L259" s="20" t="s">
        <v>1974</v>
      </c>
      <c r="M259" s="4"/>
      <c r="N259" s="4"/>
      <c r="P259" s="347">
        <v>215</v>
      </c>
      <c r="Q259" s="348">
        <f>P259*100%/(1000)</f>
        <v>0.215</v>
      </c>
      <c r="R259" s="212"/>
      <c r="S259" s="129"/>
    </row>
    <row r="260" spans="1:19" ht="15" hidden="1" customHeight="1" x14ac:dyDescent="0.25">
      <c r="A260" s="141" t="s">
        <v>5520</v>
      </c>
      <c r="B260" s="141" t="s">
        <v>34</v>
      </c>
      <c r="C260" s="141" t="s">
        <v>4406</v>
      </c>
      <c r="D260" s="141" t="s">
        <v>3557</v>
      </c>
      <c r="E260" s="141" t="s">
        <v>3558</v>
      </c>
      <c r="F260" s="141" t="s">
        <v>3559</v>
      </c>
      <c r="G260" s="141">
        <v>1787</v>
      </c>
      <c r="H260" s="141">
        <v>200</v>
      </c>
      <c r="I260" s="141">
        <v>9198</v>
      </c>
      <c r="J260" s="62">
        <v>29355</v>
      </c>
      <c r="K260" s="141" t="s">
        <v>574</v>
      </c>
      <c r="L260" s="141" t="s">
        <v>1974</v>
      </c>
      <c r="M260" s="4"/>
      <c r="N260" s="4"/>
      <c r="P260" s="347"/>
      <c r="Q260" s="347"/>
      <c r="R260" s="212"/>
      <c r="S260" s="129"/>
    </row>
    <row r="261" spans="1:19" ht="15" hidden="1" customHeight="1" x14ac:dyDescent="0.25">
      <c r="A261" s="142" t="s">
        <v>5520</v>
      </c>
      <c r="B261" s="142" t="s">
        <v>249</v>
      </c>
      <c r="C261" s="142" t="s">
        <v>4407</v>
      </c>
      <c r="D261" s="142" t="s">
        <v>3560</v>
      </c>
      <c r="E261" s="142" t="s">
        <v>3561</v>
      </c>
      <c r="F261" s="142" t="s">
        <v>3562</v>
      </c>
      <c r="G261" s="142">
        <v>1776</v>
      </c>
      <c r="H261" s="142">
        <v>1</v>
      </c>
      <c r="I261" s="142">
        <v>9198</v>
      </c>
      <c r="J261" s="37">
        <v>29355</v>
      </c>
      <c r="K261" s="142" t="s">
        <v>574</v>
      </c>
      <c r="L261" s="142" t="s">
        <v>1974</v>
      </c>
      <c r="M261" s="4"/>
      <c r="N261" s="4"/>
      <c r="P261" s="347"/>
      <c r="Q261" s="347"/>
      <c r="R261" s="212"/>
      <c r="S261" s="129"/>
    </row>
    <row r="262" spans="1:19" ht="15" hidden="1" customHeight="1" x14ac:dyDescent="0.25">
      <c r="A262" s="149" t="s">
        <v>5520</v>
      </c>
      <c r="B262" s="46" t="s">
        <v>1018</v>
      </c>
      <c r="C262" s="46" t="s">
        <v>4532</v>
      </c>
      <c r="D262" s="46" t="s">
        <v>4480</v>
      </c>
      <c r="E262" s="46" t="s">
        <v>4481</v>
      </c>
      <c r="F262" s="46" t="s">
        <v>4482</v>
      </c>
      <c r="G262" s="46">
        <v>2133</v>
      </c>
      <c r="H262" s="46">
        <v>4</v>
      </c>
      <c r="I262" s="46">
        <v>9198</v>
      </c>
      <c r="J262" s="47">
        <v>29355</v>
      </c>
      <c r="K262" s="46" t="s">
        <v>4479</v>
      </c>
      <c r="L262" s="149" t="s">
        <v>1974</v>
      </c>
      <c r="M262" s="4"/>
      <c r="N262" s="4"/>
      <c r="P262" s="347"/>
      <c r="Q262" s="347"/>
      <c r="R262" s="212"/>
      <c r="S262" s="129"/>
    </row>
    <row r="263" spans="1:19" ht="15" hidden="1" customHeight="1" x14ac:dyDescent="0.25">
      <c r="A263" s="20" t="s">
        <v>5521</v>
      </c>
      <c r="B263" s="20" t="s">
        <v>597</v>
      </c>
      <c r="C263" s="20" t="s">
        <v>4318</v>
      </c>
      <c r="D263" s="20" t="s">
        <v>4060</v>
      </c>
      <c r="E263" s="20" t="s">
        <v>4061</v>
      </c>
      <c r="F263" s="20" t="s">
        <v>4062</v>
      </c>
      <c r="G263" s="20">
        <v>303</v>
      </c>
      <c r="H263" s="20">
        <v>4</v>
      </c>
      <c r="I263" s="20">
        <v>9198</v>
      </c>
      <c r="J263" s="36">
        <v>29355</v>
      </c>
      <c r="K263" s="20" t="s">
        <v>1116</v>
      </c>
      <c r="L263" s="20" t="s">
        <v>1974</v>
      </c>
      <c r="M263" s="4"/>
      <c r="N263" s="4"/>
      <c r="P263" s="347">
        <v>6</v>
      </c>
      <c r="Q263" s="348">
        <f>P263*100%/(1000)</f>
        <v>6.0000000000000001E-3</v>
      </c>
      <c r="R263" s="212"/>
      <c r="S263" s="129"/>
    </row>
    <row r="264" spans="1:19" ht="15" hidden="1" customHeight="1" x14ac:dyDescent="0.25">
      <c r="A264" s="142" t="s">
        <v>5521</v>
      </c>
      <c r="B264" s="142" t="s">
        <v>249</v>
      </c>
      <c r="C264" s="142" t="s">
        <v>4530</v>
      </c>
      <c r="D264" s="142" t="s">
        <v>4476</v>
      </c>
      <c r="E264" s="142" t="s">
        <v>4477</v>
      </c>
      <c r="F264" s="142" t="s">
        <v>4478</v>
      </c>
      <c r="G264" s="142">
        <v>2132</v>
      </c>
      <c r="H264" s="142">
        <v>1</v>
      </c>
      <c r="I264" s="142">
        <v>9198</v>
      </c>
      <c r="J264" s="37">
        <v>29355</v>
      </c>
      <c r="K264" s="142" t="s">
        <v>1116</v>
      </c>
      <c r="L264" s="142" t="s">
        <v>1974</v>
      </c>
      <c r="M264" s="4"/>
      <c r="N264" s="4"/>
      <c r="P264" s="347"/>
      <c r="Q264" s="347"/>
      <c r="R264" s="212"/>
      <c r="S264" s="129"/>
    </row>
    <row r="265" spans="1:19" ht="15" hidden="1" customHeight="1" x14ac:dyDescent="0.25">
      <c r="A265" s="154" t="s">
        <v>5521</v>
      </c>
      <c r="B265" s="154" t="s">
        <v>3781</v>
      </c>
      <c r="C265" s="154" t="s">
        <v>4319</v>
      </c>
      <c r="D265" s="154" t="s">
        <v>4057</v>
      </c>
      <c r="E265" s="154" t="s">
        <v>4058</v>
      </c>
      <c r="F265" s="154" t="s">
        <v>4059</v>
      </c>
      <c r="G265" s="154">
        <v>302</v>
      </c>
      <c r="H265" s="154">
        <v>1</v>
      </c>
      <c r="I265" s="154">
        <v>9198</v>
      </c>
      <c r="J265" s="155">
        <v>29355</v>
      </c>
      <c r="K265" s="154" t="s">
        <v>433</v>
      </c>
      <c r="L265" s="154" t="s">
        <v>1974</v>
      </c>
      <c r="M265" s="4"/>
      <c r="N265" s="4"/>
      <c r="P265" s="347"/>
      <c r="Q265" s="347"/>
      <c r="R265" s="212"/>
      <c r="S265" s="129"/>
    </row>
    <row r="266" spans="1:19" ht="15" hidden="1" customHeight="1" x14ac:dyDescent="0.25">
      <c r="A266" s="20" t="s">
        <v>5522</v>
      </c>
      <c r="B266" s="20" t="s">
        <v>597</v>
      </c>
      <c r="C266" s="20" t="s">
        <v>4054</v>
      </c>
      <c r="D266" s="20" t="s">
        <v>3654</v>
      </c>
      <c r="E266" s="20" t="s">
        <v>3655</v>
      </c>
      <c r="F266" s="20" t="s">
        <v>3656</v>
      </c>
      <c r="G266" s="20">
        <v>1575</v>
      </c>
      <c r="H266" s="20">
        <v>4</v>
      </c>
      <c r="I266" s="20">
        <v>9198</v>
      </c>
      <c r="J266" s="36">
        <v>29355</v>
      </c>
      <c r="K266" s="20" t="s">
        <v>1417</v>
      </c>
      <c r="L266" s="20" t="s">
        <v>1974</v>
      </c>
      <c r="M266" s="4"/>
      <c r="N266" s="4"/>
      <c r="P266" s="347">
        <v>275</v>
      </c>
      <c r="Q266" s="348">
        <f>P266*100%/(1000)</f>
        <v>0.27500000000000002</v>
      </c>
      <c r="R266" s="212"/>
      <c r="S266" s="129"/>
    </row>
    <row r="267" spans="1:19" ht="15" hidden="1" customHeight="1" x14ac:dyDescent="0.25">
      <c r="A267" s="141" t="s">
        <v>5522</v>
      </c>
      <c r="B267" s="141" t="s">
        <v>34</v>
      </c>
      <c r="C267" s="141" t="s">
        <v>4055</v>
      </c>
      <c r="D267" s="141" t="s">
        <v>3657</v>
      </c>
      <c r="E267" s="141" t="s">
        <v>3658</v>
      </c>
      <c r="F267" s="141" t="s">
        <v>3659</v>
      </c>
      <c r="G267" s="141">
        <v>1576</v>
      </c>
      <c r="H267" s="141">
        <v>120</v>
      </c>
      <c r="I267" s="141">
        <v>9198</v>
      </c>
      <c r="J267" s="62">
        <v>29355</v>
      </c>
      <c r="K267" s="141" t="s">
        <v>1417</v>
      </c>
      <c r="L267" s="141" t="s">
        <v>1974</v>
      </c>
      <c r="M267" s="4"/>
      <c r="N267" s="4"/>
      <c r="P267" s="347"/>
      <c r="Q267" s="347"/>
      <c r="R267" s="212"/>
      <c r="S267" s="129"/>
    </row>
    <row r="268" spans="1:19" ht="15" hidden="1" customHeight="1" x14ac:dyDescent="0.25">
      <c r="A268" s="142" t="s">
        <v>5522</v>
      </c>
      <c r="B268" s="142" t="s">
        <v>249</v>
      </c>
      <c r="C268" s="142" t="s">
        <v>4056</v>
      </c>
      <c r="D268" s="142" t="s">
        <v>3660</v>
      </c>
      <c r="E268" s="142" t="s">
        <v>3661</v>
      </c>
      <c r="F268" s="142" t="s">
        <v>3662</v>
      </c>
      <c r="G268" s="142">
        <v>1577</v>
      </c>
      <c r="H268" s="142">
        <v>1</v>
      </c>
      <c r="I268" s="142">
        <v>9198</v>
      </c>
      <c r="J268" s="37">
        <v>29355</v>
      </c>
      <c r="K268" s="142" t="s">
        <v>1417</v>
      </c>
      <c r="L268" s="142" t="s">
        <v>1974</v>
      </c>
      <c r="M268" s="4"/>
      <c r="N268" s="4"/>
      <c r="P268" s="347"/>
      <c r="Q268" s="347"/>
      <c r="R268" s="212"/>
      <c r="S268" s="129"/>
    </row>
    <row r="269" spans="1:19" ht="15" hidden="1" customHeight="1" x14ac:dyDescent="0.25">
      <c r="A269" s="57" t="s">
        <v>5522</v>
      </c>
      <c r="B269" s="57" t="s">
        <v>11</v>
      </c>
      <c r="C269" s="57" t="s">
        <v>7337</v>
      </c>
      <c r="D269" s="57" t="s">
        <v>3381</v>
      </c>
      <c r="E269" s="57" t="s">
        <v>3382</v>
      </c>
      <c r="F269" s="57" t="s">
        <v>3383</v>
      </c>
      <c r="G269" s="57">
        <v>1578</v>
      </c>
      <c r="H269" s="57">
        <v>150</v>
      </c>
      <c r="I269" s="57">
        <v>9198</v>
      </c>
      <c r="J269" s="58">
        <v>29355</v>
      </c>
      <c r="K269" s="57" t="s">
        <v>1417</v>
      </c>
      <c r="L269" s="57" t="s">
        <v>1974</v>
      </c>
      <c r="M269" s="4"/>
      <c r="N269" s="4"/>
      <c r="P269" s="347"/>
      <c r="Q269" s="347"/>
      <c r="R269" s="146" t="s">
        <v>4895</v>
      </c>
      <c r="S269" s="129"/>
    </row>
    <row r="270" spans="1:19" ht="15" hidden="1" customHeight="1" x14ac:dyDescent="0.25">
      <c r="A270" s="20" t="s">
        <v>5523</v>
      </c>
      <c r="B270" s="20" t="s">
        <v>597</v>
      </c>
      <c r="C270" s="20" t="s">
        <v>2536</v>
      </c>
      <c r="D270" s="20" t="s">
        <v>2463</v>
      </c>
      <c r="E270" s="20" t="s">
        <v>2464</v>
      </c>
      <c r="F270" s="20" t="s">
        <v>2465</v>
      </c>
      <c r="G270" s="20">
        <v>2229</v>
      </c>
      <c r="H270" s="20">
        <v>30</v>
      </c>
      <c r="I270" s="20">
        <v>9198</v>
      </c>
      <c r="J270" s="36">
        <v>29355</v>
      </c>
      <c r="K270" s="20" t="s">
        <v>1417</v>
      </c>
      <c r="L270" s="20" t="s">
        <v>1974</v>
      </c>
      <c r="M270" s="4"/>
      <c r="N270" s="4"/>
      <c r="P270" s="347">
        <v>819</v>
      </c>
      <c r="Q270" s="348">
        <f>P270*100%/(1000)</f>
        <v>0.81899999999999995</v>
      </c>
      <c r="R270" s="212"/>
      <c r="S270" s="129"/>
    </row>
    <row r="271" spans="1:19" ht="15" hidden="1" customHeight="1" x14ac:dyDescent="0.25">
      <c r="A271" s="61" t="s">
        <v>5523</v>
      </c>
      <c r="B271" s="61" t="s">
        <v>34</v>
      </c>
      <c r="C271" s="61" t="s">
        <v>2535</v>
      </c>
      <c r="D271" s="61" t="s">
        <v>2460</v>
      </c>
      <c r="E271" s="61" t="s">
        <v>2461</v>
      </c>
      <c r="F271" s="61" t="s">
        <v>2462</v>
      </c>
      <c r="G271" s="61">
        <v>2209</v>
      </c>
      <c r="H271" s="61">
        <v>487</v>
      </c>
      <c r="I271" s="61">
        <v>9198</v>
      </c>
      <c r="J271" s="62">
        <v>29355</v>
      </c>
      <c r="K271" s="61" t="s">
        <v>1417</v>
      </c>
      <c r="L271" s="61" t="s">
        <v>1974</v>
      </c>
      <c r="M271" s="4"/>
      <c r="N271" s="4"/>
      <c r="P271" s="347"/>
      <c r="Q271" s="347"/>
      <c r="R271" s="212"/>
      <c r="S271" s="129"/>
    </row>
    <row r="272" spans="1:19" ht="15" hidden="1" customHeight="1" x14ac:dyDescent="0.25">
      <c r="A272" s="9" t="s">
        <v>5523</v>
      </c>
      <c r="B272" s="9" t="s">
        <v>249</v>
      </c>
      <c r="C272" s="9" t="s">
        <v>6183</v>
      </c>
      <c r="D272" s="9" t="s">
        <v>5785</v>
      </c>
      <c r="E272" s="9" t="s">
        <v>5786</v>
      </c>
      <c r="F272" s="9" t="s">
        <v>5787</v>
      </c>
      <c r="G272" s="9">
        <v>2225</v>
      </c>
      <c r="H272" s="9">
        <v>1</v>
      </c>
      <c r="I272" s="9">
        <v>9198</v>
      </c>
      <c r="J272" s="37">
        <v>29355</v>
      </c>
      <c r="K272" s="9" t="s">
        <v>1417</v>
      </c>
      <c r="L272" s="9" t="s">
        <v>1974</v>
      </c>
      <c r="M272" s="4"/>
      <c r="N272" s="4"/>
      <c r="P272" s="347"/>
      <c r="Q272" s="347"/>
      <c r="R272" s="212"/>
      <c r="S272" s="129"/>
    </row>
    <row r="273" spans="1:19" ht="15" hidden="1" customHeight="1" x14ac:dyDescent="0.25">
      <c r="A273" s="57" t="s">
        <v>5523</v>
      </c>
      <c r="B273" s="57" t="s">
        <v>11</v>
      </c>
      <c r="C273" s="57" t="s">
        <v>7411</v>
      </c>
      <c r="D273" s="57" t="s">
        <v>7127</v>
      </c>
      <c r="E273" s="57" t="s">
        <v>7128</v>
      </c>
      <c r="F273" s="57" t="s">
        <v>7129</v>
      </c>
      <c r="G273" s="57">
        <v>2217</v>
      </c>
      <c r="H273" s="57">
        <v>300</v>
      </c>
      <c r="I273" s="57">
        <v>9198</v>
      </c>
      <c r="J273" s="58">
        <v>29355</v>
      </c>
      <c r="K273" s="57" t="s">
        <v>1417</v>
      </c>
      <c r="L273" s="57" t="s">
        <v>1974</v>
      </c>
      <c r="M273" s="4"/>
      <c r="N273" s="4"/>
      <c r="P273" s="347"/>
      <c r="Q273" s="347"/>
      <c r="R273" s="145" t="s">
        <v>4895</v>
      </c>
      <c r="S273" s="129"/>
    </row>
    <row r="274" spans="1:19" ht="15" hidden="1" customHeight="1" x14ac:dyDescent="0.25">
      <c r="A274" s="154" t="s">
        <v>5523</v>
      </c>
      <c r="B274" s="154" t="s">
        <v>3781</v>
      </c>
      <c r="C274" s="154" t="s">
        <v>6184</v>
      </c>
      <c r="D274" s="154" t="s">
        <v>5788</v>
      </c>
      <c r="E274" s="154" t="s">
        <v>5789</v>
      </c>
      <c r="F274" s="154" t="s">
        <v>5790</v>
      </c>
      <c r="G274" s="154">
        <v>2527</v>
      </c>
      <c r="H274" s="154">
        <v>1</v>
      </c>
      <c r="I274" s="154">
        <v>9198</v>
      </c>
      <c r="J274" s="155">
        <v>29355</v>
      </c>
      <c r="K274" s="154" t="s">
        <v>1417</v>
      </c>
      <c r="L274" s="154" t="s">
        <v>1974</v>
      </c>
      <c r="M274" s="4"/>
      <c r="N274" s="4"/>
      <c r="P274" s="347"/>
      <c r="Q274" s="347"/>
      <c r="R274" s="212"/>
      <c r="S274" s="129"/>
    </row>
    <row r="275" spans="1:19" ht="15" hidden="1" customHeight="1" x14ac:dyDescent="0.25">
      <c r="A275" s="57" t="s">
        <v>5524</v>
      </c>
      <c r="B275" s="57" t="s">
        <v>11</v>
      </c>
      <c r="C275" s="57" t="s">
        <v>2222</v>
      </c>
      <c r="D275" s="57" t="s">
        <v>2118</v>
      </c>
      <c r="E275" s="57" t="s">
        <v>2119</v>
      </c>
      <c r="F275" s="57" t="s">
        <v>2120</v>
      </c>
      <c r="G275" s="57">
        <v>1547</v>
      </c>
      <c r="H275" s="57">
        <v>1100</v>
      </c>
      <c r="I275" s="57">
        <v>64728</v>
      </c>
      <c r="J275" s="58">
        <v>29355</v>
      </c>
      <c r="K275" s="57" t="s">
        <v>428</v>
      </c>
      <c r="L275" s="57" t="s">
        <v>1975</v>
      </c>
      <c r="M275" s="4"/>
      <c r="N275" s="4"/>
      <c r="P275" s="347">
        <v>1566</v>
      </c>
      <c r="Q275" s="348">
        <f>P275*100%/(2000)</f>
        <v>0.78300000000000003</v>
      </c>
      <c r="R275" s="146" t="s">
        <v>4895</v>
      </c>
      <c r="S275" s="129"/>
    </row>
    <row r="276" spans="1:19" ht="15" hidden="1" customHeight="1" x14ac:dyDescent="0.25">
      <c r="A276" s="124" t="s">
        <v>5524</v>
      </c>
      <c r="B276" s="124" t="s">
        <v>34</v>
      </c>
      <c r="C276" s="124" t="s">
        <v>1798</v>
      </c>
      <c r="D276" s="124" t="s">
        <v>1783</v>
      </c>
      <c r="E276" s="124" t="s">
        <v>1784</v>
      </c>
      <c r="F276" s="124" t="s">
        <v>1785</v>
      </c>
      <c r="G276" s="124">
        <v>493</v>
      </c>
      <c r="H276" s="124">
        <v>461</v>
      </c>
      <c r="I276" s="124">
        <v>64728</v>
      </c>
      <c r="J276" s="62">
        <v>29355</v>
      </c>
      <c r="K276" s="124" t="s">
        <v>428</v>
      </c>
      <c r="L276" s="124" t="s">
        <v>1975</v>
      </c>
      <c r="M276" s="4"/>
      <c r="N276" s="4"/>
      <c r="P276" s="347"/>
      <c r="Q276" s="347"/>
      <c r="R276" s="146" t="s">
        <v>6061</v>
      </c>
      <c r="S276" s="129"/>
    </row>
    <row r="277" spans="1:19" ht="15" hidden="1" customHeight="1" x14ac:dyDescent="0.25">
      <c r="A277" s="9" t="s">
        <v>5524</v>
      </c>
      <c r="B277" s="9" t="s">
        <v>249</v>
      </c>
      <c r="C277" s="9" t="s">
        <v>1799</v>
      </c>
      <c r="D277" s="9" t="s">
        <v>1786</v>
      </c>
      <c r="E277" s="9" t="s">
        <v>1787</v>
      </c>
      <c r="F277" s="9" t="s">
        <v>1788</v>
      </c>
      <c r="G277" s="9">
        <v>494</v>
      </c>
      <c r="H277" s="9">
        <v>5</v>
      </c>
      <c r="I277" s="9">
        <v>64728</v>
      </c>
      <c r="J277" s="37">
        <v>29355</v>
      </c>
      <c r="K277" s="9" t="s">
        <v>428</v>
      </c>
      <c r="L277" s="9" t="s">
        <v>1975</v>
      </c>
      <c r="M277" s="4"/>
      <c r="N277" s="4"/>
      <c r="P277" s="347"/>
      <c r="Q277" s="347"/>
      <c r="R277" s="146" t="s">
        <v>6297</v>
      </c>
      <c r="S277" s="129"/>
    </row>
    <row r="278" spans="1:19" ht="15" hidden="1" customHeight="1" x14ac:dyDescent="0.25">
      <c r="A278" s="20" t="s">
        <v>5525</v>
      </c>
      <c r="B278" s="20" t="s">
        <v>597</v>
      </c>
      <c r="C278" s="20" t="s">
        <v>4791</v>
      </c>
      <c r="D278" s="20" t="s">
        <v>3600</v>
      </c>
      <c r="E278" s="20" t="s">
        <v>3601</v>
      </c>
      <c r="F278" s="20" t="s">
        <v>3602</v>
      </c>
      <c r="G278" s="20">
        <v>200</v>
      </c>
      <c r="H278" s="20">
        <v>4</v>
      </c>
      <c r="I278" s="20">
        <v>9198</v>
      </c>
      <c r="J278" s="36">
        <v>29355</v>
      </c>
      <c r="K278" s="20" t="s">
        <v>1417</v>
      </c>
      <c r="L278" s="20" t="s">
        <v>1974</v>
      </c>
      <c r="M278" s="4"/>
      <c r="N278" s="4"/>
      <c r="P278" s="347">
        <v>206</v>
      </c>
      <c r="Q278" s="348">
        <f>P278*100%/(1000)</f>
        <v>0.20599999999999999</v>
      </c>
      <c r="R278" s="212"/>
      <c r="S278" s="129"/>
    </row>
    <row r="279" spans="1:19" ht="15" hidden="1" customHeight="1" x14ac:dyDescent="0.25">
      <c r="A279" s="61" t="s">
        <v>5525</v>
      </c>
      <c r="B279" s="61" t="s">
        <v>34</v>
      </c>
      <c r="C279" s="61" t="s">
        <v>4792</v>
      </c>
      <c r="D279" s="61" t="s">
        <v>4583</v>
      </c>
      <c r="E279" s="61" t="s">
        <v>4584</v>
      </c>
      <c r="F279" s="61" t="s">
        <v>4585</v>
      </c>
      <c r="G279" s="61">
        <v>201</v>
      </c>
      <c r="H279" s="61">
        <v>50</v>
      </c>
      <c r="I279" s="61">
        <v>9198</v>
      </c>
      <c r="J279" s="62">
        <v>29355</v>
      </c>
      <c r="K279" s="61" t="s">
        <v>1417</v>
      </c>
      <c r="L279" s="61" t="s">
        <v>1974</v>
      </c>
      <c r="M279" s="4"/>
      <c r="N279" s="4"/>
      <c r="P279" s="347"/>
      <c r="Q279" s="347"/>
      <c r="R279" s="212"/>
      <c r="S279" s="129"/>
    </row>
    <row r="280" spans="1:19" ht="15" hidden="1" customHeight="1" x14ac:dyDescent="0.25">
      <c r="A280" s="57" t="s">
        <v>5525</v>
      </c>
      <c r="B280" s="57" t="s">
        <v>11</v>
      </c>
      <c r="C280" s="57" t="s">
        <v>7334</v>
      </c>
      <c r="D280" s="57" t="s">
        <v>7088</v>
      </c>
      <c r="E280" s="57" t="s">
        <v>7089</v>
      </c>
      <c r="F280" s="57" t="s">
        <v>7090</v>
      </c>
      <c r="G280" s="57">
        <v>204</v>
      </c>
      <c r="H280" s="57">
        <v>150</v>
      </c>
      <c r="I280" s="57">
        <v>9198</v>
      </c>
      <c r="J280" s="58">
        <v>29355</v>
      </c>
      <c r="K280" s="57" t="s">
        <v>1417</v>
      </c>
      <c r="L280" s="57" t="s">
        <v>1974</v>
      </c>
      <c r="M280" s="4"/>
      <c r="N280" s="4"/>
      <c r="P280" s="347"/>
      <c r="Q280" s="347"/>
      <c r="R280" s="145" t="s">
        <v>4895</v>
      </c>
      <c r="S280" s="129"/>
    </row>
    <row r="281" spans="1:19" ht="15" hidden="1" customHeight="1" x14ac:dyDescent="0.25">
      <c r="A281" s="142" t="s">
        <v>5525</v>
      </c>
      <c r="B281" s="142" t="s">
        <v>249</v>
      </c>
      <c r="C281" s="142" t="s">
        <v>4793</v>
      </c>
      <c r="D281" s="142" t="s">
        <v>3603</v>
      </c>
      <c r="E281" s="142" t="s">
        <v>3604</v>
      </c>
      <c r="F281" s="142" t="s">
        <v>3605</v>
      </c>
      <c r="G281" s="142">
        <v>202</v>
      </c>
      <c r="H281" s="142">
        <v>1</v>
      </c>
      <c r="I281" s="142">
        <v>9198</v>
      </c>
      <c r="J281" s="37">
        <v>29355</v>
      </c>
      <c r="K281" s="142" t="s">
        <v>1417</v>
      </c>
      <c r="L281" s="142" t="s">
        <v>1974</v>
      </c>
      <c r="M281" s="4"/>
      <c r="N281" s="4"/>
      <c r="P281" s="347"/>
      <c r="Q281" s="347"/>
      <c r="R281" s="212"/>
      <c r="S281" s="129"/>
    </row>
    <row r="282" spans="1:19" ht="15" hidden="1" customHeight="1" x14ac:dyDescent="0.25">
      <c r="A282" s="154" t="s">
        <v>5525</v>
      </c>
      <c r="B282" s="154" t="s">
        <v>3781</v>
      </c>
      <c r="C282" s="154" t="s">
        <v>4794</v>
      </c>
      <c r="D282" s="154" t="s">
        <v>4586</v>
      </c>
      <c r="E282" s="154" t="s">
        <v>4587</v>
      </c>
      <c r="F282" s="154" t="s">
        <v>4588</v>
      </c>
      <c r="G282" s="154">
        <v>203</v>
      </c>
      <c r="H282" s="154">
        <v>1</v>
      </c>
      <c r="I282" s="154">
        <v>9198</v>
      </c>
      <c r="J282" s="155">
        <v>29355</v>
      </c>
      <c r="K282" s="154" t="s">
        <v>1417</v>
      </c>
      <c r="L282" s="154" t="s">
        <v>1974</v>
      </c>
      <c r="M282" s="4"/>
      <c r="N282" s="4"/>
      <c r="P282" s="347"/>
      <c r="Q282" s="347"/>
      <c r="R282" s="212"/>
      <c r="S282" s="129"/>
    </row>
    <row r="283" spans="1:19" ht="15" hidden="1" customHeight="1" x14ac:dyDescent="0.25">
      <c r="A283" s="57" t="s">
        <v>5526</v>
      </c>
      <c r="B283" s="57" t="s">
        <v>11</v>
      </c>
      <c r="C283" s="57" t="s">
        <v>4805</v>
      </c>
      <c r="D283" s="57" t="s">
        <v>2753</v>
      </c>
      <c r="E283" s="57" t="s">
        <v>2754</v>
      </c>
      <c r="F283" s="57" t="s">
        <v>2755</v>
      </c>
      <c r="G283" s="57">
        <v>1838</v>
      </c>
      <c r="H283" s="57">
        <v>100</v>
      </c>
      <c r="I283" s="57">
        <v>9198</v>
      </c>
      <c r="J283" s="58">
        <v>65231</v>
      </c>
      <c r="K283" s="57" t="s">
        <v>428</v>
      </c>
      <c r="L283" s="57" t="s">
        <v>1974</v>
      </c>
      <c r="M283" s="4"/>
      <c r="N283" s="4"/>
      <c r="P283" s="347">
        <v>878</v>
      </c>
      <c r="Q283" s="348">
        <f>P283*100%/(1000)</f>
        <v>0.878</v>
      </c>
      <c r="R283" s="145" t="s">
        <v>4895</v>
      </c>
      <c r="S283" s="129"/>
    </row>
    <row r="284" spans="1:19" ht="14.25" hidden="1" customHeight="1" x14ac:dyDescent="0.25">
      <c r="A284" s="61" t="s">
        <v>5526</v>
      </c>
      <c r="B284" s="61" t="s">
        <v>34</v>
      </c>
      <c r="C284" s="61" t="s">
        <v>792</v>
      </c>
      <c r="D284" s="61" t="s">
        <v>608</v>
      </c>
      <c r="E284" s="61" t="s">
        <v>609</v>
      </c>
      <c r="F284" s="61" t="s">
        <v>610</v>
      </c>
      <c r="G284" s="61">
        <v>632</v>
      </c>
      <c r="H284" s="61">
        <v>777</v>
      </c>
      <c r="I284" s="61">
        <v>9198</v>
      </c>
      <c r="J284" s="62">
        <v>65231</v>
      </c>
      <c r="K284" s="61" t="s">
        <v>428</v>
      </c>
      <c r="L284" s="61" t="s">
        <v>1974</v>
      </c>
      <c r="M284" s="4"/>
      <c r="N284" s="4"/>
      <c r="P284" s="347"/>
      <c r="Q284" s="347"/>
      <c r="R284" s="146" t="s">
        <v>6060</v>
      </c>
      <c r="S284" s="129"/>
    </row>
    <row r="285" spans="1:19" ht="15" hidden="1" customHeight="1" x14ac:dyDescent="0.25">
      <c r="A285" s="9" t="s">
        <v>5526</v>
      </c>
      <c r="B285" s="9" t="s">
        <v>249</v>
      </c>
      <c r="C285" s="9" t="s">
        <v>793</v>
      </c>
      <c r="D285" s="9" t="s">
        <v>611</v>
      </c>
      <c r="E285" s="9" t="s">
        <v>612</v>
      </c>
      <c r="F285" s="9" t="s">
        <v>613</v>
      </c>
      <c r="G285" s="9">
        <v>631</v>
      </c>
      <c r="H285" s="9">
        <v>1</v>
      </c>
      <c r="I285" s="9">
        <v>9198</v>
      </c>
      <c r="J285" s="37">
        <v>65231</v>
      </c>
      <c r="K285" s="9" t="s">
        <v>428</v>
      </c>
      <c r="L285" s="9" t="s">
        <v>1974</v>
      </c>
      <c r="M285" s="4"/>
      <c r="N285" s="4"/>
      <c r="P285" s="347"/>
      <c r="Q285" s="347"/>
      <c r="R285" s="262" t="s">
        <v>6221</v>
      </c>
      <c r="S285" s="129"/>
    </row>
    <row r="286" spans="1:19" ht="15" hidden="1" customHeight="1" x14ac:dyDescent="0.25">
      <c r="A286" s="20" t="s">
        <v>5527</v>
      </c>
      <c r="B286" s="20" t="s">
        <v>597</v>
      </c>
      <c r="C286" s="20" t="s">
        <v>1887</v>
      </c>
      <c r="D286" s="20" t="s">
        <v>1849</v>
      </c>
      <c r="E286" s="20" t="s">
        <v>1850</v>
      </c>
      <c r="F286" s="20" t="s">
        <v>1851</v>
      </c>
      <c r="G286" s="20">
        <v>234</v>
      </c>
      <c r="H286" s="20">
        <v>4</v>
      </c>
      <c r="I286" s="20">
        <v>9198</v>
      </c>
      <c r="J286" s="20">
        <v>29355</v>
      </c>
      <c r="K286" s="20" t="s">
        <v>1417</v>
      </c>
      <c r="L286" s="20" t="s">
        <v>1974</v>
      </c>
      <c r="M286" s="4"/>
      <c r="N286" s="4"/>
      <c r="P286" s="347">
        <v>154</v>
      </c>
      <c r="Q286" s="348">
        <f>P286*100%/(1000)</f>
        <v>0.154</v>
      </c>
      <c r="R286" s="183"/>
      <c r="S286" s="129"/>
    </row>
    <row r="287" spans="1:19" ht="15" hidden="1" customHeight="1" x14ac:dyDescent="0.25">
      <c r="A287" s="61" t="s">
        <v>5527</v>
      </c>
      <c r="B287" s="61" t="s">
        <v>34</v>
      </c>
      <c r="C287" s="61" t="s">
        <v>1888</v>
      </c>
      <c r="D287" s="61" t="s">
        <v>1852</v>
      </c>
      <c r="E287" s="61" t="s">
        <v>1853</v>
      </c>
      <c r="F287" s="61" t="s">
        <v>1854</v>
      </c>
      <c r="G287" s="61">
        <v>2622</v>
      </c>
      <c r="H287" s="61">
        <v>150</v>
      </c>
      <c r="I287" s="61">
        <v>9198</v>
      </c>
      <c r="J287" s="62">
        <v>29355</v>
      </c>
      <c r="K287" s="61" t="s">
        <v>1417</v>
      </c>
      <c r="L287" s="61" t="s">
        <v>1974</v>
      </c>
      <c r="M287" s="4"/>
      <c r="N287" s="4"/>
      <c r="P287" s="347"/>
      <c r="Q287" s="347"/>
      <c r="S287" s="129"/>
    </row>
    <row r="288" spans="1:19" ht="15" hidden="1" customHeight="1" x14ac:dyDescent="0.25">
      <c r="A288" s="20" t="s">
        <v>5528</v>
      </c>
      <c r="B288" s="20" t="s">
        <v>597</v>
      </c>
      <c r="C288" s="20" t="s">
        <v>1386</v>
      </c>
      <c r="D288" s="20" t="s">
        <v>1310</v>
      </c>
      <c r="E288" s="20" t="s">
        <v>1309</v>
      </c>
      <c r="F288" s="20" t="s">
        <v>1308</v>
      </c>
      <c r="G288" s="20">
        <v>2142</v>
      </c>
      <c r="H288" s="20">
        <v>5</v>
      </c>
      <c r="I288" s="20">
        <v>9198</v>
      </c>
      <c r="J288" s="36">
        <v>29355</v>
      </c>
      <c r="K288" s="20" t="s">
        <v>1116</v>
      </c>
      <c r="L288" s="20" t="s">
        <v>1974</v>
      </c>
      <c r="M288" s="4"/>
      <c r="N288" s="4"/>
      <c r="P288" s="347">
        <v>53</v>
      </c>
      <c r="Q288" s="348">
        <f>P288*100%/(1000)</f>
        <v>5.2999999999999999E-2</v>
      </c>
      <c r="S288" s="129"/>
    </row>
    <row r="289" spans="1:19" ht="15" hidden="1" customHeight="1" x14ac:dyDescent="0.25">
      <c r="A289" s="61" t="s">
        <v>5528</v>
      </c>
      <c r="B289" s="61" t="s">
        <v>34</v>
      </c>
      <c r="C289" s="61" t="s">
        <v>1387</v>
      </c>
      <c r="D289" s="61" t="s">
        <v>1307</v>
      </c>
      <c r="E289" s="61" t="s">
        <v>1306</v>
      </c>
      <c r="F289" s="61" t="s">
        <v>1305</v>
      </c>
      <c r="G289" s="61">
        <v>2149</v>
      </c>
      <c r="H289" s="61">
        <v>48</v>
      </c>
      <c r="I289" s="61">
        <v>9198</v>
      </c>
      <c r="J289" s="61">
        <v>29355</v>
      </c>
      <c r="K289" s="61" t="s">
        <v>1116</v>
      </c>
      <c r="L289" s="61" t="s">
        <v>1974</v>
      </c>
      <c r="M289" s="4"/>
      <c r="N289" s="4"/>
      <c r="P289" s="347"/>
      <c r="Q289" s="347"/>
      <c r="S289" s="129"/>
    </row>
    <row r="290" spans="1:19" ht="15" hidden="1" customHeight="1" x14ac:dyDescent="0.25">
      <c r="A290" s="20" t="s">
        <v>5529</v>
      </c>
      <c r="B290" s="20" t="s">
        <v>597</v>
      </c>
      <c r="C290" s="20" t="s">
        <v>6293</v>
      </c>
      <c r="D290" s="20" t="s">
        <v>6234</v>
      </c>
      <c r="E290" s="20" t="s">
        <v>6235</v>
      </c>
      <c r="F290" s="20" t="s">
        <v>6236</v>
      </c>
      <c r="G290" s="20">
        <v>1515</v>
      </c>
      <c r="H290" s="20">
        <v>5</v>
      </c>
      <c r="I290" s="20">
        <v>9198</v>
      </c>
      <c r="J290" s="36">
        <v>65231</v>
      </c>
      <c r="K290" s="20" t="s">
        <v>428</v>
      </c>
      <c r="L290" s="20" t="s">
        <v>1974</v>
      </c>
      <c r="M290" s="4"/>
      <c r="N290" s="4"/>
      <c r="P290" s="347">
        <v>365</v>
      </c>
      <c r="Q290" s="348">
        <f>P290*100%/(1000)</f>
        <v>0.36499999999999999</v>
      </c>
      <c r="S290" s="129"/>
    </row>
    <row r="291" spans="1:19" ht="15" hidden="1" customHeight="1" x14ac:dyDescent="0.25">
      <c r="A291" s="57" t="s">
        <v>5529</v>
      </c>
      <c r="B291" s="57" t="s">
        <v>11</v>
      </c>
      <c r="C291" s="57" t="s">
        <v>2988</v>
      </c>
      <c r="D291" s="57" t="s">
        <v>2967</v>
      </c>
      <c r="E291" s="57" t="s">
        <v>2968</v>
      </c>
      <c r="F291" s="57" t="s">
        <v>2969</v>
      </c>
      <c r="G291" s="57">
        <v>2584</v>
      </c>
      <c r="H291" s="57">
        <v>317</v>
      </c>
      <c r="I291" s="57">
        <v>9198</v>
      </c>
      <c r="J291" s="58">
        <v>65231</v>
      </c>
      <c r="K291" s="57" t="s">
        <v>428</v>
      </c>
      <c r="L291" s="57" t="s">
        <v>1974</v>
      </c>
      <c r="M291" s="4"/>
      <c r="N291" s="4"/>
      <c r="P291" s="347"/>
      <c r="Q291" s="347"/>
      <c r="S291" s="129"/>
    </row>
    <row r="292" spans="1:19" ht="15" hidden="1" customHeight="1" x14ac:dyDescent="0.25">
      <c r="A292" s="61" t="s">
        <v>5529</v>
      </c>
      <c r="B292" s="61" t="s">
        <v>34</v>
      </c>
      <c r="C292" s="61" t="s">
        <v>794</v>
      </c>
      <c r="D292" s="61" t="s">
        <v>290</v>
      </c>
      <c r="E292" s="61" t="s">
        <v>289</v>
      </c>
      <c r="F292" s="61" t="s">
        <v>291</v>
      </c>
      <c r="G292" s="61">
        <v>332</v>
      </c>
      <c r="H292" s="61">
        <v>138</v>
      </c>
      <c r="I292" s="61">
        <v>9198</v>
      </c>
      <c r="J292" s="62">
        <v>65231</v>
      </c>
      <c r="K292" s="61" t="s">
        <v>428</v>
      </c>
      <c r="L292" s="61" t="s">
        <v>1974</v>
      </c>
      <c r="M292" s="4"/>
      <c r="N292" s="4"/>
      <c r="P292" s="347"/>
      <c r="Q292" s="347"/>
      <c r="S292" s="129"/>
    </row>
    <row r="293" spans="1:19" ht="15" hidden="1" customHeight="1" x14ac:dyDescent="0.25">
      <c r="A293" s="9" t="s">
        <v>5529</v>
      </c>
      <c r="B293" s="9" t="s">
        <v>249</v>
      </c>
      <c r="C293" s="9" t="s">
        <v>795</v>
      </c>
      <c r="D293" s="9" t="s">
        <v>294</v>
      </c>
      <c r="E293" s="9" t="s">
        <v>293</v>
      </c>
      <c r="F293" s="9" t="s">
        <v>292</v>
      </c>
      <c r="G293" s="9">
        <v>333</v>
      </c>
      <c r="H293" s="9">
        <v>1</v>
      </c>
      <c r="I293" s="9">
        <v>9198</v>
      </c>
      <c r="J293" s="37">
        <v>65231</v>
      </c>
      <c r="K293" s="9" t="s">
        <v>428</v>
      </c>
      <c r="L293" s="9" t="s">
        <v>1974</v>
      </c>
      <c r="M293" s="4"/>
      <c r="N293" s="4"/>
      <c r="P293" s="347"/>
      <c r="Q293" s="347"/>
      <c r="S293" s="129"/>
    </row>
    <row r="294" spans="1:19" ht="15" hidden="1" customHeight="1" x14ac:dyDescent="0.25">
      <c r="A294" s="154" t="s">
        <v>5529</v>
      </c>
      <c r="B294" s="154" t="s">
        <v>3781</v>
      </c>
      <c r="C294" s="154" t="s">
        <v>6787</v>
      </c>
      <c r="D294" s="154" t="s">
        <v>6762</v>
      </c>
      <c r="E294" s="154" t="s">
        <v>6763</v>
      </c>
      <c r="F294" s="154" t="s">
        <v>6764</v>
      </c>
      <c r="G294" s="154">
        <v>2525</v>
      </c>
      <c r="H294" s="154">
        <v>1</v>
      </c>
      <c r="I294" s="154"/>
      <c r="J294" s="155">
        <v>65231</v>
      </c>
      <c r="K294" s="154" t="s">
        <v>428</v>
      </c>
      <c r="L294" s="154" t="s">
        <v>1974</v>
      </c>
      <c r="M294" s="4"/>
      <c r="N294" s="4"/>
      <c r="P294" s="347"/>
      <c r="Q294" s="347"/>
      <c r="R294" s="212"/>
      <c r="S294" s="129"/>
    </row>
    <row r="295" spans="1:19" ht="15" hidden="1" customHeight="1" x14ac:dyDescent="0.25">
      <c r="A295" s="20" t="s">
        <v>5530</v>
      </c>
      <c r="B295" s="20" t="s">
        <v>597</v>
      </c>
      <c r="C295" s="20" t="s">
        <v>5352</v>
      </c>
      <c r="D295" s="20" t="s">
        <v>4745</v>
      </c>
      <c r="E295" s="20" t="s">
        <v>4746</v>
      </c>
      <c r="F295" s="20" t="s">
        <v>4747</v>
      </c>
      <c r="G295" s="20">
        <v>303</v>
      </c>
      <c r="H295" s="20">
        <v>3</v>
      </c>
      <c r="I295" s="20">
        <v>9198</v>
      </c>
      <c r="J295" s="36">
        <v>29355</v>
      </c>
      <c r="K295" s="20" t="s">
        <v>522</v>
      </c>
      <c r="L295" s="20" t="s">
        <v>1974</v>
      </c>
      <c r="M295" s="4"/>
      <c r="N295" s="4"/>
      <c r="P295" s="347">
        <v>1150</v>
      </c>
      <c r="Q295" s="348">
        <f>P295*100%/(1000)</f>
        <v>1.1499999999999999</v>
      </c>
      <c r="R295" s="222"/>
      <c r="S295" s="129"/>
    </row>
    <row r="296" spans="1:19" ht="15" hidden="1" customHeight="1" x14ac:dyDescent="0.25">
      <c r="A296" s="57" t="s">
        <v>5530</v>
      </c>
      <c r="B296" s="57" t="s">
        <v>11</v>
      </c>
      <c r="C296" s="57" t="s">
        <v>5351</v>
      </c>
      <c r="D296" s="57" t="s">
        <v>4748</v>
      </c>
      <c r="E296" s="57" t="s">
        <v>4749</v>
      </c>
      <c r="F296" s="57" t="s">
        <v>4750</v>
      </c>
      <c r="G296" s="57">
        <v>302</v>
      </c>
      <c r="H296" s="57">
        <v>645</v>
      </c>
      <c r="I296" s="57">
        <v>9198</v>
      </c>
      <c r="J296" s="58">
        <v>29355</v>
      </c>
      <c r="K296" s="57" t="s">
        <v>522</v>
      </c>
      <c r="L296" s="57" t="s">
        <v>1974</v>
      </c>
      <c r="M296" s="4"/>
      <c r="N296" s="4"/>
      <c r="P296" s="347"/>
      <c r="Q296" s="347"/>
      <c r="S296" s="129"/>
    </row>
    <row r="297" spans="1:19" ht="15" hidden="1" customHeight="1" x14ac:dyDescent="0.25">
      <c r="A297" s="61" t="s">
        <v>5530</v>
      </c>
      <c r="B297" s="61" t="s">
        <v>34</v>
      </c>
      <c r="C297" s="61" t="s">
        <v>5349</v>
      </c>
      <c r="D297" s="61" t="s">
        <v>4751</v>
      </c>
      <c r="E297" s="61" t="s">
        <v>4752</v>
      </c>
      <c r="F297" s="61" t="s">
        <v>4753</v>
      </c>
      <c r="G297" s="61">
        <v>300</v>
      </c>
      <c r="H297" s="61">
        <v>500</v>
      </c>
      <c r="I297" s="61">
        <v>9198</v>
      </c>
      <c r="J297" s="61">
        <v>29355</v>
      </c>
      <c r="K297" s="61" t="s">
        <v>522</v>
      </c>
      <c r="L297" s="61" t="s">
        <v>1974</v>
      </c>
      <c r="M297" s="4"/>
      <c r="N297" s="4"/>
      <c r="P297" s="347"/>
      <c r="Q297" s="347"/>
      <c r="S297" s="129"/>
    </row>
    <row r="298" spans="1:19" ht="15" hidden="1" customHeight="1" x14ac:dyDescent="0.25">
      <c r="A298" s="9" t="s">
        <v>5530</v>
      </c>
      <c r="B298" s="9" t="s">
        <v>249</v>
      </c>
      <c r="C298" s="9" t="s">
        <v>5350</v>
      </c>
      <c r="D298" s="9" t="s">
        <v>4754</v>
      </c>
      <c r="E298" s="9" t="s">
        <v>4755</v>
      </c>
      <c r="F298" s="9" t="s">
        <v>4756</v>
      </c>
      <c r="G298" s="9">
        <v>301</v>
      </c>
      <c r="H298" s="9">
        <v>2</v>
      </c>
      <c r="I298" s="9">
        <v>9198</v>
      </c>
      <c r="J298" s="37">
        <v>29355</v>
      </c>
      <c r="K298" s="9" t="s">
        <v>522</v>
      </c>
      <c r="L298" s="9" t="s">
        <v>1974</v>
      </c>
      <c r="M298" s="4"/>
      <c r="N298" s="4"/>
      <c r="P298" s="347"/>
      <c r="Q298" s="347"/>
      <c r="S298" s="129"/>
    </row>
    <row r="299" spans="1:19" ht="15" hidden="1" customHeight="1" x14ac:dyDescent="0.25">
      <c r="A299" s="20" t="s">
        <v>5531</v>
      </c>
      <c r="B299" s="20" t="s">
        <v>597</v>
      </c>
      <c r="C299" s="20" t="s">
        <v>1389</v>
      </c>
      <c r="D299" s="20" t="s">
        <v>1326</v>
      </c>
      <c r="E299" s="20" t="s">
        <v>1327</v>
      </c>
      <c r="F299" s="20" t="s">
        <v>1328</v>
      </c>
      <c r="G299" s="20">
        <v>1013</v>
      </c>
      <c r="H299" s="20">
        <v>20</v>
      </c>
      <c r="I299" s="20">
        <v>9198</v>
      </c>
      <c r="J299" s="36">
        <v>29355</v>
      </c>
      <c r="K299" s="20" t="s">
        <v>435</v>
      </c>
      <c r="L299" s="20" t="s">
        <v>1974</v>
      </c>
      <c r="M299" s="4"/>
      <c r="N299" s="4"/>
      <c r="P299" s="347">
        <v>373</v>
      </c>
      <c r="Q299" s="348">
        <f>P299*100%/(1000)</f>
        <v>0.373</v>
      </c>
      <c r="S299" s="129"/>
    </row>
    <row r="300" spans="1:19" ht="15" hidden="1" customHeight="1" x14ac:dyDescent="0.25">
      <c r="A300" s="61" t="s">
        <v>5531</v>
      </c>
      <c r="B300" s="61" t="s">
        <v>34</v>
      </c>
      <c r="C300" s="61" t="s">
        <v>1388</v>
      </c>
      <c r="D300" s="61" t="s">
        <v>1323</v>
      </c>
      <c r="E300" s="61" t="s">
        <v>1324</v>
      </c>
      <c r="F300" s="61" t="s">
        <v>1325</v>
      </c>
      <c r="G300" s="61">
        <v>1012</v>
      </c>
      <c r="H300" s="61">
        <v>352</v>
      </c>
      <c r="I300" s="61">
        <v>9198</v>
      </c>
      <c r="J300" s="62">
        <v>29355</v>
      </c>
      <c r="K300" s="61" t="s">
        <v>435</v>
      </c>
      <c r="L300" s="61" t="s">
        <v>1974</v>
      </c>
      <c r="M300" s="4"/>
      <c r="N300" s="4"/>
      <c r="P300" s="347"/>
      <c r="Q300" s="347"/>
      <c r="R300" s="183"/>
      <c r="S300" s="129"/>
    </row>
    <row r="301" spans="1:19" ht="15" hidden="1" customHeight="1" x14ac:dyDescent="0.25">
      <c r="A301" s="9" t="s">
        <v>5531</v>
      </c>
      <c r="B301" s="9" t="s">
        <v>249</v>
      </c>
      <c r="C301" s="9" t="s">
        <v>5350</v>
      </c>
      <c r="D301" s="9" t="s">
        <v>1994</v>
      </c>
      <c r="E301" s="9" t="s">
        <v>1995</v>
      </c>
      <c r="F301" s="9" t="s">
        <v>1996</v>
      </c>
      <c r="G301" s="9">
        <v>1010</v>
      </c>
      <c r="H301" s="9">
        <v>1</v>
      </c>
      <c r="I301" s="9">
        <v>9198</v>
      </c>
      <c r="J301" s="37">
        <v>29355</v>
      </c>
      <c r="K301" s="9" t="s">
        <v>435</v>
      </c>
      <c r="L301" s="9" t="s">
        <v>1974</v>
      </c>
      <c r="M301" s="4"/>
      <c r="N301" s="4"/>
      <c r="P301" s="347"/>
      <c r="Q301" s="347"/>
      <c r="S301" s="129"/>
    </row>
    <row r="302" spans="1:19" ht="15" hidden="1" customHeight="1" x14ac:dyDescent="0.25">
      <c r="A302" s="20" t="s">
        <v>5532</v>
      </c>
      <c r="B302" s="20" t="s">
        <v>597</v>
      </c>
      <c r="C302" s="20" t="s">
        <v>3742</v>
      </c>
      <c r="D302" s="20" t="s">
        <v>3512</v>
      </c>
      <c r="E302" s="20" t="s">
        <v>3513</v>
      </c>
      <c r="F302" s="20" t="s">
        <v>3514</v>
      </c>
      <c r="G302" s="20">
        <v>2260</v>
      </c>
      <c r="H302" s="20">
        <v>4</v>
      </c>
      <c r="I302" s="20">
        <v>9198</v>
      </c>
      <c r="J302" s="36">
        <v>29355</v>
      </c>
      <c r="K302" s="20" t="s">
        <v>1417</v>
      </c>
      <c r="L302" s="20" t="s">
        <v>1974</v>
      </c>
      <c r="M302" s="4"/>
      <c r="N302" s="4"/>
      <c r="P302" s="347">
        <v>56</v>
      </c>
      <c r="Q302" s="348">
        <f>P302*100%/(1000)</f>
        <v>5.6000000000000001E-2</v>
      </c>
      <c r="S302" s="129"/>
    </row>
    <row r="303" spans="1:19" ht="15" hidden="1" customHeight="1" x14ac:dyDescent="0.25">
      <c r="A303" s="61" t="s">
        <v>5532</v>
      </c>
      <c r="B303" s="61" t="s">
        <v>34</v>
      </c>
      <c r="C303" s="61" t="s">
        <v>3743</v>
      </c>
      <c r="D303" s="61" t="s">
        <v>3515</v>
      </c>
      <c r="E303" s="61" t="s">
        <v>3516</v>
      </c>
      <c r="F303" s="61" t="s">
        <v>3517</v>
      </c>
      <c r="G303" s="61">
        <v>2261</v>
      </c>
      <c r="H303" s="61">
        <v>50</v>
      </c>
      <c r="I303" s="61">
        <v>9198</v>
      </c>
      <c r="J303" s="62">
        <v>29355</v>
      </c>
      <c r="K303" s="61" t="s">
        <v>1417</v>
      </c>
      <c r="L303" s="61" t="s">
        <v>1974</v>
      </c>
      <c r="M303" s="4"/>
      <c r="N303" s="4"/>
      <c r="P303" s="347"/>
      <c r="Q303" s="347"/>
      <c r="S303" s="129"/>
    </row>
    <row r="304" spans="1:19" ht="15" hidden="1" customHeight="1" x14ac:dyDescent="0.25">
      <c r="A304" s="142" t="s">
        <v>5532</v>
      </c>
      <c r="B304" s="142" t="s">
        <v>249</v>
      </c>
      <c r="C304" s="142" t="s">
        <v>3744</v>
      </c>
      <c r="D304" s="142" t="s">
        <v>3518</v>
      </c>
      <c r="E304" s="142" t="s">
        <v>3519</v>
      </c>
      <c r="F304" s="142" t="s">
        <v>3520</v>
      </c>
      <c r="G304" s="142">
        <v>2266</v>
      </c>
      <c r="H304" s="142">
        <v>1</v>
      </c>
      <c r="I304" s="142">
        <v>9198</v>
      </c>
      <c r="J304" s="37">
        <v>29355</v>
      </c>
      <c r="K304" s="142" t="s">
        <v>1417</v>
      </c>
      <c r="L304" s="142" t="s">
        <v>1974</v>
      </c>
      <c r="M304" s="4"/>
      <c r="N304" s="4"/>
      <c r="P304" s="347"/>
      <c r="Q304" s="347"/>
      <c r="S304" s="129"/>
    </row>
    <row r="305" spans="1:19" ht="15" hidden="1" customHeight="1" x14ac:dyDescent="0.25">
      <c r="A305" s="154" t="s">
        <v>5532</v>
      </c>
      <c r="B305" s="154" t="s">
        <v>3781</v>
      </c>
      <c r="C305" s="154" t="s">
        <v>6786</v>
      </c>
      <c r="D305" s="154" t="s">
        <v>6729</v>
      </c>
      <c r="E305" s="154" t="s">
        <v>6730</v>
      </c>
      <c r="F305" s="154" t="s">
        <v>6731</v>
      </c>
      <c r="G305" s="154">
        <v>2402</v>
      </c>
      <c r="H305" s="154">
        <v>1</v>
      </c>
      <c r="I305" s="154">
        <v>9198</v>
      </c>
      <c r="J305" s="155">
        <v>29355</v>
      </c>
      <c r="K305" s="154" t="s">
        <v>1417</v>
      </c>
      <c r="L305" s="154" t="s">
        <v>1974</v>
      </c>
      <c r="M305" s="4"/>
      <c r="N305" s="4"/>
      <c r="P305" s="347"/>
      <c r="Q305" s="347"/>
      <c r="R305" s="183"/>
      <c r="S305" s="129"/>
    </row>
    <row r="306" spans="1:19" ht="15" hidden="1" customHeight="1" x14ac:dyDescent="0.3">
      <c r="A306" s="20" t="s">
        <v>5533</v>
      </c>
      <c r="B306" s="20" t="s">
        <v>597</v>
      </c>
      <c r="C306" s="20" t="s">
        <v>7588</v>
      </c>
      <c r="D306" s="20" t="s">
        <v>7572</v>
      </c>
      <c r="E306" s="20" t="s">
        <v>7571</v>
      </c>
      <c r="F306" s="20" t="s">
        <v>7573</v>
      </c>
      <c r="G306" s="20">
        <v>1653</v>
      </c>
      <c r="H306" s="20">
        <v>2</v>
      </c>
      <c r="I306" s="20">
        <v>9198</v>
      </c>
      <c r="J306" s="20">
        <v>65231</v>
      </c>
      <c r="K306" s="20" t="s">
        <v>1458</v>
      </c>
      <c r="L306" s="20" t="s">
        <v>1974</v>
      </c>
      <c r="M306" s="4"/>
      <c r="N306" s="4"/>
      <c r="P306" s="342"/>
      <c r="Q306" s="342"/>
      <c r="R306" s="183"/>
      <c r="S306" s="129"/>
    </row>
    <row r="307" spans="1:19" ht="15" hidden="1" customHeight="1" x14ac:dyDescent="0.25">
      <c r="A307" s="57" t="s">
        <v>5533</v>
      </c>
      <c r="B307" s="57" t="s">
        <v>11</v>
      </c>
      <c r="C307" s="57" t="s">
        <v>1991</v>
      </c>
      <c r="D307" s="57" t="s">
        <v>1958</v>
      </c>
      <c r="E307" s="57" t="s">
        <v>1959</v>
      </c>
      <c r="F307" s="57" t="s">
        <v>1960</v>
      </c>
      <c r="G307" s="57">
        <v>1652</v>
      </c>
      <c r="H307" s="57">
        <v>417</v>
      </c>
      <c r="I307" s="57">
        <v>9198</v>
      </c>
      <c r="J307" s="57">
        <v>65231</v>
      </c>
      <c r="K307" s="57" t="s">
        <v>428</v>
      </c>
      <c r="L307" s="57" t="s">
        <v>1974</v>
      </c>
      <c r="M307" s="4"/>
      <c r="N307" s="4"/>
      <c r="P307" s="347">
        <v>496</v>
      </c>
      <c r="Q307" s="348">
        <f>P307*100%/(1000)</f>
        <v>0.496</v>
      </c>
      <c r="S307" s="129"/>
    </row>
    <row r="308" spans="1:19" ht="15" hidden="1" customHeight="1" x14ac:dyDescent="0.25">
      <c r="A308" s="61" t="s">
        <v>5533</v>
      </c>
      <c r="B308" s="61" t="s">
        <v>34</v>
      </c>
      <c r="C308" s="61" t="s">
        <v>796</v>
      </c>
      <c r="D308" s="61" t="s">
        <v>599</v>
      </c>
      <c r="E308" s="61" t="s">
        <v>600</v>
      </c>
      <c r="F308" s="61" t="s">
        <v>598</v>
      </c>
      <c r="G308" s="61">
        <v>1650</v>
      </c>
      <c r="H308" s="61">
        <v>114</v>
      </c>
      <c r="I308" s="61">
        <v>9198</v>
      </c>
      <c r="J308" s="62">
        <v>65231</v>
      </c>
      <c r="K308" s="61" t="s">
        <v>1458</v>
      </c>
      <c r="L308" s="61" t="s">
        <v>1974</v>
      </c>
      <c r="M308" s="4"/>
      <c r="N308" s="4"/>
      <c r="P308" s="347"/>
      <c r="Q308" s="347"/>
      <c r="R308" s="183"/>
      <c r="S308" s="129"/>
    </row>
    <row r="309" spans="1:19" ht="15" hidden="1" customHeight="1" x14ac:dyDescent="0.25">
      <c r="A309" s="9" t="s">
        <v>5533</v>
      </c>
      <c r="B309" s="9" t="s">
        <v>249</v>
      </c>
      <c r="C309" s="9" t="s">
        <v>797</v>
      </c>
      <c r="D309" s="9" t="s">
        <v>602</v>
      </c>
      <c r="E309" s="9" t="s">
        <v>603</v>
      </c>
      <c r="F309" s="9" t="s">
        <v>601</v>
      </c>
      <c r="G309" s="9">
        <v>1651</v>
      </c>
      <c r="H309" s="9">
        <v>1</v>
      </c>
      <c r="I309" s="9">
        <v>64728</v>
      </c>
      <c r="J309" s="37">
        <v>65231</v>
      </c>
      <c r="K309" s="9" t="s">
        <v>1458</v>
      </c>
      <c r="L309" s="9" t="s">
        <v>1974</v>
      </c>
      <c r="M309" s="4"/>
      <c r="N309" s="4"/>
      <c r="P309" s="347"/>
      <c r="Q309" s="347"/>
      <c r="S309" s="129"/>
    </row>
    <row r="310" spans="1:19" ht="15" hidden="1" customHeight="1" x14ac:dyDescent="0.25">
      <c r="A310" s="20" t="s">
        <v>6324</v>
      </c>
      <c r="B310" s="20" t="s">
        <v>597</v>
      </c>
      <c r="C310" s="20" t="s">
        <v>1626</v>
      </c>
      <c r="D310" s="20"/>
      <c r="E310" s="20"/>
      <c r="F310" s="20"/>
      <c r="G310" s="20">
        <v>2377</v>
      </c>
      <c r="H310" s="20">
        <v>10</v>
      </c>
      <c r="I310" s="20" t="s">
        <v>1454</v>
      </c>
      <c r="J310" s="20" t="s">
        <v>1454</v>
      </c>
      <c r="K310" s="20" t="s">
        <v>654</v>
      </c>
      <c r="L310" s="20" t="s">
        <v>1974</v>
      </c>
      <c r="M310" s="4"/>
      <c r="N310" s="4"/>
      <c r="P310" s="347">
        <v>460</v>
      </c>
      <c r="Q310" s="348">
        <f>P310*100%/(1000)</f>
        <v>0.46</v>
      </c>
      <c r="S310" s="129"/>
    </row>
    <row r="311" spans="1:19" ht="15" hidden="1" customHeight="1" x14ac:dyDescent="0.25">
      <c r="A311" s="61" t="s">
        <v>6324</v>
      </c>
      <c r="B311" s="61" t="s">
        <v>34</v>
      </c>
      <c r="C311" s="61" t="s">
        <v>1626</v>
      </c>
      <c r="D311" s="61"/>
      <c r="E311" s="61"/>
      <c r="F311" s="61"/>
      <c r="G311" s="61">
        <v>2378</v>
      </c>
      <c r="H311" s="61">
        <v>150</v>
      </c>
      <c r="I311" s="61" t="s">
        <v>1454</v>
      </c>
      <c r="J311" s="61" t="s">
        <v>1454</v>
      </c>
      <c r="K311" s="61" t="s">
        <v>654</v>
      </c>
      <c r="L311" s="61" t="s">
        <v>1974</v>
      </c>
      <c r="M311" s="4"/>
      <c r="N311" s="4"/>
      <c r="P311" s="347"/>
      <c r="Q311" s="347"/>
      <c r="S311" s="129"/>
    </row>
    <row r="312" spans="1:19" ht="15" hidden="1" customHeight="1" x14ac:dyDescent="0.25">
      <c r="A312" s="57" t="s">
        <v>6324</v>
      </c>
      <c r="B312" s="57" t="s">
        <v>11</v>
      </c>
      <c r="C312" s="57" t="s">
        <v>1626</v>
      </c>
      <c r="D312" s="57"/>
      <c r="E312" s="57"/>
      <c r="F312" s="57"/>
      <c r="G312" s="57">
        <v>2379</v>
      </c>
      <c r="H312" s="57">
        <v>300</v>
      </c>
      <c r="I312" s="57" t="s">
        <v>1454</v>
      </c>
      <c r="J312" s="57" t="s">
        <v>1454</v>
      </c>
      <c r="K312" s="57" t="s">
        <v>654</v>
      </c>
      <c r="L312" s="57" t="s">
        <v>1974</v>
      </c>
      <c r="M312" s="4"/>
      <c r="N312" s="4"/>
      <c r="P312" s="347"/>
      <c r="Q312" s="347"/>
      <c r="S312" s="129"/>
    </row>
    <row r="313" spans="1:19" ht="15" hidden="1" customHeight="1" x14ac:dyDescent="0.25">
      <c r="A313" s="320" t="s">
        <v>7305</v>
      </c>
      <c r="B313" s="320" t="s">
        <v>11</v>
      </c>
      <c r="C313" s="320" t="s">
        <v>1507</v>
      </c>
      <c r="D313" s="320" t="s">
        <v>7314</v>
      </c>
      <c r="E313" s="320" t="s">
        <v>7306</v>
      </c>
      <c r="F313" s="320" t="s">
        <v>7310</v>
      </c>
      <c r="G313" s="320"/>
      <c r="H313" s="320">
        <v>200</v>
      </c>
      <c r="I313" s="320">
        <v>9198</v>
      </c>
      <c r="J313" s="320">
        <v>29355</v>
      </c>
      <c r="K313" s="320" t="s">
        <v>654</v>
      </c>
      <c r="L313" s="320" t="s">
        <v>1974</v>
      </c>
      <c r="M313" s="4"/>
      <c r="N313" s="4"/>
      <c r="P313" s="347">
        <v>311</v>
      </c>
      <c r="Q313" s="348">
        <f>P313*100%/(1000)</f>
        <v>0.311</v>
      </c>
      <c r="S313" s="129"/>
    </row>
    <row r="314" spans="1:19" ht="15" hidden="1" customHeight="1" x14ac:dyDescent="0.25">
      <c r="A314" s="9" t="s">
        <v>7305</v>
      </c>
      <c r="B314" s="9" t="s">
        <v>249</v>
      </c>
      <c r="C314" s="9" t="s">
        <v>1507</v>
      </c>
      <c r="D314" s="9" t="s">
        <v>7315</v>
      </c>
      <c r="E314" s="9" t="s">
        <v>7307</v>
      </c>
      <c r="F314" s="9" t="s">
        <v>7311</v>
      </c>
      <c r="G314" s="9"/>
      <c r="H314" s="9">
        <v>1</v>
      </c>
      <c r="I314" s="9">
        <v>9198</v>
      </c>
      <c r="J314" s="9">
        <v>29355</v>
      </c>
      <c r="K314" s="9" t="s">
        <v>654</v>
      </c>
      <c r="L314" s="9" t="s">
        <v>1974</v>
      </c>
      <c r="M314" s="4"/>
      <c r="N314" s="4"/>
      <c r="P314" s="347"/>
      <c r="Q314" s="347"/>
      <c r="S314" s="129"/>
    </row>
    <row r="315" spans="1:19" ht="15" hidden="1" customHeight="1" x14ac:dyDescent="0.25">
      <c r="A315" s="61" t="s">
        <v>7305</v>
      </c>
      <c r="B315" s="61" t="s">
        <v>34</v>
      </c>
      <c r="C315" s="61" t="s">
        <v>1507</v>
      </c>
      <c r="D315" s="61" t="s">
        <v>7316</v>
      </c>
      <c r="E315" s="61" t="s">
        <v>7308</v>
      </c>
      <c r="F315" s="61" t="s">
        <v>7312</v>
      </c>
      <c r="G315" s="61"/>
      <c r="H315" s="61">
        <v>100</v>
      </c>
      <c r="I315" s="61">
        <v>9198</v>
      </c>
      <c r="J315" s="61">
        <v>29355</v>
      </c>
      <c r="K315" s="61" t="s">
        <v>654</v>
      </c>
      <c r="L315" s="61" t="s">
        <v>1974</v>
      </c>
      <c r="M315" s="4"/>
      <c r="N315" s="4"/>
      <c r="P315" s="347"/>
      <c r="Q315" s="347"/>
      <c r="S315" s="129"/>
    </row>
    <row r="316" spans="1:19" ht="15" hidden="1" customHeight="1" x14ac:dyDescent="0.25">
      <c r="A316" s="20" t="s">
        <v>7305</v>
      </c>
      <c r="B316" s="20" t="s">
        <v>597</v>
      </c>
      <c r="C316" s="20" t="s">
        <v>1507</v>
      </c>
      <c r="D316" s="20" t="s">
        <v>7317</v>
      </c>
      <c r="E316" s="20" t="s">
        <v>7309</v>
      </c>
      <c r="F316" s="20" t="s">
        <v>7313</v>
      </c>
      <c r="G316" s="20"/>
      <c r="H316" s="20">
        <v>10</v>
      </c>
      <c r="I316" s="20">
        <v>9198</v>
      </c>
      <c r="J316" s="20">
        <v>29355</v>
      </c>
      <c r="K316" s="20" t="s">
        <v>654</v>
      </c>
      <c r="L316" s="20" t="s">
        <v>1974</v>
      </c>
      <c r="M316" s="4"/>
      <c r="N316" s="4"/>
      <c r="P316" s="347"/>
      <c r="Q316" s="347"/>
      <c r="S316" s="129"/>
    </row>
    <row r="317" spans="1:19" ht="15" hidden="1" customHeight="1" x14ac:dyDescent="0.25">
      <c r="A317" s="20" t="s">
        <v>5534</v>
      </c>
      <c r="B317" s="20" t="s">
        <v>597</v>
      </c>
      <c r="C317" s="20" t="s">
        <v>1602</v>
      </c>
      <c r="D317" s="20" t="s">
        <v>1832</v>
      </c>
      <c r="E317" s="20" t="s">
        <v>1833</v>
      </c>
      <c r="F317" s="20" t="s">
        <v>1834</v>
      </c>
      <c r="G317" s="20">
        <v>3840</v>
      </c>
      <c r="H317" s="20">
        <v>10</v>
      </c>
      <c r="I317" s="20">
        <v>9198</v>
      </c>
      <c r="J317" s="36">
        <v>29355</v>
      </c>
      <c r="K317" s="20" t="s">
        <v>1417</v>
      </c>
      <c r="L317" s="20" t="s">
        <v>1974</v>
      </c>
      <c r="M317" s="4"/>
      <c r="N317" s="4"/>
      <c r="P317" s="347">
        <v>321</v>
      </c>
      <c r="Q317" s="348">
        <f>P317*100%/(1000)</f>
        <v>0.32100000000000001</v>
      </c>
      <c r="R317" s="183"/>
      <c r="S317" s="129"/>
    </row>
    <row r="318" spans="1:19" ht="15" hidden="1" customHeight="1" x14ac:dyDescent="0.25">
      <c r="A318" s="61" t="s">
        <v>5534</v>
      </c>
      <c r="B318" s="61" t="s">
        <v>34</v>
      </c>
      <c r="C318" s="61" t="s">
        <v>1603</v>
      </c>
      <c r="D318" s="61" t="s">
        <v>1469</v>
      </c>
      <c r="E318" s="61" t="s">
        <v>1470</v>
      </c>
      <c r="F318" s="61" t="s">
        <v>1471</v>
      </c>
      <c r="G318" s="61">
        <v>3841</v>
      </c>
      <c r="H318" s="61">
        <v>160</v>
      </c>
      <c r="I318" s="61">
        <v>9198</v>
      </c>
      <c r="J318" s="62">
        <v>29355</v>
      </c>
      <c r="K318" s="61" t="s">
        <v>1417</v>
      </c>
      <c r="L318" s="61" t="s">
        <v>1974</v>
      </c>
      <c r="M318" s="4"/>
      <c r="N318" s="4"/>
      <c r="P318" s="347"/>
      <c r="Q318" s="347"/>
      <c r="R318" s="183"/>
      <c r="S318" s="129"/>
    </row>
    <row r="319" spans="1:19" ht="15" hidden="1" customHeight="1" x14ac:dyDescent="0.25">
      <c r="A319" s="9" t="s">
        <v>5534</v>
      </c>
      <c r="B319" s="9" t="s">
        <v>249</v>
      </c>
      <c r="C319" s="9" t="s">
        <v>7413</v>
      </c>
      <c r="D319" s="9" t="s">
        <v>7142</v>
      </c>
      <c r="E319" s="9" t="s">
        <v>7143</v>
      </c>
      <c r="F319" s="9" t="s">
        <v>7144</v>
      </c>
      <c r="G319" s="9">
        <v>1484</v>
      </c>
      <c r="H319" s="9">
        <v>1</v>
      </c>
      <c r="I319" s="9">
        <v>9198</v>
      </c>
      <c r="J319" s="37">
        <v>29355</v>
      </c>
      <c r="K319" s="9" t="s">
        <v>1417</v>
      </c>
      <c r="L319" s="9" t="s">
        <v>1974</v>
      </c>
      <c r="M319" s="4"/>
      <c r="N319" s="4"/>
      <c r="P319" s="347"/>
      <c r="Q319" s="347"/>
      <c r="R319" s="183"/>
      <c r="S319" s="129"/>
    </row>
    <row r="320" spans="1:19" ht="15" hidden="1" customHeight="1" x14ac:dyDescent="0.25">
      <c r="A320" s="57" t="s">
        <v>5534</v>
      </c>
      <c r="B320" s="57" t="s">
        <v>11</v>
      </c>
      <c r="C320" s="57" t="s">
        <v>7412</v>
      </c>
      <c r="D320" s="57" t="s">
        <v>7139</v>
      </c>
      <c r="E320" s="57" t="s">
        <v>7140</v>
      </c>
      <c r="F320" s="57" t="s">
        <v>7141</v>
      </c>
      <c r="G320" s="57">
        <v>1483</v>
      </c>
      <c r="H320" s="57">
        <v>150</v>
      </c>
      <c r="I320" s="57">
        <v>9198</v>
      </c>
      <c r="J320" s="57">
        <v>29355</v>
      </c>
      <c r="K320" s="57" t="s">
        <v>1417</v>
      </c>
      <c r="L320" s="57" t="s">
        <v>1974</v>
      </c>
      <c r="M320" s="4"/>
      <c r="N320" s="4"/>
      <c r="P320" s="347"/>
      <c r="Q320" s="347"/>
      <c r="S320" s="129"/>
    </row>
    <row r="321" spans="1:19" ht="15" hidden="1" customHeight="1" x14ac:dyDescent="0.25">
      <c r="A321" s="20" t="s">
        <v>5535</v>
      </c>
      <c r="B321" s="20" t="s">
        <v>597</v>
      </c>
      <c r="C321" s="20" t="s">
        <v>3890</v>
      </c>
      <c r="D321" s="20" t="s">
        <v>3686</v>
      </c>
      <c r="E321" s="20" t="s">
        <v>3687</v>
      </c>
      <c r="F321" s="20" t="s">
        <v>3688</v>
      </c>
      <c r="G321" s="20">
        <v>283</v>
      </c>
      <c r="H321" s="20">
        <v>4</v>
      </c>
      <c r="I321" s="20">
        <v>9198</v>
      </c>
      <c r="J321" s="36">
        <v>29355</v>
      </c>
      <c r="K321" s="20" t="s">
        <v>436</v>
      </c>
      <c r="L321" s="20" t="s">
        <v>1974</v>
      </c>
      <c r="M321" s="4"/>
      <c r="N321" s="4"/>
      <c r="P321" s="347">
        <v>451</v>
      </c>
      <c r="Q321" s="348">
        <f>P321*100%/(1000)</f>
        <v>0.45100000000000001</v>
      </c>
      <c r="R321" s="183"/>
      <c r="S321" s="129"/>
    </row>
    <row r="322" spans="1:19" ht="15" hidden="1" customHeight="1" x14ac:dyDescent="0.25">
      <c r="A322" s="57" t="s">
        <v>5535</v>
      </c>
      <c r="B322" s="57" t="s">
        <v>11</v>
      </c>
      <c r="C322" s="57" t="s">
        <v>2979</v>
      </c>
      <c r="D322" s="57" t="s">
        <v>2938</v>
      </c>
      <c r="E322" s="57" t="s">
        <v>2939</v>
      </c>
      <c r="F322" s="57" t="s">
        <v>2940</v>
      </c>
      <c r="G322" s="57">
        <v>280</v>
      </c>
      <c r="H322" s="57">
        <v>295</v>
      </c>
      <c r="I322" s="57">
        <v>9198</v>
      </c>
      <c r="J322" s="58">
        <v>29355</v>
      </c>
      <c r="K322" s="57" t="s">
        <v>433</v>
      </c>
      <c r="L322" s="57" t="s">
        <v>1974</v>
      </c>
      <c r="M322" s="4"/>
      <c r="N322" s="4"/>
      <c r="P322" s="347"/>
      <c r="Q322" s="347"/>
      <c r="S322" s="129"/>
    </row>
    <row r="323" spans="1:19" ht="15" hidden="1" customHeight="1" x14ac:dyDescent="0.25">
      <c r="A323" s="61" t="s">
        <v>5535</v>
      </c>
      <c r="B323" s="61" t="s">
        <v>34</v>
      </c>
      <c r="C323" s="61" t="s">
        <v>2980</v>
      </c>
      <c r="D323" s="61" t="s">
        <v>2944</v>
      </c>
      <c r="E323" s="61" t="s">
        <v>2945</v>
      </c>
      <c r="F323" s="61" t="s">
        <v>2946</v>
      </c>
      <c r="G323" s="61">
        <v>281</v>
      </c>
      <c r="H323" s="61">
        <v>150</v>
      </c>
      <c r="I323" s="61">
        <v>9198</v>
      </c>
      <c r="J323" s="62">
        <v>29355</v>
      </c>
      <c r="K323" s="61" t="s">
        <v>436</v>
      </c>
      <c r="L323" s="61" t="s">
        <v>1974</v>
      </c>
      <c r="M323" s="4"/>
      <c r="N323" s="4"/>
      <c r="P323" s="347"/>
      <c r="Q323" s="347"/>
      <c r="R323" s="183"/>
      <c r="S323" s="260"/>
    </row>
    <row r="324" spans="1:19" ht="15" hidden="1" customHeight="1" x14ac:dyDescent="0.25">
      <c r="A324" s="9" t="s">
        <v>5535</v>
      </c>
      <c r="B324" s="9" t="s">
        <v>249</v>
      </c>
      <c r="C324" s="9" t="s">
        <v>2981</v>
      </c>
      <c r="D324" s="9" t="s">
        <v>2941</v>
      </c>
      <c r="E324" s="9" t="s">
        <v>2942</v>
      </c>
      <c r="F324" s="9" t="s">
        <v>2943</v>
      </c>
      <c r="G324" s="9">
        <v>282</v>
      </c>
      <c r="H324" s="9">
        <v>1</v>
      </c>
      <c r="I324" s="9">
        <v>9198</v>
      </c>
      <c r="J324" s="37">
        <v>29355</v>
      </c>
      <c r="K324" s="9" t="s">
        <v>436</v>
      </c>
      <c r="L324" s="9" t="s">
        <v>1974</v>
      </c>
      <c r="M324" s="4"/>
      <c r="N324" s="4"/>
      <c r="P324" s="347"/>
      <c r="Q324" s="347"/>
      <c r="R324" s="183"/>
      <c r="S324" s="129"/>
    </row>
    <row r="325" spans="1:19" ht="15" hidden="1" customHeight="1" x14ac:dyDescent="0.25">
      <c r="A325" s="154" t="s">
        <v>5535</v>
      </c>
      <c r="B325" s="154" t="s">
        <v>3781</v>
      </c>
      <c r="C325" s="154" t="s">
        <v>4698</v>
      </c>
      <c r="D325" s="154" t="s">
        <v>3794</v>
      </c>
      <c r="E325" s="154" t="s">
        <v>3795</v>
      </c>
      <c r="F325" s="154" t="s">
        <v>3796</v>
      </c>
      <c r="G325" s="154">
        <v>2021</v>
      </c>
      <c r="H325" s="154">
        <v>1</v>
      </c>
      <c r="I325" s="154">
        <v>9198</v>
      </c>
      <c r="J325" s="155">
        <v>29355</v>
      </c>
      <c r="K325" s="154" t="s">
        <v>436</v>
      </c>
      <c r="L325" s="154" t="s">
        <v>1974</v>
      </c>
      <c r="M325" s="4"/>
      <c r="N325" s="4"/>
      <c r="P325" s="347"/>
      <c r="Q325" s="347"/>
      <c r="R325" s="183"/>
      <c r="S325" s="129"/>
    </row>
    <row r="326" spans="1:19" ht="15" hidden="1" customHeight="1" x14ac:dyDescent="0.35">
      <c r="A326" s="57" t="s">
        <v>5511</v>
      </c>
      <c r="B326" s="57" t="s">
        <v>11</v>
      </c>
      <c r="C326" s="57" t="s">
        <v>7435</v>
      </c>
      <c r="D326" s="57" t="s">
        <v>7195</v>
      </c>
      <c r="E326" s="57" t="s">
        <v>7196</v>
      </c>
      <c r="F326" s="57" t="s">
        <v>7197</v>
      </c>
      <c r="G326" s="57">
        <v>304</v>
      </c>
      <c r="H326" s="57">
        <v>200</v>
      </c>
      <c r="I326" s="57">
        <v>9198</v>
      </c>
      <c r="J326" s="57">
        <v>29355</v>
      </c>
      <c r="K326" s="57" t="s">
        <v>440</v>
      </c>
      <c r="L326" s="57" t="s">
        <v>1974</v>
      </c>
      <c r="M326" s="4"/>
      <c r="N326" s="4"/>
      <c r="P326">
        <v>200</v>
      </c>
      <c r="Q326" s="303">
        <f>P326*100%/(1000)</f>
        <v>0.2</v>
      </c>
      <c r="R326" s="183"/>
      <c r="S326" s="129"/>
    </row>
    <row r="327" spans="1:19" ht="15" hidden="1" customHeight="1" x14ac:dyDescent="0.25">
      <c r="A327" s="20" t="s">
        <v>5536</v>
      </c>
      <c r="B327" s="20" t="s">
        <v>597</v>
      </c>
      <c r="C327" s="20" t="s">
        <v>1890</v>
      </c>
      <c r="D327" s="20" t="s">
        <v>1873</v>
      </c>
      <c r="E327" s="20" t="s">
        <v>1874</v>
      </c>
      <c r="F327" s="20" t="s">
        <v>1875</v>
      </c>
      <c r="G327" s="20" t="s">
        <v>1884</v>
      </c>
      <c r="H327" s="20">
        <v>8</v>
      </c>
      <c r="I327" s="20">
        <v>9198</v>
      </c>
      <c r="J327" s="36">
        <v>29355</v>
      </c>
      <c r="K327" s="20" t="s">
        <v>440</v>
      </c>
      <c r="L327" s="20" t="s">
        <v>1974</v>
      </c>
      <c r="M327" s="4"/>
      <c r="N327" s="4"/>
      <c r="P327" s="347">
        <v>61</v>
      </c>
      <c r="Q327" s="348">
        <f>P327*100%/(1000)</f>
        <v>6.0999999999999999E-2</v>
      </c>
      <c r="S327" s="129"/>
    </row>
    <row r="328" spans="1:19" ht="15" hidden="1" customHeight="1" x14ac:dyDescent="0.25">
      <c r="A328" s="132" t="s">
        <v>5536</v>
      </c>
      <c r="B328" s="132" t="s">
        <v>34</v>
      </c>
      <c r="C328" s="132" t="s">
        <v>1889</v>
      </c>
      <c r="D328" s="132" t="s">
        <v>1870</v>
      </c>
      <c r="E328" s="132" t="s">
        <v>1871</v>
      </c>
      <c r="F328" s="132" t="s">
        <v>1872</v>
      </c>
      <c r="G328" s="132" t="s">
        <v>1885</v>
      </c>
      <c r="H328" s="132">
        <v>51</v>
      </c>
      <c r="I328" s="132">
        <v>9198</v>
      </c>
      <c r="J328" s="62">
        <v>29355</v>
      </c>
      <c r="K328" s="132" t="s">
        <v>440</v>
      </c>
      <c r="L328" s="132" t="s">
        <v>1974</v>
      </c>
      <c r="M328" s="4"/>
      <c r="N328" s="4"/>
      <c r="P328" s="347"/>
      <c r="Q328" s="347"/>
      <c r="S328" s="129"/>
    </row>
    <row r="329" spans="1:19" ht="15" hidden="1" customHeight="1" x14ac:dyDescent="0.25">
      <c r="A329" s="154" t="s">
        <v>5536</v>
      </c>
      <c r="B329" s="154" t="s">
        <v>3781</v>
      </c>
      <c r="C329" s="154" t="s">
        <v>4291</v>
      </c>
      <c r="D329" s="154" t="s">
        <v>4078</v>
      </c>
      <c r="E329" s="154" t="s">
        <v>4079</v>
      </c>
      <c r="F329" s="154" t="s">
        <v>4080</v>
      </c>
      <c r="G329" s="154">
        <v>596</v>
      </c>
      <c r="H329" s="154">
        <v>1</v>
      </c>
      <c r="I329" s="154">
        <v>9198</v>
      </c>
      <c r="J329" s="155">
        <v>29355</v>
      </c>
      <c r="K329" s="154" t="s">
        <v>654</v>
      </c>
      <c r="L329" s="154" t="s">
        <v>1974</v>
      </c>
      <c r="M329" s="4"/>
      <c r="N329" s="4"/>
      <c r="P329" s="347"/>
      <c r="Q329" s="347"/>
      <c r="S329" s="129"/>
    </row>
    <row r="330" spans="1:19" ht="15" hidden="1" customHeight="1" x14ac:dyDescent="0.25">
      <c r="A330" s="9" t="s">
        <v>5536</v>
      </c>
      <c r="B330" s="9" t="s">
        <v>249</v>
      </c>
      <c r="C330" s="9" t="s">
        <v>6190</v>
      </c>
      <c r="D330" s="9" t="s">
        <v>5758</v>
      </c>
      <c r="E330" s="9" t="s">
        <v>5759</v>
      </c>
      <c r="F330" s="9" t="s">
        <v>5760</v>
      </c>
      <c r="G330" s="9">
        <v>306</v>
      </c>
      <c r="H330" s="9">
        <v>1</v>
      </c>
      <c r="I330" s="9">
        <v>9198</v>
      </c>
      <c r="J330" s="37">
        <v>29355</v>
      </c>
      <c r="K330" s="9" t="s">
        <v>440</v>
      </c>
      <c r="L330" s="9" t="s">
        <v>1974</v>
      </c>
      <c r="M330" s="4"/>
      <c r="N330" s="4"/>
      <c r="P330" s="347"/>
      <c r="Q330" s="347"/>
      <c r="S330" s="129"/>
    </row>
    <row r="331" spans="1:19" ht="15" hidden="1" customHeight="1" x14ac:dyDescent="0.25">
      <c r="A331" s="61" t="s">
        <v>5537</v>
      </c>
      <c r="B331" s="61" t="s">
        <v>34</v>
      </c>
      <c r="C331" s="61" t="s">
        <v>798</v>
      </c>
      <c r="D331" s="61" t="s">
        <v>1093</v>
      </c>
      <c r="E331" s="61" t="s">
        <v>1094</v>
      </c>
      <c r="F331" s="61" t="s">
        <v>1095</v>
      </c>
      <c r="G331" s="61">
        <v>3540</v>
      </c>
      <c r="H331" s="61">
        <v>300</v>
      </c>
      <c r="I331" s="61">
        <v>9198</v>
      </c>
      <c r="J331" s="62">
        <v>65242</v>
      </c>
      <c r="K331" s="61" t="s">
        <v>433</v>
      </c>
      <c r="L331" s="61" t="s">
        <v>1974</v>
      </c>
      <c r="M331" s="4"/>
      <c r="N331" s="4"/>
      <c r="P331" s="347">
        <v>496</v>
      </c>
      <c r="Q331" s="348">
        <f>P331*100%/(1000)</f>
        <v>0.496</v>
      </c>
      <c r="S331" s="129"/>
    </row>
    <row r="332" spans="1:19" ht="15" hidden="1" customHeight="1" x14ac:dyDescent="0.25">
      <c r="A332" s="9" t="s">
        <v>5537</v>
      </c>
      <c r="B332" s="9" t="s">
        <v>249</v>
      </c>
      <c r="C332" s="9" t="s">
        <v>799</v>
      </c>
      <c r="D332" s="9" t="s">
        <v>359</v>
      </c>
      <c r="E332" s="9" t="s">
        <v>357</v>
      </c>
      <c r="F332" s="9" t="s">
        <v>358</v>
      </c>
      <c r="G332" s="9">
        <v>1829</v>
      </c>
      <c r="H332" s="9">
        <v>1</v>
      </c>
      <c r="I332" s="9">
        <v>64716</v>
      </c>
      <c r="J332" s="37">
        <v>65242</v>
      </c>
      <c r="K332" s="9" t="s">
        <v>433</v>
      </c>
      <c r="L332" s="9" t="s">
        <v>1974</v>
      </c>
      <c r="M332" s="4"/>
      <c r="N332" s="4"/>
      <c r="P332" s="347"/>
      <c r="Q332" s="347"/>
      <c r="S332" s="129"/>
    </row>
    <row r="333" spans="1:19" ht="15" hidden="1" customHeight="1" x14ac:dyDescent="0.25">
      <c r="A333" s="57" t="s">
        <v>5537</v>
      </c>
      <c r="B333" s="57" t="s">
        <v>11</v>
      </c>
      <c r="C333" s="57" t="s">
        <v>5779</v>
      </c>
      <c r="D333" s="57" t="s">
        <v>5186</v>
      </c>
      <c r="E333" s="57" t="s">
        <v>5187</v>
      </c>
      <c r="F333" s="57" t="s">
        <v>5188</v>
      </c>
      <c r="G333" s="57">
        <v>2228</v>
      </c>
      <c r="H333" s="57">
        <v>195</v>
      </c>
      <c r="I333" s="57">
        <v>64716</v>
      </c>
      <c r="J333" s="58">
        <v>65242</v>
      </c>
      <c r="K333" s="57" t="s">
        <v>433</v>
      </c>
      <c r="L333" s="57" t="s">
        <v>1974</v>
      </c>
      <c r="M333" s="4"/>
      <c r="N333" s="4"/>
      <c r="P333" s="347"/>
      <c r="Q333" s="347"/>
      <c r="S333" s="129"/>
    </row>
    <row r="334" spans="1:19" ht="15" hidden="1" customHeight="1" x14ac:dyDescent="0.25">
      <c r="A334" s="20" t="s">
        <v>7326</v>
      </c>
      <c r="B334" s="20" t="s">
        <v>597</v>
      </c>
      <c r="C334" s="20" t="s">
        <v>7368</v>
      </c>
      <c r="D334" s="20"/>
      <c r="E334" s="20"/>
      <c r="F334" s="20" t="s">
        <v>7381</v>
      </c>
      <c r="G334" s="20">
        <v>2405</v>
      </c>
      <c r="H334" s="20">
        <v>2</v>
      </c>
      <c r="I334" s="20" t="s">
        <v>1454</v>
      </c>
      <c r="J334" s="36" t="s">
        <v>1454</v>
      </c>
      <c r="K334" s="20" t="s">
        <v>654</v>
      </c>
      <c r="L334" s="20"/>
      <c r="M334" s="4"/>
      <c r="N334" s="4"/>
      <c r="P334" s="347">
        <v>183</v>
      </c>
      <c r="Q334" s="347"/>
      <c r="R334" s="146"/>
      <c r="S334" s="129"/>
    </row>
    <row r="335" spans="1:19" ht="15" hidden="1" customHeight="1" x14ac:dyDescent="0.25">
      <c r="A335" s="57" t="s">
        <v>7326</v>
      </c>
      <c r="B335" s="57" t="s">
        <v>11</v>
      </c>
      <c r="C335" s="57" t="s">
        <v>7370</v>
      </c>
      <c r="D335" s="57"/>
      <c r="E335" s="57"/>
      <c r="F335" s="57" t="s">
        <v>7383</v>
      </c>
      <c r="G335" s="57">
        <v>2407</v>
      </c>
      <c r="H335" s="57">
        <v>150</v>
      </c>
      <c r="I335" s="57" t="s">
        <v>1454</v>
      </c>
      <c r="J335" s="58" t="s">
        <v>1454</v>
      </c>
      <c r="K335" s="57" t="s">
        <v>654</v>
      </c>
      <c r="L335" s="57"/>
      <c r="M335" s="4"/>
      <c r="N335" s="4"/>
      <c r="P335" s="347"/>
      <c r="Q335" s="347"/>
      <c r="S335" s="129"/>
    </row>
    <row r="336" spans="1:19" ht="15" hidden="1" customHeight="1" x14ac:dyDescent="0.25">
      <c r="A336" s="61" t="s">
        <v>7326</v>
      </c>
      <c r="B336" s="61" t="s">
        <v>34</v>
      </c>
      <c r="C336" s="61" t="s">
        <v>7369</v>
      </c>
      <c r="D336" s="61"/>
      <c r="E336" s="61"/>
      <c r="F336" s="61" t="s">
        <v>7382</v>
      </c>
      <c r="G336" s="61">
        <v>2406</v>
      </c>
      <c r="H336" s="61">
        <v>30</v>
      </c>
      <c r="I336" s="61" t="s">
        <v>1454</v>
      </c>
      <c r="J336" s="62" t="s">
        <v>1454</v>
      </c>
      <c r="K336" s="61" t="s">
        <v>654</v>
      </c>
      <c r="L336" s="61"/>
      <c r="M336" s="4"/>
      <c r="N336" s="4"/>
      <c r="P336" s="347"/>
      <c r="Q336" s="347"/>
      <c r="S336" s="129"/>
    </row>
    <row r="337" spans="1:19" ht="15" hidden="1" customHeight="1" x14ac:dyDescent="0.25">
      <c r="A337" s="9" t="s">
        <v>7326</v>
      </c>
      <c r="B337" s="9" t="s">
        <v>6092</v>
      </c>
      <c r="C337" s="9" t="s">
        <v>7371</v>
      </c>
      <c r="D337" s="9"/>
      <c r="E337" s="9"/>
      <c r="F337" s="9" t="s">
        <v>7384</v>
      </c>
      <c r="G337" s="9">
        <v>2408</v>
      </c>
      <c r="H337" s="9">
        <v>1</v>
      </c>
      <c r="I337" s="9" t="s">
        <v>1454</v>
      </c>
      <c r="J337" s="37" t="s">
        <v>1454</v>
      </c>
      <c r="K337" s="9" t="s">
        <v>654</v>
      </c>
      <c r="L337" s="9"/>
      <c r="M337" s="4"/>
      <c r="N337" s="4"/>
      <c r="P337" s="347"/>
      <c r="Q337" s="347"/>
      <c r="R337" s="183"/>
      <c r="S337" s="129"/>
    </row>
    <row r="338" spans="1:19" ht="15" hidden="1" customHeight="1" x14ac:dyDescent="0.3">
      <c r="A338" s="325" t="s">
        <v>7326</v>
      </c>
      <c r="B338" s="325" t="s">
        <v>249</v>
      </c>
      <c r="C338" s="325" t="s">
        <v>1507</v>
      </c>
      <c r="D338" s="325"/>
      <c r="E338" s="325"/>
      <c r="F338" s="325" t="s">
        <v>7547</v>
      </c>
      <c r="G338" s="325">
        <v>2482</v>
      </c>
      <c r="H338" s="9">
        <v>1</v>
      </c>
      <c r="I338" s="9" t="s">
        <v>1454</v>
      </c>
      <c r="J338" s="37" t="s">
        <v>1454</v>
      </c>
      <c r="K338" s="9" t="s">
        <v>654</v>
      </c>
      <c r="L338" s="325"/>
      <c r="M338" s="4"/>
      <c r="N338" s="4"/>
      <c r="P338" s="334"/>
      <c r="Q338" s="334"/>
      <c r="R338" s="183"/>
      <c r="S338" s="129"/>
    </row>
    <row r="339" spans="1:19" ht="15" hidden="1" customHeight="1" x14ac:dyDescent="0.25">
      <c r="A339" s="20" t="s">
        <v>7327</v>
      </c>
      <c r="B339" s="20" t="s">
        <v>597</v>
      </c>
      <c r="C339" s="20" t="s">
        <v>7387</v>
      </c>
      <c r="D339" s="20"/>
      <c r="E339" s="20"/>
      <c r="F339" s="20" t="s">
        <v>7385</v>
      </c>
      <c r="G339" s="20">
        <v>2430</v>
      </c>
      <c r="H339" s="20">
        <v>2</v>
      </c>
      <c r="I339" s="20" t="s">
        <v>1454</v>
      </c>
      <c r="J339" s="36" t="s">
        <v>1454</v>
      </c>
      <c r="K339" s="20" t="s">
        <v>654</v>
      </c>
      <c r="L339" s="20"/>
      <c r="M339" s="4"/>
      <c r="N339" s="4"/>
      <c r="P339" s="347">
        <v>183</v>
      </c>
      <c r="Q339" s="347"/>
      <c r="R339" s="146"/>
      <c r="S339" s="129"/>
    </row>
    <row r="340" spans="1:19" ht="15" hidden="1" customHeight="1" x14ac:dyDescent="0.25">
      <c r="A340" s="57" t="s">
        <v>7327</v>
      </c>
      <c r="B340" s="57" t="s">
        <v>11</v>
      </c>
      <c r="C340" s="57" t="s">
        <v>7393</v>
      </c>
      <c r="D340" s="57"/>
      <c r="E340" s="57"/>
      <c r="F340" s="57" t="s">
        <v>7391</v>
      </c>
      <c r="G340" s="57">
        <v>2432</v>
      </c>
      <c r="H340" s="57">
        <v>150</v>
      </c>
      <c r="I340" s="57" t="s">
        <v>1454</v>
      </c>
      <c r="J340" s="58" t="s">
        <v>1454</v>
      </c>
      <c r="K340" s="57" t="s">
        <v>654</v>
      </c>
      <c r="L340" s="57"/>
      <c r="M340" s="4"/>
      <c r="N340" s="4"/>
      <c r="P340" s="347"/>
      <c r="Q340" s="347"/>
      <c r="S340" s="129"/>
    </row>
    <row r="341" spans="1:19" ht="15" hidden="1" customHeight="1" x14ac:dyDescent="0.25">
      <c r="A341" s="61" t="s">
        <v>7327</v>
      </c>
      <c r="B341" s="61" t="s">
        <v>34</v>
      </c>
      <c r="C341" s="61" t="s">
        <v>7388</v>
      </c>
      <c r="D341" s="61"/>
      <c r="E341" s="61"/>
      <c r="F341" s="61" t="s">
        <v>7386</v>
      </c>
      <c r="G341" s="61">
        <v>2431</v>
      </c>
      <c r="H341" s="61">
        <v>30</v>
      </c>
      <c r="I341" s="61" t="s">
        <v>1454</v>
      </c>
      <c r="J341" s="62" t="s">
        <v>1454</v>
      </c>
      <c r="K341" s="61" t="s">
        <v>654</v>
      </c>
      <c r="L341" s="61"/>
      <c r="M341" s="4"/>
      <c r="N341" s="4"/>
      <c r="P341" s="347"/>
      <c r="Q341" s="347"/>
      <c r="S341" s="129"/>
    </row>
    <row r="342" spans="1:19" ht="15" hidden="1" customHeight="1" x14ac:dyDescent="0.25">
      <c r="A342" s="9" t="s">
        <v>7327</v>
      </c>
      <c r="B342" s="9" t="s">
        <v>6092</v>
      </c>
      <c r="C342" s="9" t="s">
        <v>7394</v>
      </c>
      <c r="D342" s="9"/>
      <c r="E342" s="9"/>
      <c r="F342" s="9" t="s">
        <v>7392</v>
      </c>
      <c r="G342" s="9">
        <v>2433</v>
      </c>
      <c r="H342" s="9">
        <v>1</v>
      </c>
      <c r="I342" s="9" t="s">
        <v>1454</v>
      </c>
      <c r="J342" s="37" t="s">
        <v>1454</v>
      </c>
      <c r="K342" s="9" t="s">
        <v>654</v>
      </c>
      <c r="L342" s="9"/>
      <c r="M342" s="4"/>
      <c r="N342" s="4"/>
      <c r="P342" s="347"/>
      <c r="Q342" s="347"/>
      <c r="R342" s="183"/>
      <c r="S342" s="129"/>
    </row>
    <row r="343" spans="1:19" ht="15" hidden="1" customHeight="1" x14ac:dyDescent="0.3">
      <c r="A343" s="9" t="s">
        <v>7327</v>
      </c>
      <c r="B343" s="325" t="s">
        <v>249</v>
      </c>
      <c r="C343" s="325" t="s">
        <v>1507</v>
      </c>
      <c r="D343" s="325"/>
      <c r="E343" s="325"/>
      <c r="F343" s="325" t="s">
        <v>7549</v>
      </c>
      <c r="G343" s="325">
        <v>2483</v>
      </c>
      <c r="H343" s="325">
        <v>1</v>
      </c>
      <c r="I343" s="9" t="s">
        <v>1454</v>
      </c>
      <c r="J343" s="37" t="s">
        <v>1454</v>
      </c>
      <c r="K343" s="9" t="s">
        <v>654</v>
      </c>
      <c r="L343" s="325"/>
      <c r="M343" s="4"/>
      <c r="N343" s="4"/>
      <c r="P343" s="334"/>
      <c r="Q343" s="334"/>
      <c r="R343" s="183"/>
      <c r="S343" s="129"/>
    </row>
    <row r="344" spans="1:19" ht="15" hidden="1" customHeight="1" x14ac:dyDescent="0.25">
      <c r="A344" s="20" t="s">
        <v>5538</v>
      </c>
      <c r="B344" s="20" t="s">
        <v>597</v>
      </c>
      <c r="C344" s="20" t="s">
        <v>3759</v>
      </c>
      <c r="D344" s="20" t="s">
        <v>3123</v>
      </c>
      <c r="E344" s="20" t="s">
        <v>3122</v>
      </c>
      <c r="F344" s="20" t="s">
        <v>3124</v>
      </c>
      <c r="G344" s="20">
        <v>203</v>
      </c>
      <c r="H344" s="20">
        <v>2</v>
      </c>
      <c r="I344" s="20">
        <v>9198</v>
      </c>
      <c r="J344" s="36">
        <v>29355</v>
      </c>
      <c r="K344" s="20" t="s">
        <v>522</v>
      </c>
      <c r="L344" s="20" t="s">
        <v>1974</v>
      </c>
      <c r="M344" s="4"/>
      <c r="N344" s="4"/>
      <c r="P344" s="347">
        <v>53</v>
      </c>
      <c r="Q344" s="348">
        <f>P344*100%/(1000)</f>
        <v>5.2999999999999999E-2</v>
      </c>
      <c r="R344" s="183"/>
      <c r="S344" s="129"/>
    </row>
    <row r="345" spans="1:19" ht="15" hidden="1" customHeight="1" x14ac:dyDescent="0.25">
      <c r="A345" s="61" t="s">
        <v>5538</v>
      </c>
      <c r="B345" s="61" t="s">
        <v>34</v>
      </c>
      <c r="C345" s="61" t="s">
        <v>3760</v>
      </c>
      <c r="D345" s="61" t="s">
        <v>3125</v>
      </c>
      <c r="E345" s="61" t="s">
        <v>3126</v>
      </c>
      <c r="F345" s="61" t="s">
        <v>3127</v>
      </c>
      <c r="G345" s="61">
        <v>204</v>
      </c>
      <c r="H345" s="61">
        <v>50</v>
      </c>
      <c r="I345" s="61">
        <v>9198</v>
      </c>
      <c r="J345" s="62">
        <v>29355</v>
      </c>
      <c r="K345" s="61" t="s">
        <v>429</v>
      </c>
      <c r="L345" s="61" t="s">
        <v>1974</v>
      </c>
      <c r="M345" s="4"/>
      <c r="N345" s="4"/>
      <c r="P345" s="347"/>
      <c r="Q345" s="347"/>
      <c r="S345" s="129"/>
    </row>
    <row r="346" spans="1:19" ht="15" hidden="1" customHeight="1" x14ac:dyDescent="0.25">
      <c r="A346" s="9" t="s">
        <v>5538</v>
      </c>
      <c r="B346" s="9" t="s">
        <v>249</v>
      </c>
      <c r="C346" s="9" t="s">
        <v>3761</v>
      </c>
      <c r="D346" s="9" t="s">
        <v>3128</v>
      </c>
      <c r="E346" s="9" t="s">
        <v>3129</v>
      </c>
      <c r="F346" s="9" t="s">
        <v>3130</v>
      </c>
      <c r="G346" s="9">
        <v>205</v>
      </c>
      <c r="H346" s="9">
        <v>1</v>
      </c>
      <c r="I346" s="9">
        <v>9198</v>
      </c>
      <c r="J346" s="37">
        <v>29355</v>
      </c>
      <c r="K346" s="9" t="s">
        <v>429</v>
      </c>
      <c r="L346" s="9" t="s">
        <v>1974</v>
      </c>
      <c r="M346" s="4"/>
      <c r="N346" s="4"/>
      <c r="P346" s="347"/>
      <c r="Q346" s="347"/>
      <c r="R346" s="183"/>
      <c r="S346" s="260"/>
    </row>
    <row r="347" spans="1:19" ht="15" hidden="1" customHeight="1" x14ac:dyDescent="0.25">
      <c r="A347" s="20" t="s">
        <v>5539</v>
      </c>
      <c r="B347" s="20" t="s">
        <v>597</v>
      </c>
      <c r="C347" s="20" t="s">
        <v>1290</v>
      </c>
      <c r="D347" s="20" t="s">
        <v>1182</v>
      </c>
      <c r="E347" s="20" t="s">
        <v>1183</v>
      </c>
      <c r="F347" s="20" t="s">
        <v>1184</v>
      </c>
      <c r="G347" s="20">
        <v>1553</v>
      </c>
      <c r="H347" s="20">
        <v>20</v>
      </c>
      <c r="I347" s="20">
        <v>64716</v>
      </c>
      <c r="J347" s="36">
        <v>65242</v>
      </c>
      <c r="K347" s="20" t="s">
        <v>435</v>
      </c>
      <c r="L347" s="20" t="s">
        <v>1974</v>
      </c>
      <c r="M347" s="4"/>
      <c r="N347" s="4"/>
      <c r="P347" s="347">
        <v>580</v>
      </c>
      <c r="Q347" s="348">
        <f>P347*100%/(1000)</f>
        <v>0.57999999999999996</v>
      </c>
      <c r="S347" s="129"/>
    </row>
    <row r="348" spans="1:19" ht="15" hidden="1" customHeight="1" x14ac:dyDescent="0.25">
      <c r="A348" s="61" t="s">
        <v>5539</v>
      </c>
      <c r="B348" s="61" t="s">
        <v>34</v>
      </c>
      <c r="C348" s="61" t="s">
        <v>800</v>
      </c>
      <c r="D348" s="61" t="s">
        <v>239</v>
      </c>
      <c r="E348" s="61" t="s">
        <v>237</v>
      </c>
      <c r="F348" s="61" t="s">
        <v>238</v>
      </c>
      <c r="G348" s="61">
        <v>955</v>
      </c>
      <c r="H348" s="61">
        <v>529</v>
      </c>
      <c r="I348" s="61">
        <v>64716</v>
      </c>
      <c r="J348" s="62">
        <v>65242</v>
      </c>
      <c r="K348" s="61" t="s">
        <v>435</v>
      </c>
      <c r="L348" s="61" t="s">
        <v>1974</v>
      </c>
      <c r="M348" s="4"/>
      <c r="N348" s="4"/>
      <c r="P348" s="347"/>
      <c r="Q348" s="347"/>
      <c r="S348" s="129"/>
    </row>
    <row r="349" spans="1:19" ht="15" hidden="1" customHeight="1" x14ac:dyDescent="0.25">
      <c r="A349" s="46" t="s">
        <v>5539</v>
      </c>
      <c r="B349" s="46" t="s">
        <v>1014</v>
      </c>
      <c r="C349" s="46" t="s">
        <v>1825</v>
      </c>
      <c r="D349" s="46" t="s">
        <v>1816</v>
      </c>
      <c r="E349" s="46" t="s">
        <v>1817</v>
      </c>
      <c r="F349" s="46" t="s">
        <v>1818</v>
      </c>
      <c r="G349" s="46">
        <v>1572</v>
      </c>
      <c r="H349" s="46">
        <v>20</v>
      </c>
      <c r="I349" s="46">
        <v>64716</v>
      </c>
      <c r="J349" s="47">
        <v>65242</v>
      </c>
      <c r="K349" s="46" t="s">
        <v>428</v>
      </c>
      <c r="L349" s="46" t="s">
        <v>1974</v>
      </c>
      <c r="M349" s="4"/>
      <c r="N349" s="4"/>
      <c r="P349" s="347"/>
      <c r="Q349" s="347"/>
      <c r="R349" s="183"/>
      <c r="S349" s="260"/>
    </row>
    <row r="350" spans="1:19" ht="15" hidden="1" customHeight="1" x14ac:dyDescent="0.25">
      <c r="A350" s="154" t="s">
        <v>5539</v>
      </c>
      <c r="B350" s="154" t="s">
        <v>3781</v>
      </c>
      <c r="C350" s="154" t="s">
        <v>6053</v>
      </c>
      <c r="D350" s="154" t="s">
        <v>5156</v>
      </c>
      <c r="E350" s="154" t="s">
        <v>5157</v>
      </c>
      <c r="F350" s="154" t="s">
        <v>5158</v>
      </c>
      <c r="G350" s="154">
        <v>2381</v>
      </c>
      <c r="H350" s="154">
        <v>10</v>
      </c>
      <c r="I350" s="154">
        <v>9198</v>
      </c>
      <c r="J350" s="155">
        <v>65242</v>
      </c>
      <c r="K350" s="154" t="s">
        <v>433</v>
      </c>
      <c r="L350" s="154" t="s">
        <v>1974</v>
      </c>
      <c r="M350" s="4"/>
      <c r="N350" s="4"/>
      <c r="P350" s="347"/>
      <c r="Q350" s="347"/>
      <c r="R350" s="183"/>
      <c r="S350" s="129"/>
    </row>
    <row r="351" spans="1:19" ht="15" hidden="1" customHeight="1" x14ac:dyDescent="0.25">
      <c r="A351" s="9" t="s">
        <v>5539</v>
      </c>
      <c r="B351" s="9" t="s">
        <v>249</v>
      </c>
      <c r="C351" s="9" t="s">
        <v>4317</v>
      </c>
      <c r="D351" s="9" t="s">
        <v>4090</v>
      </c>
      <c r="E351" s="9" t="s">
        <v>4091</v>
      </c>
      <c r="F351" s="9" t="s">
        <v>4092</v>
      </c>
      <c r="G351" s="9">
        <v>1574</v>
      </c>
      <c r="H351" s="9">
        <v>1</v>
      </c>
      <c r="I351" s="9">
        <v>64716</v>
      </c>
      <c r="J351" s="37">
        <v>65242</v>
      </c>
      <c r="K351" s="9" t="s">
        <v>435</v>
      </c>
      <c r="L351" s="9" t="s">
        <v>1974</v>
      </c>
      <c r="M351" s="4"/>
      <c r="N351" s="4"/>
      <c r="P351" s="347"/>
      <c r="Q351" s="347"/>
      <c r="R351" s="183"/>
      <c r="S351" s="129"/>
    </row>
    <row r="352" spans="1:19" ht="15" hidden="1" customHeight="1" x14ac:dyDescent="0.3">
      <c r="A352" s="57" t="s">
        <v>5539</v>
      </c>
      <c r="B352" s="57" t="s">
        <v>11</v>
      </c>
      <c r="C352" s="57" t="s">
        <v>7442</v>
      </c>
      <c r="D352" s="57" t="s">
        <v>7408</v>
      </c>
      <c r="E352" s="57" t="s">
        <v>7409</v>
      </c>
      <c r="F352" s="57" t="s">
        <v>7410</v>
      </c>
      <c r="G352" s="57">
        <v>2656</v>
      </c>
      <c r="H352" s="57">
        <v>50</v>
      </c>
      <c r="I352" s="57">
        <v>64716</v>
      </c>
      <c r="J352" s="57">
        <v>65242</v>
      </c>
      <c r="K352" s="57" t="s">
        <v>433</v>
      </c>
      <c r="L352" s="57" t="s">
        <v>1974</v>
      </c>
      <c r="M352" s="4"/>
      <c r="N352" s="4"/>
      <c r="P352" s="323"/>
      <c r="Q352" s="323"/>
      <c r="R352" s="183"/>
      <c r="S352" s="129"/>
    </row>
    <row r="353" spans="1:21" ht="15" hidden="1" customHeight="1" x14ac:dyDescent="0.25">
      <c r="A353" s="61" t="s">
        <v>5540</v>
      </c>
      <c r="B353" s="61" t="s">
        <v>34</v>
      </c>
      <c r="C353" s="61" t="s">
        <v>4380</v>
      </c>
      <c r="D353" s="61" t="s">
        <v>4243</v>
      </c>
      <c r="E353" s="61" t="s">
        <v>4244</v>
      </c>
      <c r="F353" s="61" t="s">
        <v>4245</v>
      </c>
      <c r="G353" s="61">
        <v>970</v>
      </c>
      <c r="H353" s="61">
        <v>50</v>
      </c>
      <c r="I353" s="61">
        <v>9198</v>
      </c>
      <c r="J353" s="62">
        <v>29355</v>
      </c>
      <c r="K353" s="61" t="s">
        <v>429</v>
      </c>
      <c r="L353" s="61" t="s">
        <v>1974</v>
      </c>
      <c r="M353" s="4"/>
      <c r="N353" s="4"/>
      <c r="P353" s="347">
        <v>51</v>
      </c>
      <c r="Q353" s="348">
        <f>P353*100%/(1000)</f>
        <v>5.0999999999999997E-2</v>
      </c>
      <c r="R353" s="183"/>
      <c r="S353" s="129"/>
    </row>
    <row r="354" spans="1:21" ht="15" hidden="1" customHeight="1" x14ac:dyDescent="0.25">
      <c r="A354" s="142" t="s">
        <v>5540</v>
      </c>
      <c r="B354" s="142" t="s">
        <v>249</v>
      </c>
      <c r="C354" s="142" t="s">
        <v>4381</v>
      </c>
      <c r="D354" s="142" t="s">
        <v>4246</v>
      </c>
      <c r="E354" s="142" t="s">
        <v>4247</v>
      </c>
      <c r="F354" s="142" t="s">
        <v>4248</v>
      </c>
      <c r="G354" s="142">
        <v>972</v>
      </c>
      <c r="H354" s="142">
        <v>1</v>
      </c>
      <c r="I354" s="142">
        <v>9198</v>
      </c>
      <c r="J354" s="37">
        <v>29355</v>
      </c>
      <c r="K354" s="142" t="s">
        <v>429</v>
      </c>
      <c r="L354" s="142" t="s">
        <v>1974</v>
      </c>
      <c r="M354" s="4"/>
      <c r="N354" s="4"/>
      <c r="P354" s="347"/>
      <c r="Q354" s="347"/>
      <c r="R354" s="183"/>
      <c r="S354" s="129"/>
    </row>
    <row r="355" spans="1:21" ht="15" hidden="1" customHeight="1" x14ac:dyDescent="0.35">
      <c r="A355" s="46" t="s">
        <v>6225</v>
      </c>
      <c r="B355" s="46" t="s">
        <v>1109</v>
      </c>
      <c r="C355" s="46" t="s">
        <v>1507</v>
      </c>
      <c r="D355" s="46"/>
      <c r="E355" s="46"/>
      <c r="F355" s="46"/>
      <c r="G355" s="46">
        <v>2318</v>
      </c>
      <c r="H355" s="46">
        <v>20</v>
      </c>
      <c r="I355" s="46" t="s">
        <v>1454</v>
      </c>
      <c r="J355" s="47" t="s">
        <v>1454</v>
      </c>
      <c r="K355" s="46" t="s">
        <v>654</v>
      </c>
      <c r="L355" s="46" t="s">
        <v>1975</v>
      </c>
      <c r="M355" s="4"/>
      <c r="N355" s="4"/>
      <c r="P355">
        <v>20</v>
      </c>
      <c r="Q355" s="303">
        <f>P355*100%/(2000)</f>
        <v>0.01</v>
      </c>
      <c r="R355" s="145"/>
    </row>
    <row r="356" spans="1:21" ht="15" hidden="1" customHeight="1" x14ac:dyDescent="0.25">
      <c r="A356" s="20" t="s">
        <v>4914</v>
      </c>
      <c r="B356" s="20" t="s">
        <v>597</v>
      </c>
      <c r="C356" s="20" t="s">
        <v>3105</v>
      </c>
      <c r="D356" s="20" t="s">
        <v>3058</v>
      </c>
      <c r="E356" s="20" t="s">
        <v>3059</v>
      </c>
      <c r="F356" s="20" t="s">
        <v>3060</v>
      </c>
      <c r="G356" s="20">
        <v>2333</v>
      </c>
      <c r="H356" s="20">
        <v>30</v>
      </c>
      <c r="I356" s="20">
        <v>9198</v>
      </c>
      <c r="J356" s="36">
        <v>29355</v>
      </c>
      <c r="K356" s="20" t="s">
        <v>654</v>
      </c>
      <c r="L356" s="20" t="s">
        <v>1975</v>
      </c>
      <c r="M356" s="4"/>
      <c r="N356" s="4"/>
      <c r="P356" s="347">
        <v>1623</v>
      </c>
      <c r="Q356" s="348">
        <f>P356*100%/(2000)</f>
        <v>0.8115</v>
      </c>
      <c r="R356" s="146" t="s">
        <v>2924</v>
      </c>
      <c r="S356" s="129" t="s">
        <v>2908</v>
      </c>
    </row>
    <row r="357" spans="1:21" ht="15" hidden="1" customHeight="1" x14ac:dyDescent="0.25">
      <c r="A357" s="57" t="s">
        <v>4914</v>
      </c>
      <c r="B357" s="57" t="s">
        <v>11</v>
      </c>
      <c r="C357" s="57" t="s">
        <v>1947</v>
      </c>
      <c r="D357" s="57" t="s">
        <v>1910</v>
      </c>
      <c r="E357" s="57" t="s">
        <v>1911</v>
      </c>
      <c r="F357" s="57" t="s">
        <v>1912</v>
      </c>
      <c r="G357" s="57">
        <v>2553</v>
      </c>
      <c r="H357" s="57">
        <v>900</v>
      </c>
      <c r="I357" s="57">
        <v>9198</v>
      </c>
      <c r="J357" s="58">
        <v>29355</v>
      </c>
      <c r="K357" s="57" t="s">
        <v>654</v>
      </c>
      <c r="L357" s="57" t="s">
        <v>1975</v>
      </c>
      <c r="M357" s="4"/>
      <c r="N357" s="4"/>
      <c r="P357" s="347"/>
      <c r="Q357" s="347"/>
      <c r="R357" s="146" t="s">
        <v>3691</v>
      </c>
    </row>
    <row r="358" spans="1:21" ht="15" hidden="1" customHeight="1" x14ac:dyDescent="0.25">
      <c r="A358" s="61" t="s">
        <v>4914</v>
      </c>
      <c r="B358" s="61" t="s">
        <v>34</v>
      </c>
      <c r="C358" s="61" t="s">
        <v>1519</v>
      </c>
      <c r="D358" s="61" t="s">
        <v>1110</v>
      </c>
      <c r="E358" s="61" t="s">
        <v>1111</v>
      </c>
      <c r="F358" s="61" t="s">
        <v>1112</v>
      </c>
      <c r="G358" s="61">
        <v>2201</v>
      </c>
      <c r="H358" s="61">
        <v>667</v>
      </c>
      <c r="I358" s="61">
        <v>9198</v>
      </c>
      <c r="J358" s="62">
        <v>29355</v>
      </c>
      <c r="K358" s="61" t="s">
        <v>654</v>
      </c>
      <c r="L358" s="61" t="s">
        <v>1975</v>
      </c>
      <c r="M358" s="4"/>
      <c r="N358" s="4"/>
      <c r="P358" s="347"/>
      <c r="Q358" s="347"/>
      <c r="R358" s="146" t="s">
        <v>4107</v>
      </c>
      <c r="S358" s="129"/>
      <c r="U358" s="189" t="s">
        <v>4638</v>
      </c>
    </row>
    <row r="359" spans="1:21" ht="15" hidden="1" customHeight="1" x14ac:dyDescent="0.25">
      <c r="A359" s="9" t="s">
        <v>4914</v>
      </c>
      <c r="B359" s="9" t="s">
        <v>249</v>
      </c>
      <c r="C359" s="9" t="s">
        <v>1948</v>
      </c>
      <c r="D359" s="9" t="s">
        <v>1907</v>
      </c>
      <c r="E359" s="9" t="s">
        <v>1908</v>
      </c>
      <c r="F359" s="9" t="s">
        <v>1909</v>
      </c>
      <c r="G359" s="9">
        <v>2332</v>
      </c>
      <c r="H359" s="9">
        <v>5</v>
      </c>
      <c r="I359" s="9">
        <v>9198</v>
      </c>
      <c r="J359" s="37">
        <v>29355</v>
      </c>
      <c r="K359" s="9" t="s">
        <v>654</v>
      </c>
      <c r="L359" s="9" t="s">
        <v>1975</v>
      </c>
      <c r="M359" s="4"/>
      <c r="N359" s="4"/>
      <c r="P359" s="347"/>
      <c r="Q359" s="347"/>
      <c r="R359" s="146" t="s">
        <v>4336</v>
      </c>
      <c r="S359" s="129"/>
    </row>
    <row r="360" spans="1:21" ht="15" hidden="1" customHeight="1" x14ac:dyDescent="0.25">
      <c r="A360" s="154" t="s">
        <v>4914</v>
      </c>
      <c r="B360" s="154" t="s">
        <v>3781</v>
      </c>
      <c r="C360" s="154" t="s">
        <v>4019</v>
      </c>
      <c r="D360" s="154" t="s">
        <v>3803</v>
      </c>
      <c r="E360" s="154" t="s">
        <v>3804</v>
      </c>
      <c r="F360" s="154" t="s">
        <v>3805</v>
      </c>
      <c r="G360" s="154">
        <v>2345</v>
      </c>
      <c r="H360" s="154">
        <v>1</v>
      </c>
      <c r="I360" s="154">
        <v>9198</v>
      </c>
      <c r="J360" s="155">
        <v>29355</v>
      </c>
      <c r="K360" s="154" t="s">
        <v>654</v>
      </c>
      <c r="L360" s="154" t="s">
        <v>1975</v>
      </c>
      <c r="M360" s="4"/>
      <c r="N360" s="4"/>
      <c r="P360" s="347"/>
      <c r="Q360" s="347"/>
      <c r="R360" s="146" t="s">
        <v>4895</v>
      </c>
      <c r="S360" s="146" t="s">
        <v>6061</v>
      </c>
    </row>
    <row r="361" spans="1:21" ht="15" hidden="1" customHeight="1" x14ac:dyDescent="0.25">
      <c r="A361" s="46" t="s">
        <v>4914</v>
      </c>
      <c r="B361" s="46" t="s">
        <v>1109</v>
      </c>
      <c r="C361" s="46" t="s">
        <v>5090</v>
      </c>
      <c r="D361" s="46" t="s">
        <v>4918</v>
      </c>
      <c r="E361" s="46" t="s">
        <v>4919</v>
      </c>
      <c r="F361" s="46" t="s">
        <v>4920</v>
      </c>
      <c r="G361" s="46">
        <v>2335</v>
      </c>
      <c r="H361" s="46">
        <v>20</v>
      </c>
      <c r="I361" s="46">
        <v>9198</v>
      </c>
      <c r="J361" s="47">
        <v>29355</v>
      </c>
      <c r="K361" s="46" t="s">
        <v>654</v>
      </c>
      <c r="L361" s="46" t="s">
        <v>1975</v>
      </c>
      <c r="M361" s="4"/>
      <c r="N361" s="4"/>
      <c r="P361" s="347"/>
      <c r="Q361" s="347"/>
      <c r="R361" s="146" t="s">
        <v>6295</v>
      </c>
    </row>
    <row r="362" spans="1:21" ht="15" hidden="1" customHeight="1" x14ac:dyDescent="0.25">
      <c r="A362" s="149" t="s">
        <v>6601</v>
      </c>
      <c r="B362" s="149" t="s">
        <v>6223</v>
      </c>
      <c r="C362" s="149" t="s">
        <v>6602</v>
      </c>
      <c r="D362" s="149"/>
      <c r="E362" s="149"/>
      <c r="F362" s="149"/>
      <c r="G362" s="149">
        <v>2374</v>
      </c>
      <c r="H362" s="149">
        <v>1</v>
      </c>
      <c r="I362" s="149"/>
      <c r="J362" s="47"/>
      <c r="K362" s="149" t="s">
        <v>654</v>
      </c>
      <c r="L362" s="149" t="s">
        <v>1975</v>
      </c>
      <c r="M362" s="4"/>
      <c r="N362" s="4"/>
      <c r="P362" s="347">
        <v>21</v>
      </c>
      <c r="Q362" s="348">
        <f>P362*100%/(2000)</f>
        <v>1.0500000000000001E-2</v>
      </c>
      <c r="R362" s="146"/>
    </row>
    <row r="363" spans="1:21" ht="15" hidden="1" customHeight="1" x14ac:dyDescent="0.25">
      <c r="A363" s="149" t="s">
        <v>6601</v>
      </c>
      <c r="B363" s="149" t="s">
        <v>6604</v>
      </c>
      <c r="C363" s="149" t="s">
        <v>6603</v>
      </c>
      <c r="D363" s="149"/>
      <c r="E363" s="149"/>
      <c r="F363" s="149"/>
      <c r="G363" s="149">
        <v>2318</v>
      </c>
      <c r="H363" s="149">
        <v>20</v>
      </c>
      <c r="I363" s="149"/>
      <c r="J363" s="47"/>
      <c r="K363" s="149" t="s">
        <v>654</v>
      </c>
      <c r="L363" s="149" t="s">
        <v>1975</v>
      </c>
      <c r="M363" s="4"/>
      <c r="N363" s="4"/>
      <c r="P363" s="347"/>
      <c r="Q363" s="347"/>
      <c r="R363" s="146"/>
    </row>
    <row r="364" spans="1:21" ht="15" hidden="1" customHeight="1" x14ac:dyDescent="0.35">
      <c r="A364" s="57" t="s">
        <v>5536</v>
      </c>
      <c r="B364" s="57" t="s">
        <v>11</v>
      </c>
      <c r="C364" s="57" t="s">
        <v>7433</v>
      </c>
      <c r="D364" s="57" t="s">
        <v>7186</v>
      </c>
      <c r="E364" s="57" t="s">
        <v>7187</v>
      </c>
      <c r="F364" s="57" t="s">
        <v>7188</v>
      </c>
      <c r="G364" s="57">
        <v>309</v>
      </c>
      <c r="H364" s="57">
        <v>300</v>
      </c>
      <c r="I364" s="57">
        <v>9198</v>
      </c>
      <c r="J364" s="57">
        <v>29355</v>
      </c>
      <c r="K364" s="57" t="s">
        <v>440</v>
      </c>
      <c r="L364" s="57" t="s">
        <v>1974</v>
      </c>
      <c r="M364" s="4"/>
      <c r="N364" s="4"/>
      <c r="P364">
        <v>300</v>
      </c>
      <c r="Q364" s="303">
        <f>P364*100%/(1000)</f>
        <v>0.3</v>
      </c>
      <c r="R364" s="146"/>
    </row>
    <row r="365" spans="1:21" ht="15" hidden="1" customHeight="1" x14ac:dyDescent="0.25">
      <c r="A365" s="20" t="s">
        <v>5541</v>
      </c>
      <c r="B365" s="20" t="s">
        <v>597</v>
      </c>
      <c r="C365" s="20" t="s">
        <v>1390</v>
      </c>
      <c r="D365" s="20" t="s">
        <v>1220</v>
      </c>
      <c r="E365" s="20" t="s">
        <v>1221</v>
      </c>
      <c r="F365" s="20" t="s">
        <v>1222</v>
      </c>
      <c r="G365" s="20">
        <v>238</v>
      </c>
      <c r="H365" s="20">
        <v>17</v>
      </c>
      <c r="I365" s="20">
        <v>9198</v>
      </c>
      <c r="J365" s="36">
        <v>65001</v>
      </c>
      <c r="K365" s="20" t="s">
        <v>440</v>
      </c>
      <c r="L365" s="20" t="s">
        <v>1974</v>
      </c>
      <c r="M365" s="4"/>
      <c r="N365" s="4"/>
      <c r="P365" s="347">
        <v>901</v>
      </c>
      <c r="Q365" s="348">
        <f>P365*100%/(1000)</f>
        <v>0.90100000000000002</v>
      </c>
      <c r="R365" s="146" t="s">
        <v>4895</v>
      </c>
      <c r="S365" s="129"/>
    </row>
    <row r="366" spans="1:21" ht="15" hidden="1" customHeight="1" x14ac:dyDescent="0.25">
      <c r="A366" s="57" t="s">
        <v>5541</v>
      </c>
      <c r="B366" s="57" t="s">
        <v>11</v>
      </c>
      <c r="C366" s="57" t="s">
        <v>1814</v>
      </c>
      <c r="D366" s="57" t="s">
        <v>1803</v>
      </c>
      <c r="E366" s="57" t="s">
        <v>1804</v>
      </c>
      <c r="F366" s="57" t="s">
        <v>1805</v>
      </c>
      <c r="G366" s="57">
        <v>274</v>
      </c>
      <c r="H366" s="57">
        <v>468</v>
      </c>
      <c r="I366" s="57">
        <v>9198</v>
      </c>
      <c r="J366" s="58">
        <v>65001</v>
      </c>
      <c r="K366" s="57" t="s">
        <v>1417</v>
      </c>
      <c r="L366" s="57" t="s">
        <v>1974</v>
      </c>
      <c r="M366" s="4"/>
      <c r="N366" s="4"/>
      <c r="P366" s="347"/>
      <c r="Q366" s="347"/>
      <c r="R366" s="146" t="s">
        <v>6060</v>
      </c>
      <c r="S366" s="129"/>
    </row>
    <row r="367" spans="1:21" ht="15" hidden="1" customHeight="1" x14ac:dyDescent="0.25">
      <c r="A367" s="61" t="s">
        <v>5541</v>
      </c>
      <c r="B367" s="61" t="s">
        <v>34</v>
      </c>
      <c r="C367" s="61" t="s">
        <v>801</v>
      </c>
      <c r="D367" s="61" t="s">
        <v>477</v>
      </c>
      <c r="E367" s="61" t="s">
        <v>478</v>
      </c>
      <c r="F367" s="61" t="s">
        <v>1570</v>
      </c>
      <c r="G367" s="61">
        <v>205</v>
      </c>
      <c r="H367" s="61">
        <v>410</v>
      </c>
      <c r="I367" s="61">
        <v>9198</v>
      </c>
      <c r="J367" s="62">
        <v>65001</v>
      </c>
      <c r="K367" s="61" t="s">
        <v>440</v>
      </c>
      <c r="L367" s="61" t="s">
        <v>1974</v>
      </c>
      <c r="M367" s="4"/>
      <c r="N367" s="4"/>
      <c r="P367" s="347"/>
      <c r="Q367" s="347"/>
      <c r="R367" s="262" t="s">
        <v>6221</v>
      </c>
      <c r="S367" s="129"/>
    </row>
    <row r="368" spans="1:21" ht="15" hidden="1" customHeight="1" x14ac:dyDescent="0.25">
      <c r="A368" s="9" t="s">
        <v>5541</v>
      </c>
      <c r="B368" s="9" t="s">
        <v>249</v>
      </c>
      <c r="C368" s="9" t="s">
        <v>1815</v>
      </c>
      <c r="D368" s="9" t="s">
        <v>1800</v>
      </c>
      <c r="E368" s="9" t="s">
        <v>1801</v>
      </c>
      <c r="F368" s="9" t="s">
        <v>1802</v>
      </c>
      <c r="G368" s="9">
        <v>275</v>
      </c>
      <c r="H368" s="9">
        <v>5</v>
      </c>
      <c r="I368" s="9">
        <v>9198</v>
      </c>
      <c r="J368" s="37">
        <v>65001</v>
      </c>
      <c r="K368" s="9" t="s">
        <v>440</v>
      </c>
      <c r="L368" s="9" t="s">
        <v>1974</v>
      </c>
      <c r="M368" s="4"/>
      <c r="N368" s="4"/>
      <c r="P368" s="347"/>
      <c r="Q368" s="347"/>
      <c r="S368" s="129"/>
    </row>
    <row r="369" spans="1:23" ht="15" hidden="1" customHeight="1" x14ac:dyDescent="0.25">
      <c r="A369" s="154" t="s">
        <v>5541</v>
      </c>
      <c r="B369" s="154" t="s">
        <v>3781</v>
      </c>
      <c r="C369" s="154" t="s">
        <v>4292</v>
      </c>
      <c r="D369" s="154" t="s">
        <v>4081</v>
      </c>
      <c r="E369" s="154" t="s">
        <v>4082</v>
      </c>
      <c r="F369" s="154" t="s">
        <v>4083</v>
      </c>
      <c r="G369" s="154">
        <v>856</v>
      </c>
      <c r="H369" s="154">
        <v>1</v>
      </c>
      <c r="I369" s="154">
        <v>9198</v>
      </c>
      <c r="J369" s="155">
        <v>65001</v>
      </c>
      <c r="K369" s="154" t="s">
        <v>654</v>
      </c>
      <c r="L369" s="154" t="s">
        <v>1974</v>
      </c>
      <c r="M369" s="4"/>
      <c r="N369" s="4"/>
      <c r="P369" s="347"/>
      <c r="Q369" s="347"/>
      <c r="S369" s="129"/>
    </row>
    <row r="370" spans="1:23" ht="15" hidden="1" customHeight="1" x14ac:dyDescent="0.25">
      <c r="A370" s="20" t="s">
        <v>5542</v>
      </c>
      <c r="B370" s="20" t="s">
        <v>597</v>
      </c>
      <c r="C370" s="20" t="s">
        <v>4447</v>
      </c>
      <c r="D370" s="20" t="s">
        <v>4072</v>
      </c>
      <c r="E370" s="20" t="s">
        <v>4073</v>
      </c>
      <c r="F370" s="20" t="s">
        <v>4074</v>
      </c>
      <c r="G370" s="20">
        <v>500</v>
      </c>
      <c r="H370" s="20">
        <v>4</v>
      </c>
      <c r="I370" s="20">
        <v>9198</v>
      </c>
      <c r="J370" s="36">
        <v>29355</v>
      </c>
      <c r="K370" s="20" t="s">
        <v>1116</v>
      </c>
      <c r="L370" s="20" t="s">
        <v>1974</v>
      </c>
      <c r="M370" s="4"/>
      <c r="N370" s="4"/>
      <c r="P370" s="347">
        <v>5</v>
      </c>
      <c r="Q370" s="348">
        <f>P370*100%/(1000)</f>
        <v>5.0000000000000001E-3</v>
      </c>
      <c r="S370" s="129"/>
    </row>
    <row r="371" spans="1:23" ht="15" hidden="1" customHeight="1" x14ac:dyDescent="0.25">
      <c r="A371" s="9" t="s">
        <v>5542</v>
      </c>
      <c r="B371" s="9" t="s">
        <v>249</v>
      </c>
      <c r="C371" s="9" t="s">
        <v>4531</v>
      </c>
      <c r="D371" s="9" t="s">
        <v>4473</v>
      </c>
      <c r="E371" s="9" t="s">
        <v>4474</v>
      </c>
      <c r="F371" s="9" t="s">
        <v>4475</v>
      </c>
      <c r="G371" s="9">
        <v>2130</v>
      </c>
      <c r="H371" s="9">
        <v>1</v>
      </c>
      <c r="I371" s="9">
        <v>9198</v>
      </c>
      <c r="J371" s="37">
        <v>29355</v>
      </c>
      <c r="K371" s="9" t="s">
        <v>1116</v>
      </c>
      <c r="L371" s="9" t="s">
        <v>1974</v>
      </c>
      <c r="M371" s="4"/>
      <c r="N371" s="4"/>
      <c r="P371" s="347"/>
      <c r="Q371" s="347"/>
      <c r="S371" s="129"/>
    </row>
    <row r="372" spans="1:23" ht="15" hidden="1" customHeight="1" x14ac:dyDescent="0.25">
      <c r="A372" s="20" t="s">
        <v>5543</v>
      </c>
      <c r="B372" s="20" t="s">
        <v>597</v>
      </c>
      <c r="C372" s="20" t="s">
        <v>1613</v>
      </c>
      <c r="D372" s="20" t="s">
        <v>1490</v>
      </c>
      <c r="E372" s="20" t="s">
        <v>1491</v>
      </c>
      <c r="F372" s="20" t="s">
        <v>1492</v>
      </c>
      <c r="G372" s="20">
        <v>2169</v>
      </c>
      <c r="H372" s="20">
        <v>25</v>
      </c>
      <c r="I372" s="20">
        <v>9198</v>
      </c>
      <c r="J372" s="36">
        <v>29355</v>
      </c>
      <c r="K372" s="20" t="s">
        <v>654</v>
      </c>
      <c r="L372" s="20" t="s">
        <v>1975</v>
      </c>
      <c r="M372" s="4"/>
      <c r="N372" s="4"/>
      <c r="P372" s="347">
        <v>1406</v>
      </c>
      <c r="Q372" s="348">
        <f>P372*100%/(2000)</f>
        <v>0.70299999999999996</v>
      </c>
      <c r="R372" s="145" t="s">
        <v>2924</v>
      </c>
      <c r="S372" s="129" t="s">
        <v>2908</v>
      </c>
    </row>
    <row r="373" spans="1:23" ht="15" hidden="1" customHeight="1" x14ac:dyDescent="0.25">
      <c r="A373" s="57" t="s">
        <v>5543</v>
      </c>
      <c r="B373" s="57" t="s">
        <v>11</v>
      </c>
      <c r="C373" s="57" t="s">
        <v>1941</v>
      </c>
      <c r="D373" s="57" t="s">
        <v>1905</v>
      </c>
      <c r="E373" s="57" t="s">
        <v>1906</v>
      </c>
      <c r="F373" s="57" t="s">
        <v>1940</v>
      </c>
      <c r="G373" s="57">
        <v>2170</v>
      </c>
      <c r="H373" s="57">
        <v>917</v>
      </c>
      <c r="I373" s="57">
        <v>9198</v>
      </c>
      <c r="J373" s="58">
        <v>29355</v>
      </c>
      <c r="K373" s="57" t="s">
        <v>654</v>
      </c>
      <c r="L373" s="57" t="s">
        <v>1975</v>
      </c>
      <c r="M373" s="4"/>
      <c r="N373" s="4"/>
      <c r="P373" s="347"/>
      <c r="Q373" s="347"/>
      <c r="R373" s="146" t="s">
        <v>3691</v>
      </c>
      <c r="S373" s="129"/>
    </row>
    <row r="374" spans="1:23" ht="15" hidden="1" customHeight="1" x14ac:dyDescent="0.25">
      <c r="A374" s="61" t="s">
        <v>5543</v>
      </c>
      <c r="B374" s="61" t="s">
        <v>34</v>
      </c>
      <c r="C374" s="61" t="s">
        <v>1612</v>
      </c>
      <c r="D374" s="61" t="s">
        <v>1487</v>
      </c>
      <c r="E374" s="61" t="s">
        <v>1488</v>
      </c>
      <c r="F374" s="61" t="s">
        <v>1489</v>
      </c>
      <c r="G374" s="61">
        <v>2167</v>
      </c>
      <c r="H374" s="61">
        <v>459</v>
      </c>
      <c r="I374" s="61">
        <v>9198</v>
      </c>
      <c r="J374" s="62">
        <v>29355</v>
      </c>
      <c r="K374" s="61" t="s">
        <v>654</v>
      </c>
      <c r="L374" s="61" t="s">
        <v>1975</v>
      </c>
      <c r="M374" s="4"/>
      <c r="N374" s="4"/>
      <c r="P374" s="347"/>
      <c r="Q374" s="347"/>
      <c r="R374" s="146" t="s">
        <v>4107</v>
      </c>
      <c r="S374" s="129"/>
      <c r="W374" s="3" t="s">
        <v>4526</v>
      </c>
    </row>
    <row r="375" spans="1:23" ht="15" hidden="1" customHeight="1" x14ac:dyDescent="0.25">
      <c r="A375" s="9" t="s">
        <v>5543</v>
      </c>
      <c r="B375" s="9" t="s">
        <v>249</v>
      </c>
      <c r="C375" s="9" t="s">
        <v>1942</v>
      </c>
      <c r="D375" s="9" t="s">
        <v>1902</v>
      </c>
      <c r="E375" s="9" t="s">
        <v>1903</v>
      </c>
      <c r="F375" s="9" t="s">
        <v>1904</v>
      </c>
      <c r="G375" s="9">
        <v>2168</v>
      </c>
      <c r="H375" s="9">
        <v>5</v>
      </c>
      <c r="I375" s="9">
        <v>9198</v>
      </c>
      <c r="J375" s="37">
        <v>29355</v>
      </c>
      <c r="K375" s="9" t="s">
        <v>654</v>
      </c>
      <c r="L375" s="9" t="s">
        <v>1975</v>
      </c>
      <c r="M375" s="4"/>
      <c r="N375" s="4"/>
      <c r="O375" s="4"/>
      <c r="P375" s="347"/>
      <c r="Q375" s="347"/>
      <c r="R375" s="208" t="s">
        <v>4789</v>
      </c>
      <c r="S375" s="129"/>
      <c r="V375" s="3"/>
    </row>
    <row r="376" spans="1:23" ht="15" hidden="1" customHeight="1" x14ac:dyDescent="0.25">
      <c r="A376" s="20" t="s">
        <v>5544</v>
      </c>
      <c r="B376" s="20" t="s">
        <v>597</v>
      </c>
      <c r="C376" s="20" t="s">
        <v>802</v>
      </c>
      <c r="D376" s="20" t="s">
        <v>571</v>
      </c>
      <c r="E376" s="20" t="s">
        <v>572</v>
      </c>
      <c r="F376" s="20" t="s">
        <v>573</v>
      </c>
      <c r="G376" s="20">
        <v>1948</v>
      </c>
      <c r="H376" s="20">
        <v>15</v>
      </c>
      <c r="I376" s="20">
        <v>9198</v>
      </c>
      <c r="J376" s="36">
        <v>65021</v>
      </c>
      <c r="K376" s="20" t="s">
        <v>574</v>
      </c>
      <c r="L376" s="20" t="s">
        <v>1974</v>
      </c>
      <c r="M376" s="4"/>
      <c r="N376" s="4"/>
      <c r="P376" s="347">
        <v>69</v>
      </c>
      <c r="Q376" s="348">
        <f>P376*100%/(1000)</f>
        <v>6.9000000000000006E-2</v>
      </c>
      <c r="S376" s="129"/>
    </row>
    <row r="377" spans="1:23" ht="15" hidden="1" customHeight="1" x14ac:dyDescent="0.25">
      <c r="A377" s="61" t="s">
        <v>5544</v>
      </c>
      <c r="B377" s="61" t="s">
        <v>34</v>
      </c>
      <c r="C377" s="61" t="s">
        <v>803</v>
      </c>
      <c r="D377" s="61" t="s">
        <v>568</v>
      </c>
      <c r="E377" s="61" t="s">
        <v>569</v>
      </c>
      <c r="F377" s="61" t="s">
        <v>570</v>
      </c>
      <c r="G377" s="61">
        <v>1947</v>
      </c>
      <c r="H377" s="61">
        <v>52</v>
      </c>
      <c r="I377" s="61">
        <v>9198</v>
      </c>
      <c r="J377" s="62">
        <v>65021</v>
      </c>
      <c r="K377" s="61" t="s">
        <v>574</v>
      </c>
      <c r="L377" s="61" t="s">
        <v>1974</v>
      </c>
      <c r="M377" s="4"/>
      <c r="N377" s="4"/>
      <c r="P377" s="347"/>
      <c r="Q377" s="347"/>
      <c r="S377" s="129"/>
    </row>
    <row r="378" spans="1:23" ht="15" hidden="1" customHeight="1" x14ac:dyDescent="0.25">
      <c r="A378" s="9" t="s">
        <v>5544</v>
      </c>
      <c r="B378" s="9" t="s">
        <v>249</v>
      </c>
      <c r="C378" s="9" t="s">
        <v>6735</v>
      </c>
      <c r="D378" s="9" t="s">
        <v>6501</v>
      </c>
      <c r="E378" s="9" t="s">
        <v>6502</v>
      </c>
      <c r="F378" s="9" t="s">
        <v>6503</v>
      </c>
      <c r="G378" s="9">
        <v>3676</v>
      </c>
      <c r="H378" s="9">
        <v>1</v>
      </c>
      <c r="I378" s="9">
        <v>9198</v>
      </c>
      <c r="J378" s="37">
        <v>65021</v>
      </c>
      <c r="K378" s="9" t="s">
        <v>574</v>
      </c>
      <c r="L378" s="9" t="s">
        <v>1974</v>
      </c>
      <c r="M378" s="4"/>
      <c r="N378" s="4"/>
      <c r="P378" s="347"/>
      <c r="Q378" s="347"/>
      <c r="S378" s="129"/>
    </row>
    <row r="379" spans="1:23" ht="15" hidden="1" customHeight="1" x14ac:dyDescent="0.25">
      <c r="A379" s="154" t="s">
        <v>5544</v>
      </c>
      <c r="B379" s="154" t="s">
        <v>3781</v>
      </c>
      <c r="C379" s="154" t="s">
        <v>6497</v>
      </c>
      <c r="D379" s="154" t="s">
        <v>6314</v>
      </c>
      <c r="E379" s="154" t="s">
        <v>6315</v>
      </c>
      <c r="F379" s="154" t="s">
        <v>6316</v>
      </c>
      <c r="G379" s="154">
        <v>3675</v>
      </c>
      <c r="H379" s="154">
        <v>1</v>
      </c>
      <c r="I379" s="154">
        <v>9198</v>
      </c>
      <c r="J379" s="155">
        <v>65021</v>
      </c>
      <c r="K379" s="154" t="s">
        <v>574</v>
      </c>
      <c r="L379" s="154" t="s">
        <v>1974</v>
      </c>
      <c r="M379" s="4"/>
      <c r="N379" s="4"/>
      <c r="P379" s="347"/>
      <c r="Q379" s="347"/>
      <c r="S379" s="129"/>
    </row>
    <row r="380" spans="1:23" s="4" customFormat="1" ht="15" hidden="1" customHeight="1" x14ac:dyDescent="0.25">
      <c r="A380" s="20" t="s">
        <v>5545</v>
      </c>
      <c r="B380" s="20" t="s">
        <v>597</v>
      </c>
      <c r="C380" s="20" t="s">
        <v>3416</v>
      </c>
      <c r="D380" s="20" t="s">
        <v>3098</v>
      </c>
      <c r="E380" s="20" t="s">
        <v>3099</v>
      </c>
      <c r="F380" s="20" t="s">
        <v>3100</v>
      </c>
      <c r="G380" s="20">
        <v>1894</v>
      </c>
      <c r="H380" s="20">
        <v>4</v>
      </c>
      <c r="I380" s="20">
        <v>9198</v>
      </c>
      <c r="J380" s="36">
        <v>29355</v>
      </c>
      <c r="K380" s="20" t="s">
        <v>433</v>
      </c>
      <c r="L380" s="20" t="s">
        <v>1974</v>
      </c>
      <c r="O380" s="1"/>
      <c r="P380" s="347">
        <v>236</v>
      </c>
      <c r="Q380" s="348">
        <f>P380*100%/(1000)</f>
        <v>0.23599999999999999</v>
      </c>
      <c r="R380" s="3"/>
      <c r="S380" s="129"/>
    </row>
    <row r="381" spans="1:23" s="4" customFormat="1" ht="15" hidden="1" customHeight="1" x14ac:dyDescent="0.25">
      <c r="A381" s="57" t="s">
        <v>5545</v>
      </c>
      <c r="B381" s="57" t="s">
        <v>11</v>
      </c>
      <c r="C381" s="57" t="s">
        <v>6263</v>
      </c>
      <c r="D381" s="57" t="s">
        <v>6228</v>
      </c>
      <c r="E381" s="57" t="s">
        <v>6229</v>
      </c>
      <c r="F381" s="57" t="s">
        <v>6230</v>
      </c>
      <c r="G381" s="57">
        <v>2371</v>
      </c>
      <c r="H381" s="57">
        <v>144</v>
      </c>
      <c r="I381" s="57">
        <v>9198</v>
      </c>
      <c r="J381" s="58">
        <v>29355</v>
      </c>
      <c r="K381" s="57" t="s">
        <v>433</v>
      </c>
      <c r="L381" s="57" t="s">
        <v>1975</v>
      </c>
      <c r="O381" s="1"/>
      <c r="P381" s="347"/>
      <c r="Q381" s="347"/>
      <c r="R381" s="3"/>
      <c r="S381" s="129"/>
    </row>
    <row r="382" spans="1:23" ht="15" hidden="1" customHeight="1" x14ac:dyDescent="0.25">
      <c r="A382" s="61" t="s">
        <v>5545</v>
      </c>
      <c r="B382" s="61" t="s">
        <v>34</v>
      </c>
      <c r="C382" s="61" t="s">
        <v>3414</v>
      </c>
      <c r="D382" s="61" t="s">
        <v>3095</v>
      </c>
      <c r="E382" s="61" t="s">
        <v>3096</v>
      </c>
      <c r="F382" s="61" t="s">
        <v>3097</v>
      </c>
      <c r="G382" s="61">
        <v>1966</v>
      </c>
      <c r="H382" s="61">
        <v>86</v>
      </c>
      <c r="I382" s="61">
        <v>9198</v>
      </c>
      <c r="J382" s="62">
        <v>29355</v>
      </c>
      <c r="K382" s="61" t="s">
        <v>433</v>
      </c>
      <c r="L382" s="61" t="s">
        <v>1974</v>
      </c>
      <c r="M382" s="4"/>
      <c r="N382" s="4"/>
      <c r="P382" s="347"/>
      <c r="Q382" s="347"/>
      <c r="S382" s="129"/>
    </row>
    <row r="383" spans="1:23" ht="15" hidden="1" customHeight="1" x14ac:dyDescent="0.25">
      <c r="A383" s="9" t="s">
        <v>5545</v>
      </c>
      <c r="B383" s="9" t="s">
        <v>249</v>
      </c>
      <c r="C383" s="9" t="s">
        <v>3415</v>
      </c>
      <c r="D383" s="9" t="s">
        <v>3185</v>
      </c>
      <c r="E383" s="9" t="s">
        <v>3186</v>
      </c>
      <c r="F383" s="9" t="s">
        <v>3187</v>
      </c>
      <c r="G383" s="9">
        <v>1944</v>
      </c>
      <c r="H383" s="9">
        <v>1</v>
      </c>
      <c r="I383" s="9">
        <v>9198</v>
      </c>
      <c r="J383" s="37">
        <v>29355</v>
      </c>
      <c r="K383" s="9" t="s">
        <v>433</v>
      </c>
      <c r="L383" s="9" t="s">
        <v>1974</v>
      </c>
      <c r="M383" s="4"/>
      <c r="N383" s="4"/>
      <c r="P383" s="347"/>
      <c r="Q383" s="347"/>
      <c r="S383" s="129"/>
    </row>
    <row r="384" spans="1:23" ht="15" hidden="1" customHeight="1" x14ac:dyDescent="0.25">
      <c r="A384" s="154" t="s">
        <v>5545</v>
      </c>
      <c r="B384" s="154" t="s">
        <v>3781</v>
      </c>
      <c r="C384" s="154" t="s">
        <v>4052</v>
      </c>
      <c r="D384" s="154" t="s">
        <v>3791</v>
      </c>
      <c r="E384" s="154" t="s">
        <v>3792</v>
      </c>
      <c r="F384" s="154" t="s">
        <v>3793</v>
      </c>
      <c r="G384" s="154">
        <v>1897</v>
      </c>
      <c r="H384" s="154">
        <v>1</v>
      </c>
      <c r="I384" s="154">
        <v>9198</v>
      </c>
      <c r="J384" s="155">
        <v>29355</v>
      </c>
      <c r="K384" s="154" t="s">
        <v>433</v>
      </c>
      <c r="L384" s="154" t="s">
        <v>1974</v>
      </c>
      <c r="M384" s="4"/>
      <c r="N384" s="4"/>
      <c r="P384" s="347"/>
      <c r="Q384" s="347"/>
      <c r="S384" s="129"/>
    </row>
    <row r="385" spans="1:19" ht="15" hidden="1" customHeight="1" x14ac:dyDescent="0.25">
      <c r="A385" s="133" t="s">
        <v>6810</v>
      </c>
      <c r="B385" s="133" t="s">
        <v>597</v>
      </c>
      <c r="C385" s="133" t="s">
        <v>2227</v>
      </c>
      <c r="D385" s="133" t="s">
        <v>2132</v>
      </c>
      <c r="E385" s="133" t="s">
        <v>2133</v>
      </c>
      <c r="F385" s="133" t="s">
        <v>2134</v>
      </c>
      <c r="G385" s="133">
        <v>1927</v>
      </c>
      <c r="H385" s="133">
        <v>6</v>
      </c>
      <c r="I385" s="133">
        <v>9198</v>
      </c>
      <c r="J385" s="36">
        <v>65231</v>
      </c>
      <c r="K385" s="133" t="s">
        <v>428</v>
      </c>
      <c r="L385" s="133" t="s">
        <v>1974</v>
      </c>
      <c r="M385" s="4"/>
      <c r="N385" s="4"/>
      <c r="P385" s="347">
        <v>681</v>
      </c>
      <c r="Q385" s="348">
        <f>P385*100%/(1000)</f>
        <v>0.68100000000000005</v>
      </c>
      <c r="R385" s="146" t="s">
        <v>4332</v>
      </c>
      <c r="S385" s="129"/>
    </row>
    <row r="386" spans="1:19" ht="15" hidden="1" customHeight="1" x14ac:dyDescent="0.25">
      <c r="A386" s="57" t="s">
        <v>6810</v>
      </c>
      <c r="B386" s="57" t="s">
        <v>11</v>
      </c>
      <c r="C386" s="57" t="s">
        <v>2109</v>
      </c>
      <c r="D386" s="57" t="s">
        <v>2072</v>
      </c>
      <c r="E386" s="57" t="s">
        <v>2073</v>
      </c>
      <c r="F386" s="57" t="s">
        <v>2074</v>
      </c>
      <c r="G386" s="57">
        <v>1837</v>
      </c>
      <c r="H386" s="57">
        <v>500</v>
      </c>
      <c r="I386" s="57">
        <v>64728</v>
      </c>
      <c r="J386" s="58">
        <v>65231</v>
      </c>
      <c r="K386" s="57" t="s">
        <v>428</v>
      </c>
      <c r="L386" s="57" t="s">
        <v>1974</v>
      </c>
      <c r="M386" s="4"/>
      <c r="N386" s="4"/>
      <c r="P386" s="347"/>
      <c r="Q386" s="347"/>
      <c r="R386" s="146" t="s">
        <v>6060</v>
      </c>
      <c r="S386" s="129"/>
    </row>
    <row r="387" spans="1:19" ht="15" hidden="1" customHeight="1" x14ac:dyDescent="0.25">
      <c r="A387" s="61" t="s">
        <v>6810</v>
      </c>
      <c r="B387" s="61" t="s">
        <v>34</v>
      </c>
      <c r="C387" s="61" t="s">
        <v>1291</v>
      </c>
      <c r="D387" s="61" t="s">
        <v>1062</v>
      </c>
      <c r="E387" s="61" t="s">
        <v>1063</v>
      </c>
      <c r="F387" s="61" t="s">
        <v>1064</v>
      </c>
      <c r="G387" s="61">
        <v>633</v>
      </c>
      <c r="H387" s="61">
        <v>170</v>
      </c>
      <c r="I387" s="61">
        <v>64728</v>
      </c>
      <c r="J387" s="62">
        <v>65231</v>
      </c>
      <c r="K387" s="61" t="s">
        <v>428</v>
      </c>
      <c r="L387" s="61" t="s">
        <v>1974</v>
      </c>
      <c r="M387" s="4"/>
      <c r="N387" s="4"/>
      <c r="P387" s="347"/>
      <c r="Q387" s="347"/>
      <c r="R387" s="262" t="s">
        <v>6221</v>
      </c>
      <c r="S387" s="129"/>
    </row>
    <row r="388" spans="1:19" ht="15" hidden="1" customHeight="1" x14ac:dyDescent="0.25">
      <c r="A388" s="9" t="s">
        <v>6810</v>
      </c>
      <c r="B388" s="9" t="s">
        <v>249</v>
      </c>
      <c r="C388" s="9" t="s">
        <v>1292</v>
      </c>
      <c r="D388" s="9" t="s">
        <v>1065</v>
      </c>
      <c r="E388" s="9" t="s">
        <v>1066</v>
      </c>
      <c r="F388" s="9" t="s">
        <v>1067</v>
      </c>
      <c r="G388" s="9">
        <v>634</v>
      </c>
      <c r="H388" s="9">
        <v>5</v>
      </c>
      <c r="I388" s="9">
        <v>64728</v>
      </c>
      <c r="J388" s="37">
        <v>65231</v>
      </c>
      <c r="K388" s="9" t="s">
        <v>428</v>
      </c>
      <c r="L388" s="9" t="s">
        <v>1974</v>
      </c>
      <c r="M388" s="4"/>
      <c r="N388" s="4"/>
      <c r="P388" s="347"/>
      <c r="Q388" s="347"/>
      <c r="R388" s="183"/>
      <c r="S388" s="129"/>
    </row>
    <row r="389" spans="1:19" ht="15" hidden="1" customHeight="1" x14ac:dyDescent="0.25">
      <c r="A389" s="61" t="s">
        <v>5546</v>
      </c>
      <c r="B389" s="61" t="s">
        <v>34</v>
      </c>
      <c r="C389" s="61" t="s">
        <v>2899</v>
      </c>
      <c r="D389" s="61" t="s">
        <v>2766</v>
      </c>
      <c r="E389" s="61" t="s">
        <v>2767</v>
      </c>
      <c r="F389" s="61" t="s">
        <v>2768</v>
      </c>
      <c r="G389" s="61">
        <v>1474</v>
      </c>
      <c r="H389" s="61">
        <v>168</v>
      </c>
      <c r="I389" s="61">
        <v>9198</v>
      </c>
      <c r="J389" s="62">
        <v>29355</v>
      </c>
      <c r="K389" s="61" t="s">
        <v>436</v>
      </c>
      <c r="L389" s="61" t="s">
        <v>1974</v>
      </c>
      <c r="M389" s="4"/>
      <c r="N389" s="4"/>
      <c r="P389" s="347">
        <v>169</v>
      </c>
      <c r="Q389" s="348">
        <f>P389*100%/(1000)</f>
        <v>0.16900000000000001</v>
      </c>
      <c r="S389" s="129"/>
    </row>
    <row r="390" spans="1:19" ht="15" hidden="1" customHeight="1" x14ac:dyDescent="0.25">
      <c r="A390" s="9" t="s">
        <v>5546</v>
      </c>
      <c r="B390" s="9" t="s">
        <v>249</v>
      </c>
      <c r="C390" s="9" t="s">
        <v>2900</v>
      </c>
      <c r="D390" s="9" t="s">
        <v>2769</v>
      </c>
      <c r="E390" s="9" t="s">
        <v>2770</v>
      </c>
      <c r="F390" s="9" t="s">
        <v>2771</v>
      </c>
      <c r="G390" s="9">
        <v>1475</v>
      </c>
      <c r="H390" s="9">
        <v>1</v>
      </c>
      <c r="I390" s="9">
        <v>9198</v>
      </c>
      <c r="J390" s="37">
        <v>29355</v>
      </c>
      <c r="K390" s="9" t="s">
        <v>436</v>
      </c>
      <c r="L390" s="9" t="s">
        <v>1974</v>
      </c>
      <c r="M390" s="4"/>
      <c r="N390" s="4"/>
      <c r="P390" s="347"/>
      <c r="Q390" s="347"/>
      <c r="S390" s="129"/>
    </row>
    <row r="391" spans="1:19" ht="15" hidden="1" customHeight="1" x14ac:dyDescent="0.35">
      <c r="A391" s="61" t="s">
        <v>5547</v>
      </c>
      <c r="B391" s="61" t="s">
        <v>34</v>
      </c>
      <c r="C391" s="61" t="s">
        <v>1507</v>
      </c>
      <c r="D391" s="61" t="s">
        <v>4266</v>
      </c>
      <c r="E391" s="61" t="s">
        <v>4267</v>
      </c>
      <c r="F391" s="61" t="s">
        <v>4268</v>
      </c>
      <c r="G391" s="61"/>
      <c r="H391" s="61">
        <v>50</v>
      </c>
      <c r="I391" s="61"/>
      <c r="J391" s="62">
        <v>29355</v>
      </c>
      <c r="K391" s="61" t="s">
        <v>654</v>
      </c>
      <c r="L391" s="61" t="s">
        <v>1974</v>
      </c>
      <c r="M391" s="4"/>
      <c r="N391" s="4"/>
      <c r="P391">
        <v>50</v>
      </c>
      <c r="Q391" s="303">
        <f>P391*100%/(1000)</f>
        <v>0.05</v>
      </c>
      <c r="S391" s="129"/>
    </row>
    <row r="392" spans="1:19" ht="15" hidden="1" customHeight="1" x14ac:dyDescent="0.25">
      <c r="A392" s="20" t="s">
        <v>5548</v>
      </c>
      <c r="B392" s="20" t="s">
        <v>597</v>
      </c>
      <c r="C392" s="20" t="s">
        <v>3356</v>
      </c>
      <c r="D392" s="20" t="s">
        <v>3287</v>
      </c>
      <c r="E392" s="20" t="s">
        <v>3288</v>
      </c>
      <c r="F392" s="20" t="s">
        <v>3289</v>
      </c>
      <c r="G392" s="20">
        <v>300</v>
      </c>
      <c r="H392" s="20">
        <v>4</v>
      </c>
      <c r="I392" s="20">
        <v>9198</v>
      </c>
      <c r="J392" s="36">
        <v>29355</v>
      </c>
      <c r="K392" s="20" t="s">
        <v>1417</v>
      </c>
      <c r="L392" s="20" t="s">
        <v>1974</v>
      </c>
      <c r="M392" s="4"/>
      <c r="N392" s="4"/>
      <c r="P392" s="347">
        <v>296</v>
      </c>
      <c r="Q392" s="348">
        <f>P392*100%/(1000)</f>
        <v>0.29599999999999999</v>
      </c>
      <c r="R392" s="183"/>
      <c r="S392" s="129"/>
    </row>
    <row r="393" spans="1:19" ht="15" hidden="1" customHeight="1" x14ac:dyDescent="0.25">
      <c r="A393" s="61" t="s">
        <v>5548</v>
      </c>
      <c r="B393" s="61" t="s">
        <v>34</v>
      </c>
      <c r="C393" s="61" t="s">
        <v>3357</v>
      </c>
      <c r="D393" s="61" t="s">
        <v>3290</v>
      </c>
      <c r="E393" s="61" t="s">
        <v>3291</v>
      </c>
      <c r="F393" s="61" t="s">
        <v>3292</v>
      </c>
      <c r="G393" s="61">
        <v>301</v>
      </c>
      <c r="H393" s="61">
        <v>90</v>
      </c>
      <c r="I393" s="61">
        <v>9198</v>
      </c>
      <c r="J393" s="62">
        <v>29355</v>
      </c>
      <c r="K393" s="61" t="s">
        <v>1417</v>
      </c>
      <c r="L393" s="61" t="s">
        <v>1974</v>
      </c>
      <c r="M393" s="4"/>
      <c r="N393" s="4"/>
      <c r="P393" s="347"/>
      <c r="Q393" s="347"/>
      <c r="S393" s="129"/>
    </row>
    <row r="394" spans="1:19" ht="15" hidden="1" customHeight="1" x14ac:dyDescent="0.25">
      <c r="A394" s="9" t="s">
        <v>5548</v>
      </c>
      <c r="B394" s="9" t="s">
        <v>249</v>
      </c>
      <c r="C394" s="9" t="s">
        <v>5231</v>
      </c>
      <c r="D394" s="9" t="s">
        <v>5034</v>
      </c>
      <c r="E394" s="9" t="s">
        <v>5035</v>
      </c>
      <c r="F394" s="9" t="s">
        <v>5036</v>
      </c>
      <c r="G394" s="9">
        <v>302</v>
      </c>
      <c r="H394" s="9">
        <v>1</v>
      </c>
      <c r="I394" s="9">
        <v>9198</v>
      </c>
      <c r="J394" s="37">
        <v>29355</v>
      </c>
      <c r="K394" s="9" t="s">
        <v>1417</v>
      </c>
      <c r="L394" s="9" t="s">
        <v>1974</v>
      </c>
      <c r="M394" s="4"/>
      <c r="N394" s="4"/>
      <c r="P394" s="347"/>
      <c r="Q394" s="347"/>
      <c r="S394" s="129"/>
    </row>
    <row r="395" spans="1:19" ht="15" hidden="1" customHeight="1" x14ac:dyDescent="0.25">
      <c r="A395" s="57" t="s">
        <v>5548</v>
      </c>
      <c r="B395" s="57" t="s">
        <v>11</v>
      </c>
      <c r="C395" s="57" t="s">
        <v>7414</v>
      </c>
      <c r="D395" s="57" t="s">
        <v>7130</v>
      </c>
      <c r="E395" s="57" t="s">
        <v>7131</v>
      </c>
      <c r="F395" s="57" t="s">
        <v>7132</v>
      </c>
      <c r="G395" s="57">
        <v>2483</v>
      </c>
      <c r="H395" s="57">
        <v>200</v>
      </c>
      <c r="I395" s="57">
        <v>9198</v>
      </c>
      <c r="J395" s="58">
        <v>29355</v>
      </c>
      <c r="K395" s="57" t="s">
        <v>1417</v>
      </c>
      <c r="L395" s="57" t="s">
        <v>1974</v>
      </c>
      <c r="M395" s="4"/>
      <c r="N395" s="4"/>
      <c r="P395" s="347"/>
      <c r="Q395" s="347"/>
      <c r="R395" s="183"/>
      <c r="S395" s="129"/>
    </row>
    <row r="396" spans="1:19" ht="15" hidden="1" customHeight="1" x14ac:dyDescent="0.25">
      <c r="A396" s="154" t="s">
        <v>5548</v>
      </c>
      <c r="B396" s="154" t="s">
        <v>3781</v>
      </c>
      <c r="C396" s="154" t="s">
        <v>5232</v>
      </c>
      <c r="D396" s="154" t="s">
        <v>5037</v>
      </c>
      <c r="E396" s="154" t="s">
        <v>5038</v>
      </c>
      <c r="F396" s="154" t="s">
        <v>5039</v>
      </c>
      <c r="G396" s="154">
        <v>303</v>
      </c>
      <c r="H396" s="154">
        <v>1</v>
      </c>
      <c r="I396" s="154">
        <v>9198</v>
      </c>
      <c r="J396" s="155">
        <v>29355</v>
      </c>
      <c r="K396" s="154" t="s">
        <v>1417</v>
      </c>
      <c r="L396" s="154" t="s">
        <v>1974</v>
      </c>
      <c r="M396" s="4"/>
      <c r="N396" s="4"/>
      <c r="P396" s="347"/>
      <c r="Q396" s="347"/>
      <c r="S396" s="129"/>
    </row>
    <row r="397" spans="1:19" ht="15" hidden="1" customHeight="1" x14ac:dyDescent="0.25">
      <c r="A397" s="20" t="s">
        <v>5549</v>
      </c>
      <c r="B397" s="20" t="s">
        <v>597</v>
      </c>
      <c r="C397" s="20" t="s">
        <v>1520</v>
      </c>
      <c r="D397" s="20" t="s">
        <v>1208</v>
      </c>
      <c r="E397" s="20" t="s">
        <v>1209</v>
      </c>
      <c r="F397" s="20" t="s">
        <v>1210</v>
      </c>
      <c r="G397" s="20">
        <v>305</v>
      </c>
      <c r="H397" s="20">
        <v>6</v>
      </c>
      <c r="I397" s="20">
        <v>9198</v>
      </c>
      <c r="J397" s="36">
        <v>29355</v>
      </c>
      <c r="K397" s="20" t="s">
        <v>434</v>
      </c>
      <c r="L397" s="20" t="s">
        <v>1974</v>
      </c>
      <c r="M397" s="4"/>
      <c r="N397" s="4"/>
      <c r="P397" s="347">
        <v>407</v>
      </c>
      <c r="Q397" s="348">
        <f>P397*100%/(1000)</f>
        <v>0.40699999999999997</v>
      </c>
      <c r="S397" s="129"/>
    </row>
    <row r="398" spans="1:19" ht="15" hidden="1" customHeight="1" x14ac:dyDescent="0.25">
      <c r="A398" s="57" t="s">
        <v>5549</v>
      </c>
      <c r="B398" s="57" t="s">
        <v>11</v>
      </c>
      <c r="C398" s="57" t="s">
        <v>2661</v>
      </c>
      <c r="D398" s="57" t="s">
        <v>2539</v>
      </c>
      <c r="E398" s="57" t="s">
        <v>2540</v>
      </c>
      <c r="F398" s="57" t="s">
        <v>2541</v>
      </c>
      <c r="G398" s="57">
        <v>1530</v>
      </c>
      <c r="H398" s="57">
        <v>250</v>
      </c>
      <c r="I398" s="57">
        <v>9198</v>
      </c>
      <c r="J398" s="58">
        <v>29355</v>
      </c>
      <c r="K398" s="57" t="s">
        <v>574</v>
      </c>
      <c r="L398" s="57" t="s">
        <v>1974</v>
      </c>
      <c r="M398" s="4"/>
      <c r="N398" s="4"/>
      <c r="P398" s="347"/>
      <c r="Q398" s="347"/>
      <c r="R398" s="183"/>
      <c r="S398" s="129"/>
    </row>
    <row r="399" spans="1:19" ht="15" hidden="1" customHeight="1" x14ac:dyDescent="0.25">
      <c r="A399" s="61" t="s">
        <v>5549</v>
      </c>
      <c r="B399" s="61" t="s">
        <v>34</v>
      </c>
      <c r="C399" s="61" t="s">
        <v>1406</v>
      </c>
      <c r="D399" s="61" t="s">
        <v>1408</v>
      </c>
      <c r="E399" s="61" t="s">
        <v>1409</v>
      </c>
      <c r="F399" s="61" t="s">
        <v>1410</v>
      </c>
      <c r="G399" s="61">
        <v>1429</v>
      </c>
      <c r="H399" s="61">
        <v>120</v>
      </c>
      <c r="I399" s="61">
        <v>9198</v>
      </c>
      <c r="J399" s="62">
        <v>29355</v>
      </c>
      <c r="K399" s="61" t="s">
        <v>434</v>
      </c>
      <c r="L399" s="61" t="s">
        <v>1974</v>
      </c>
      <c r="M399" s="4"/>
      <c r="N399" s="4"/>
      <c r="P399" s="347"/>
      <c r="Q399" s="347"/>
      <c r="R399" s="183"/>
      <c r="S399" s="129"/>
    </row>
    <row r="400" spans="1:19" ht="15" hidden="1" customHeight="1" x14ac:dyDescent="0.25">
      <c r="A400" s="9" t="s">
        <v>5549</v>
      </c>
      <c r="B400" s="9" t="s">
        <v>249</v>
      </c>
      <c r="C400" s="9" t="s">
        <v>1407</v>
      </c>
      <c r="D400" s="9" t="s">
        <v>1411</v>
      </c>
      <c r="E400" s="9" t="s">
        <v>1413</v>
      </c>
      <c r="F400" s="9" t="s">
        <v>1412</v>
      </c>
      <c r="G400" s="9">
        <v>1430</v>
      </c>
      <c r="H400" s="9">
        <v>1</v>
      </c>
      <c r="I400" s="9">
        <v>9198</v>
      </c>
      <c r="J400" s="37">
        <v>29355</v>
      </c>
      <c r="K400" s="9" t="s">
        <v>434</v>
      </c>
      <c r="L400" s="9" t="s">
        <v>1974</v>
      </c>
      <c r="M400" s="4"/>
      <c r="N400" s="4"/>
      <c r="P400" s="347"/>
      <c r="Q400" s="347"/>
      <c r="R400" s="183"/>
      <c r="S400" s="129"/>
    </row>
    <row r="401" spans="1:19" ht="15" hidden="1" customHeight="1" x14ac:dyDescent="0.25">
      <c r="A401" s="57" t="s">
        <v>5550</v>
      </c>
      <c r="B401" s="57" t="s">
        <v>11</v>
      </c>
      <c r="C401" s="57" t="s">
        <v>2416</v>
      </c>
      <c r="D401" s="57" t="s">
        <v>2411</v>
      </c>
      <c r="E401" s="57" t="s">
        <v>2412</v>
      </c>
      <c r="F401" s="57" t="s">
        <v>2413</v>
      </c>
      <c r="G401" s="57">
        <v>1007</v>
      </c>
      <c r="H401" s="57">
        <v>300</v>
      </c>
      <c r="I401" s="57">
        <v>9198</v>
      </c>
      <c r="J401" s="58">
        <v>29355</v>
      </c>
      <c r="K401" s="57" t="s">
        <v>433</v>
      </c>
      <c r="L401" s="57" t="s">
        <v>1974</v>
      </c>
      <c r="M401" s="4"/>
      <c r="N401" s="4"/>
      <c r="O401" s="4"/>
      <c r="P401" s="347">
        <v>869</v>
      </c>
      <c r="Q401" s="348">
        <f>P401*100%/(1000)</f>
        <v>0.86899999999999999</v>
      </c>
      <c r="R401" s="146" t="s">
        <v>4895</v>
      </c>
      <c r="S401" s="129"/>
    </row>
    <row r="402" spans="1:19" ht="15" hidden="1" customHeight="1" x14ac:dyDescent="0.25">
      <c r="A402" s="61" t="s">
        <v>5550</v>
      </c>
      <c r="B402" s="61" t="s">
        <v>34</v>
      </c>
      <c r="C402" s="61" t="s">
        <v>1337</v>
      </c>
      <c r="D402" s="61" t="s">
        <v>1311</v>
      </c>
      <c r="E402" s="61" t="s">
        <v>1313</v>
      </c>
      <c r="F402" s="61" t="s">
        <v>1314</v>
      </c>
      <c r="G402" s="61">
        <v>1008</v>
      </c>
      <c r="H402" s="61">
        <v>568</v>
      </c>
      <c r="I402" s="61">
        <v>9198</v>
      </c>
      <c r="J402" s="62">
        <v>29355</v>
      </c>
      <c r="K402" s="61" t="s">
        <v>433</v>
      </c>
      <c r="L402" s="61" t="s">
        <v>1974</v>
      </c>
      <c r="M402" s="4"/>
      <c r="N402" s="4"/>
      <c r="P402" s="347"/>
      <c r="Q402" s="347"/>
      <c r="R402" s="146" t="s">
        <v>6060</v>
      </c>
      <c r="S402" s="129"/>
    </row>
    <row r="403" spans="1:19" ht="15" hidden="1" customHeight="1" x14ac:dyDescent="0.25">
      <c r="A403" s="9" t="s">
        <v>5550</v>
      </c>
      <c r="B403" s="9" t="s">
        <v>249</v>
      </c>
      <c r="C403" s="9" t="s">
        <v>1338</v>
      </c>
      <c r="D403" s="9" t="s">
        <v>1312</v>
      </c>
      <c r="E403" s="9" t="s">
        <v>1315</v>
      </c>
      <c r="F403" s="9" t="s">
        <v>1316</v>
      </c>
      <c r="G403" s="9">
        <v>1009</v>
      </c>
      <c r="H403" s="9">
        <v>1</v>
      </c>
      <c r="I403" s="9">
        <v>9198</v>
      </c>
      <c r="J403" s="37">
        <v>29355</v>
      </c>
      <c r="K403" s="9" t="s">
        <v>433</v>
      </c>
      <c r="L403" s="9" t="s">
        <v>1974</v>
      </c>
      <c r="M403" s="4"/>
      <c r="N403" s="4"/>
      <c r="O403" s="4"/>
      <c r="P403" s="347"/>
      <c r="Q403" s="347"/>
      <c r="R403" s="262" t="s">
        <v>6221</v>
      </c>
      <c r="S403" s="129"/>
    </row>
    <row r="404" spans="1:19" ht="15" hidden="1" customHeight="1" x14ac:dyDescent="0.25">
      <c r="A404" s="61" t="s">
        <v>5551</v>
      </c>
      <c r="B404" s="61" t="s">
        <v>34</v>
      </c>
      <c r="C404" s="61" t="s">
        <v>1826</v>
      </c>
      <c r="D404" s="61" t="s">
        <v>1792</v>
      </c>
      <c r="E404" s="61" t="s">
        <v>1793</v>
      </c>
      <c r="F404" s="61" t="s">
        <v>1794</v>
      </c>
      <c r="G404" s="61">
        <v>1813</v>
      </c>
      <c r="H404" s="61">
        <v>130</v>
      </c>
      <c r="I404" s="61">
        <v>9198</v>
      </c>
      <c r="J404" s="62">
        <v>29355</v>
      </c>
      <c r="K404" s="61" t="s">
        <v>1458</v>
      </c>
      <c r="L404" s="61" t="s">
        <v>1974</v>
      </c>
      <c r="M404" s="4"/>
      <c r="N404" s="4"/>
      <c r="P404" s="347">
        <v>281</v>
      </c>
      <c r="Q404" s="348">
        <f>P404*100%/(1000)</f>
        <v>0.28100000000000003</v>
      </c>
      <c r="R404" s="146" t="s">
        <v>3693</v>
      </c>
      <c r="S404" s="146" t="s">
        <v>4107</v>
      </c>
    </row>
    <row r="405" spans="1:19" ht="14.25" hidden="1" customHeight="1" x14ac:dyDescent="0.25">
      <c r="A405" s="9" t="s">
        <v>5551</v>
      </c>
      <c r="B405" s="9" t="s">
        <v>249</v>
      </c>
      <c r="C405" s="9" t="s">
        <v>1827</v>
      </c>
      <c r="D405" s="9" t="s">
        <v>1795</v>
      </c>
      <c r="E405" s="9" t="s">
        <v>1796</v>
      </c>
      <c r="F405" s="9" t="s">
        <v>1797</v>
      </c>
      <c r="G405" s="9">
        <v>1814</v>
      </c>
      <c r="H405" s="9">
        <v>1</v>
      </c>
      <c r="I405" s="9">
        <v>9198</v>
      </c>
      <c r="J405" s="37">
        <v>29355</v>
      </c>
      <c r="K405" s="9" t="s">
        <v>1458</v>
      </c>
      <c r="L405" s="9" t="s">
        <v>1974</v>
      </c>
      <c r="M405" s="4"/>
      <c r="N405" s="4"/>
      <c r="P405" s="347"/>
      <c r="Q405" s="347"/>
      <c r="R405" s="146" t="s">
        <v>4108</v>
      </c>
      <c r="S405" s="146" t="s">
        <v>4331</v>
      </c>
    </row>
    <row r="406" spans="1:19" ht="14.25" hidden="1" customHeight="1" x14ac:dyDescent="0.25">
      <c r="A406" s="57" t="s">
        <v>5551</v>
      </c>
      <c r="B406" s="57" t="s">
        <v>11</v>
      </c>
      <c r="C406" s="57" t="s">
        <v>6122</v>
      </c>
      <c r="D406" s="57" t="s">
        <v>5467</v>
      </c>
      <c r="E406" s="57" t="s">
        <v>5468</v>
      </c>
      <c r="F406" s="57" t="s">
        <v>5469</v>
      </c>
      <c r="G406" s="57">
        <v>1815</v>
      </c>
      <c r="H406" s="57">
        <v>150</v>
      </c>
      <c r="I406" s="57">
        <v>9198</v>
      </c>
      <c r="J406" s="58">
        <v>29355</v>
      </c>
      <c r="K406" s="57" t="s">
        <v>1458</v>
      </c>
      <c r="L406" s="57" t="s">
        <v>1974</v>
      </c>
      <c r="M406" s="4"/>
      <c r="N406" s="4"/>
      <c r="P406" s="347"/>
      <c r="Q406" s="347"/>
      <c r="R406" s="146" t="s">
        <v>6060</v>
      </c>
      <c r="S406" s="145"/>
    </row>
    <row r="407" spans="1:19" s="4" customFormat="1" ht="15" hidden="1" customHeight="1" x14ac:dyDescent="0.25">
      <c r="A407" s="20" t="s">
        <v>5552</v>
      </c>
      <c r="B407" s="20" t="s">
        <v>597</v>
      </c>
      <c r="C407" s="20" t="s">
        <v>1831</v>
      </c>
      <c r="D407" s="20" t="s">
        <v>1663</v>
      </c>
      <c r="E407" s="20" t="s">
        <v>1664</v>
      </c>
      <c r="F407" s="20" t="s">
        <v>1665</v>
      </c>
      <c r="G407" s="20">
        <v>433</v>
      </c>
      <c r="H407" s="20">
        <v>12</v>
      </c>
      <c r="I407" s="20">
        <v>9198</v>
      </c>
      <c r="J407" s="36">
        <v>29355</v>
      </c>
      <c r="K407" s="20" t="s">
        <v>574</v>
      </c>
      <c r="L407" s="20" t="s">
        <v>1974</v>
      </c>
      <c r="O407" s="1"/>
      <c r="P407" s="347">
        <v>13</v>
      </c>
      <c r="Q407" s="348">
        <f>P407*100%/(1000)</f>
        <v>1.2999999999999999E-2</v>
      </c>
      <c r="R407" s="183"/>
      <c r="S407" s="129"/>
    </row>
    <row r="408" spans="1:19" s="4" customFormat="1" ht="15" hidden="1" customHeight="1" x14ac:dyDescent="0.25">
      <c r="A408" s="9" t="s">
        <v>5552</v>
      </c>
      <c r="B408" s="9" t="s">
        <v>249</v>
      </c>
      <c r="C408" s="9" t="s">
        <v>1507</v>
      </c>
      <c r="D408" s="9" t="s">
        <v>1666</v>
      </c>
      <c r="E408" s="9" t="s">
        <v>1667</v>
      </c>
      <c r="F408" s="9" t="s">
        <v>1668</v>
      </c>
      <c r="G408" s="9"/>
      <c r="H408" s="9">
        <v>1</v>
      </c>
      <c r="I408" s="9">
        <v>9198</v>
      </c>
      <c r="J408" s="37">
        <v>29355</v>
      </c>
      <c r="K408" s="9" t="s">
        <v>574</v>
      </c>
      <c r="L408" s="9" t="s">
        <v>1974</v>
      </c>
      <c r="O408" s="1"/>
      <c r="P408" s="347"/>
      <c r="Q408" s="347"/>
      <c r="R408" s="183"/>
      <c r="S408" s="129"/>
    </row>
    <row r="409" spans="1:19" ht="15" hidden="1" customHeight="1" x14ac:dyDescent="0.25">
      <c r="A409" s="20" t="s">
        <v>5553</v>
      </c>
      <c r="B409" s="20" t="s">
        <v>597</v>
      </c>
      <c r="C409" s="20" t="s">
        <v>3279</v>
      </c>
      <c r="D409" s="20" t="s">
        <v>3049</v>
      </c>
      <c r="E409" s="20" t="s">
        <v>3050</v>
      </c>
      <c r="F409" s="20" t="s">
        <v>3051</v>
      </c>
      <c r="G409" s="20">
        <v>1213</v>
      </c>
      <c r="H409" s="20">
        <v>5</v>
      </c>
      <c r="I409" s="20">
        <v>9198</v>
      </c>
      <c r="J409" s="36">
        <v>29355</v>
      </c>
      <c r="K409" s="20" t="s">
        <v>440</v>
      </c>
      <c r="L409" s="20" t="s">
        <v>1974</v>
      </c>
      <c r="M409" s="4"/>
      <c r="N409" s="4"/>
      <c r="P409" s="347">
        <v>274</v>
      </c>
      <c r="Q409" s="348">
        <f>P409*100%/(1000)</f>
        <v>0.27400000000000002</v>
      </c>
      <c r="S409" s="129"/>
    </row>
    <row r="410" spans="1:19" ht="15" hidden="1" customHeight="1" x14ac:dyDescent="0.25">
      <c r="A410" s="61" t="s">
        <v>5553</v>
      </c>
      <c r="B410" s="61" t="s">
        <v>34</v>
      </c>
      <c r="C410" s="61" t="s">
        <v>3247</v>
      </c>
      <c r="D410" s="61" t="s">
        <v>3224</v>
      </c>
      <c r="E410" s="61" t="s">
        <v>3225</v>
      </c>
      <c r="F410" s="61" t="s">
        <v>3226</v>
      </c>
      <c r="G410" s="61">
        <v>310</v>
      </c>
      <c r="H410" s="61">
        <v>68</v>
      </c>
      <c r="I410" s="61">
        <v>9198</v>
      </c>
      <c r="J410" s="62">
        <v>29355</v>
      </c>
      <c r="K410" s="61" t="s">
        <v>440</v>
      </c>
      <c r="L410" s="61" t="s">
        <v>1974</v>
      </c>
      <c r="M410" s="4"/>
      <c r="N410" s="4"/>
      <c r="P410" s="347"/>
      <c r="Q410" s="347"/>
      <c r="R410" s="183"/>
      <c r="S410" s="129"/>
    </row>
    <row r="411" spans="1:19" ht="15" hidden="1" customHeight="1" x14ac:dyDescent="0.25">
      <c r="A411" s="9" t="s">
        <v>5553</v>
      </c>
      <c r="B411" s="9" t="s">
        <v>249</v>
      </c>
      <c r="C411" s="9" t="s">
        <v>3280</v>
      </c>
      <c r="D411" s="9" t="s">
        <v>3052</v>
      </c>
      <c r="E411" s="9" t="s">
        <v>3053</v>
      </c>
      <c r="F411" s="9" t="s">
        <v>3054</v>
      </c>
      <c r="G411" s="9">
        <v>1215</v>
      </c>
      <c r="H411" s="9">
        <v>1</v>
      </c>
      <c r="I411" s="9">
        <v>9198</v>
      </c>
      <c r="J411" s="37">
        <v>29355</v>
      </c>
      <c r="K411" s="9" t="s">
        <v>440</v>
      </c>
      <c r="L411" s="9" t="s">
        <v>1974</v>
      </c>
      <c r="M411" s="4"/>
      <c r="N411" s="4"/>
      <c r="P411" s="347"/>
      <c r="Q411" s="347"/>
      <c r="S411" s="129"/>
    </row>
    <row r="412" spans="1:19" ht="15" hidden="1" customHeight="1" x14ac:dyDescent="0.25">
      <c r="A412" s="57" t="s">
        <v>5553</v>
      </c>
      <c r="B412" s="57" t="s">
        <v>11</v>
      </c>
      <c r="C412" s="57" t="s">
        <v>1507</v>
      </c>
      <c r="D412" s="57" t="s">
        <v>7453</v>
      </c>
      <c r="E412" s="57" t="s">
        <v>7454</v>
      </c>
      <c r="F412" s="57" t="s">
        <v>7455</v>
      </c>
      <c r="G412" s="57"/>
      <c r="H412" s="57">
        <v>100</v>
      </c>
      <c r="I412" s="57">
        <v>9198</v>
      </c>
      <c r="J412" s="57">
        <v>29355</v>
      </c>
      <c r="K412" s="57" t="s">
        <v>440</v>
      </c>
      <c r="L412" s="57" t="s">
        <v>1974</v>
      </c>
      <c r="M412" s="4"/>
      <c r="N412" s="4"/>
      <c r="P412" s="324"/>
      <c r="Q412" s="324"/>
      <c r="S412" s="129"/>
    </row>
    <row r="413" spans="1:19" ht="14.25" hidden="1" customHeight="1" x14ac:dyDescent="0.25">
      <c r="A413" s="20" t="s">
        <v>5554</v>
      </c>
      <c r="B413" s="20" t="s">
        <v>597</v>
      </c>
      <c r="C413" s="20" t="s">
        <v>4869</v>
      </c>
      <c r="D413" s="20" t="s">
        <v>3621</v>
      </c>
      <c r="E413" s="20" t="s">
        <v>3622</v>
      </c>
      <c r="F413" s="20" t="s">
        <v>3623</v>
      </c>
      <c r="G413" s="20">
        <v>301</v>
      </c>
      <c r="H413" s="20">
        <v>4</v>
      </c>
      <c r="I413" s="20">
        <v>9198</v>
      </c>
      <c r="J413" s="36">
        <v>29355</v>
      </c>
      <c r="K413" s="20" t="s">
        <v>1417</v>
      </c>
      <c r="L413" s="20" t="s">
        <v>1974</v>
      </c>
      <c r="P413" s="347">
        <v>96</v>
      </c>
      <c r="Q413" s="348">
        <f>P413*100%/(1000)</f>
        <v>9.6000000000000002E-2</v>
      </c>
      <c r="S413" s="129"/>
    </row>
    <row r="414" spans="1:19" ht="14.25" hidden="1" customHeight="1" x14ac:dyDescent="0.25">
      <c r="A414" s="61" t="s">
        <v>5554</v>
      </c>
      <c r="B414" s="61" t="s">
        <v>34</v>
      </c>
      <c r="C414" s="61" t="s">
        <v>4835</v>
      </c>
      <c r="D414" s="61" t="s">
        <v>4730</v>
      </c>
      <c r="E414" s="61" t="s">
        <v>4731</v>
      </c>
      <c r="F414" s="61" t="s">
        <v>4732</v>
      </c>
      <c r="G414" s="61">
        <v>300</v>
      </c>
      <c r="H414" s="61">
        <v>90</v>
      </c>
      <c r="I414" s="61">
        <v>9198</v>
      </c>
      <c r="J414" s="61">
        <v>29355</v>
      </c>
      <c r="K414" s="61" t="s">
        <v>1417</v>
      </c>
      <c r="L414" s="61" t="s">
        <v>1974</v>
      </c>
      <c r="P414" s="347"/>
      <c r="Q414" s="347"/>
      <c r="S414" s="129"/>
    </row>
    <row r="415" spans="1:19" ht="14.25" hidden="1" customHeight="1" x14ac:dyDescent="0.25">
      <c r="A415" s="142" t="s">
        <v>5554</v>
      </c>
      <c r="B415" s="9" t="s">
        <v>249</v>
      </c>
      <c r="C415" s="142" t="s">
        <v>4870</v>
      </c>
      <c r="D415" s="142" t="s">
        <v>3624</v>
      </c>
      <c r="E415" s="142" t="s">
        <v>3625</v>
      </c>
      <c r="F415" s="142" t="s">
        <v>3626</v>
      </c>
      <c r="G415" s="142">
        <v>302</v>
      </c>
      <c r="H415" s="142">
        <v>1</v>
      </c>
      <c r="I415" s="142">
        <v>9198</v>
      </c>
      <c r="J415" s="37">
        <v>29355</v>
      </c>
      <c r="K415" s="9" t="s">
        <v>1417</v>
      </c>
      <c r="L415" s="9" t="s">
        <v>1974</v>
      </c>
      <c r="P415" s="347"/>
      <c r="Q415" s="347"/>
      <c r="S415" s="129"/>
    </row>
    <row r="416" spans="1:19" ht="14.25" hidden="1" customHeight="1" x14ac:dyDescent="0.25">
      <c r="A416" s="57" t="s">
        <v>5554</v>
      </c>
      <c r="B416" s="57" t="s">
        <v>11</v>
      </c>
      <c r="C416" s="57" t="s">
        <v>7415</v>
      </c>
      <c r="D416" s="57" t="s">
        <v>7121</v>
      </c>
      <c r="E416" s="57" t="s">
        <v>7122</v>
      </c>
      <c r="F416" s="57" t="s">
        <v>7123</v>
      </c>
      <c r="G416" s="57">
        <v>615</v>
      </c>
      <c r="H416" s="57">
        <v>200</v>
      </c>
      <c r="I416" s="57">
        <v>9198</v>
      </c>
      <c r="J416" s="58">
        <v>29355</v>
      </c>
      <c r="K416" s="57" t="s">
        <v>1417</v>
      </c>
      <c r="L416" s="57" t="s">
        <v>1974</v>
      </c>
      <c r="M416" s="4"/>
      <c r="N416" s="4"/>
      <c r="P416" s="347"/>
      <c r="Q416" s="347"/>
      <c r="R416" s="146" t="s">
        <v>6060</v>
      </c>
      <c r="S416" s="145"/>
    </row>
    <row r="417" spans="1:19" ht="14.25" hidden="1" customHeight="1" x14ac:dyDescent="0.25">
      <c r="A417" s="154" t="s">
        <v>5554</v>
      </c>
      <c r="B417" s="154" t="s">
        <v>3781</v>
      </c>
      <c r="C417" s="154" t="s">
        <v>4871</v>
      </c>
      <c r="D417" s="154" t="s">
        <v>4594</v>
      </c>
      <c r="E417" s="154" t="s">
        <v>4595</v>
      </c>
      <c r="F417" s="154" t="s">
        <v>4596</v>
      </c>
      <c r="G417" s="154">
        <v>303</v>
      </c>
      <c r="H417" s="154">
        <v>1</v>
      </c>
      <c r="I417" s="154">
        <v>9198</v>
      </c>
      <c r="J417" s="155">
        <v>29355</v>
      </c>
      <c r="K417" s="154" t="s">
        <v>1417</v>
      </c>
      <c r="L417" s="154" t="s">
        <v>1974</v>
      </c>
      <c r="P417" s="347"/>
      <c r="Q417" s="347"/>
      <c r="S417" s="129"/>
    </row>
    <row r="418" spans="1:19" ht="15" hidden="1" customHeight="1" x14ac:dyDescent="0.25">
      <c r="A418" s="20" t="s">
        <v>5555</v>
      </c>
      <c r="B418" s="20" t="s">
        <v>597</v>
      </c>
      <c r="C418" s="20" t="s">
        <v>804</v>
      </c>
      <c r="D418" s="20" t="s">
        <v>591</v>
      </c>
      <c r="E418" s="20" t="s">
        <v>592</v>
      </c>
      <c r="F418" s="20" t="s">
        <v>593</v>
      </c>
      <c r="G418" s="20">
        <v>410</v>
      </c>
      <c r="H418" s="20">
        <v>14</v>
      </c>
      <c r="I418" s="20">
        <v>9198</v>
      </c>
      <c r="J418" s="36">
        <v>65008</v>
      </c>
      <c r="K418" s="20" t="s">
        <v>434</v>
      </c>
      <c r="L418" s="20" t="s">
        <v>1974</v>
      </c>
      <c r="M418" s="4"/>
      <c r="N418" s="4"/>
      <c r="P418" s="347">
        <v>215</v>
      </c>
      <c r="Q418" s="348">
        <f>P418*100%/(1000)</f>
        <v>0.215</v>
      </c>
      <c r="S418" s="129"/>
    </row>
    <row r="419" spans="1:19" ht="15" hidden="1" customHeight="1" x14ac:dyDescent="0.25">
      <c r="A419" s="61" t="s">
        <v>5555</v>
      </c>
      <c r="B419" s="61" t="s">
        <v>34</v>
      </c>
      <c r="C419" s="61" t="s">
        <v>805</v>
      </c>
      <c r="D419" s="61" t="s">
        <v>588</v>
      </c>
      <c r="E419" s="61" t="s">
        <v>589</v>
      </c>
      <c r="F419" s="61" t="s">
        <v>590</v>
      </c>
      <c r="G419" s="61">
        <v>403</v>
      </c>
      <c r="H419" s="61">
        <v>201</v>
      </c>
      <c r="I419" s="61">
        <v>9198</v>
      </c>
      <c r="J419" s="62">
        <v>65008</v>
      </c>
      <c r="K419" s="61" t="s">
        <v>434</v>
      </c>
      <c r="L419" s="61" t="s">
        <v>1974</v>
      </c>
      <c r="M419" s="4"/>
      <c r="N419" s="4"/>
      <c r="P419" s="347"/>
      <c r="Q419" s="347"/>
      <c r="S419" s="129"/>
    </row>
    <row r="420" spans="1:19" ht="15" hidden="1" customHeight="1" x14ac:dyDescent="0.25">
      <c r="A420" s="20" t="s">
        <v>5556</v>
      </c>
      <c r="B420" s="20" t="s">
        <v>597</v>
      </c>
      <c r="C420" s="20" t="s">
        <v>3331</v>
      </c>
      <c r="D420" s="20" t="s">
        <v>3159</v>
      </c>
      <c r="E420" s="20" t="s">
        <v>3160</v>
      </c>
      <c r="F420" s="20" t="s">
        <v>3161</v>
      </c>
      <c r="G420" s="20">
        <v>500</v>
      </c>
      <c r="H420" s="20">
        <v>2</v>
      </c>
      <c r="I420" s="20">
        <v>9198</v>
      </c>
      <c r="J420" s="36">
        <v>29355</v>
      </c>
      <c r="K420" s="20" t="s">
        <v>440</v>
      </c>
      <c r="L420" s="20" t="s">
        <v>1974</v>
      </c>
      <c r="M420" s="4"/>
      <c r="N420" s="4"/>
      <c r="P420" s="347">
        <v>36</v>
      </c>
      <c r="Q420" s="348">
        <f>P420*100%/(1000)</f>
        <v>3.5999999999999997E-2</v>
      </c>
      <c r="S420" s="129"/>
    </row>
    <row r="421" spans="1:19" ht="15" hidden="1" customHeight="1" x14ac:dyDescent="0.25">
      <c r="A421" s="61" t="s">
        <v>5556</v>
      </c>
      <c r="B421" s="61" t="s">
        <v>34</v>
      </c>
      <c r="C421" s="61" t="s">
        <v>3323</v>
      </c>
      <c r="D421" s="61" t="s">
        <v>3259</v>
      </c>
      <c r="E421" s="61" t="s">
        <v>3260</v>
      </c>
      <c r="F421" s="61" t="s">
        <v>3261</v>
      </c>
      <c r="G421" s="61">
        <v>502</v>
      </c>
      <c r="H421" s="61">
        <v>44</v>
      </c>
      <c r="I421" s="61">
        <v>9198</v>
      </c>
      <c r="J421" s="62">
        <v>29355</v>
      </c>
      <c r="K421" s="61" t="s">
        <v>440</v>
      </c>
      <c r="L421" s="61" t="s">
        <v>1974</v>
      </c>
      <c r="M421" s="4"/>
      <c r="N421" s="4"/>
      <c r="P421" s="347"/>
      <c r="Q421" s="347"/>
      <c r="S421" s="129"/>
    </row>
    <row r="422" spans="1:19" ht="15" hidden="1" customHeight="1" x14ac:dyDescent="0.25">
      <c r="A422" s="9" t="s">
        <v>5556</v>
      </c>
      <c r="B422" s="9" t="s">
        <v>249</v>
      </c>
      <c r="C422" s="9" t="s">
        <v>3332</v>
      </c>
      <c r="D422" s="9" t="s">
        <v>3162</v>
      </c>
      <c r="E422" s="9" t="s">
        <v>3163</v>
      </c>
      <c r="F422" s="9" t="s">
        <v>3164</v>
      </c>
      <c r="G422" s="9">
        <v>501</v>
      </c>
      <c r="H422" s="9">
        <v>1</v>
      </c>
      <c r="I422" s="9">
        <v>9198</v>
      </c>
      <c r="J422" s="37">
        <v>29355</v>
      </c>
      <c r="K422" s="9" t="s">
        <v>440</v>
      </c>
      <c r="L422" s="9" t="s">
        <v>1974</v>
      </c>
      <c r="M422" s="4"/>
      <c r="N422" s="4"/>
      <c r="P422" s="347"/>
      <c r="Q422" s="347"/>
      <c r="R422" s="183"/>
      <c r="S422" s="129"/>
    </row>
    <row r="423" spans="1:19" ht="15" hidden="1" customHeight="1" x14ac:dyDescent="0.3">
      <c r="A423" s="20" t="s">
        <v>5557</v>
      </c>
      <c r="B423" s="20" t="s">
        <v>597</v>
      </c>
      <c r="C423" s="20" t="s">
        <v>1626</v>
      </c>
      <c r="D423" s="20" t="s">
        <v>3101</v>
      </c>
      <c r="E423" s="20" t="s">
        <v>3102</v>
      </c>
      <c r="F423" s="20" t="s">
        <v>3103</v>
      </c>
      <c r="G423" s="20"/>
      <c r="H423" s="20">
        <v>4</v>
      </c>
      <c r="I423" s="20"/>
      <c r="J423" s="36">
        <v>29355</v>
      </c>
      <c r="K423" s="20" t="s">
        <v>433</v>
      </c>
      <c r="L423" s="20" t="s">
        <v>1974</v>
      </c>
      <c r="M423" s="4"/>
      <c r="N423" s="4"/>
      <c r="P423">
        <v>4</v>
      </c>
      <c r="Q423" s="303">
        <f>P423*100%/(1000)</f>
        <v>4.0000000000000001E-3</v>
      </c>
      <c r="R423" s="183"/>
      <c r="S423" s="129"/>
    </row>
    <row r="424" spans="1:19" ht="15" hidden="1" customHeight="1" x14ac:dyDescent="0.3">
      <c r="A424" s="57" t="s">
        <v>5556</v>
      </c>
      <c r="B424" s="57" t="s">
        <v>11</v>
      </c>
      <c r="C424" s="57" t="s">
        <v>7424</v>
      </c>
      <c r="D424" s="57" t="s">
        <v>7183</v>
      </c>
      <c r="E424" s="57" t="s">
        <v>7184</v>
      </c>
      <c r="F424" s="57" t="s">
        <v>7185</v>
      </c>
      <c r="G424" s="57">
        <v>503</v>
      </c>
      <c r="H424" s="57">
        <v>200</v>
      </c>
      <c r="I424" s="57">
        <v>9198</v>
      </c>
      <c r="J424" s="57">
        <v>29355</v>
      </c>
      <c r="K424" s="57" t="s">
        <v>440</v>
      </c>
      <c r="L424" s="57" t="s">
        <v>1974</v>
      </c>
      <c r="M424" s="4"/>
      <c r="N424" s="4"/>
      <c r="P424">
        <v>200</v>
      </c>
      <c r="Q424" s="303">
        <f>P424*100%/(1000)</f>
        <v>0.2</v>
      </c>
      <c r="R424" s="183"/>
      <c r="S424" s="129"/>
    </row>
    <row r="425" spans="1:19" ht="15" hidden="1" customHeight="1" x14ac:dyDescent="0.25">
      <c r="A425" s="20" t="s">
        <v>7349</v>
      </c>
      <c r="B425" s="20" t="s">
        <v>597</v>
      </c>
      <c r="C425" s="20" t="s">
        <v>7439</v>
      </c>
      <c r="D425" s="20" t="s">
        <v>7352</v>
      </c>
      <c r="E425" s="20" t="s">
        <v>7350</v>
      </c>
      <c r="F425" s="20" t="s">
        <v>7351</v>
      </c>
      <c r="G425" s="20">
        <v>2414</v>
      </c>
      <c r="H425" s="20">
        <v>50</v>
      </c>
      <c r="I425" s="20">
        <v>9198</v>
      </c>
      <c r="J425" s="36">
        <v>29355</v>
      </c>
      <c r="K425" s="20" t="s">
        <v>435</v>
      </c>
      <c r="L425" s="20" t="s">
        <v>1974</v>
      </c>
      <c r="M425" s="4"/>
      <c r="N425" s="4"/>
      <c r="P425" s="347">
        <v>180</v>
      </c>
      <c r="Q425" s="348">
        <f>P425*100%/(1000)</f>
        <v>0.18</v>
      </c>
      <c r="R425" s="183"/>
      <c r="S425" s="129"/>
    </row>
    <row r="426" spans="1:19" ht="15" hidden="1" customHeight="1" x14ac:dyDescent="0.25">
      <c r="A426" s="61" t="s">
        <v>7349</v>
      </c>
      <c r="B426" s="61" t="s">
        <v>34</v>
      </c>
      <c r="C426" s="61" t="s">
        <v>7438</v>
      </c>
      <c r="D426" s="61" t="s">
        <v>7355</v>
      </c>
      <c r="E426" s="61" t="s">
        <v>7353</v>
      </c>
      <c r="F426" s="61" t="s">
        <v>7354</v>
      </c>
      <c r="G426" s="61">
        <v>2413</v>
      </c>
      <c r="H426" s="61">
        <v>100</v>
      </c>
      <c r="I426" s="61">
        <v>9198</v>
      </c>
      <c r="J426" s="62">
        <v>29355</v>
      </c>
      <c r="K426" s="61" t="s">
        <v>435</v>
      </c>
      <c r="L426" s="61" t="s">
        <v>1974</v>
      </c>
      <c r="M426" s="4"/>
      <c r="N426" s="4"/>
      <c r="P426" s="347"/>
      <c r="Q426" s="347"/>
      <c r="R426" s="183"/>
      <c r="S426" s="129"/>
    </row>
    <row r="427" spans="1:19" ht="15" hidden="1" customHeight="1" x14ac:dyDescent="0.25">
      <c r="A427" s="154" t="s">
        <v>7349</v>
      </c>
      <c r="B427" s="154" t="s">
        <v>3781</v>
      </c>
      <c r="C427" s="154" t="s">
        <v>7437</v>
      </c>
      <c r="D427" s="154" t="s">
        <v>7358</v>
      </c>
      <c r="E427" s="154" t="s">
        <v>7356</v>
      </c>
      <c r="F427" s="154" t="s">
        <v>7357</v>
      </c>
      <c r="G427" s="154">
        <v>2412</v>
      </c>
      <c r="H427" s="154">
        <v>1</v>
      </c>
      <c r="I427" s="154">
        <v>9198</v>
      </c>
      <c r="J427" s="155">
        <v>29355</v>
      </c>
      <c r="K427" s="154" t="s">
        <v>435</v>
      </c>
      <c r="L427" s="154" t="s">
        <v>1974</v>
      </c>
      <c r="M427" s="4"/>
      <c r="N427" s="4"/>
      <c r="P427" s="347"/>
      <c r="Q427" s="347"/>
      <c r="R427" s="183"/>
      <c r="S427" s="129"/>
    </row>
    <row r="428" spans="1:19" ht="15" hidden="1" customHeight="1" x14ac:dyDescent="0.25">
      <c r="A428" s="57" t="s">
        <v>7349</v>
      </c>
      <c r="B428" s="57" t="s">
        <v>11</v>
      </c>
      <c r="C428" s="57" t="s">
        <v>7441</v>
      </c>
      <c r="D428" s="57" t="s">
        <v>7401</v>
      </c>
      <c r="E428" s="57" t="s">
        <v>7402</v>
      </c>
      <c r="F428" s="57" t="s">
        <v>7403</v>
      </c>
      <c r="G428" s="57">
        <v>2416</v>
      </c>
      <c r="H428" s="57">
        <v>28</v>
      </c>
      <c r="I428" s="57">
        <v>9198</v>
      </c>
      <c r="J428" s="57">
        <v>29355</v>
      </c>
      <c r="K428" s="57" t="s">
        <v>435</v>
      </c>
      <c r="L428" s="57" t="s">
        <v>1974</v>
      </c>
      <c r="M428" s="4"/>
      <c r="N428" s="4"/>
      <c r="P428" s="347"/>
      <c r="Q428" s="347"/>
      <c r="R428" s="183"/>
      <c r="S428" s="129"/>
    </row>
    <row r="429" spans="1:19" ht="15" hidden="1" customHeight="1" x14ac:dyDescent="0.25">
      <c r="A429" s="9" t="s">
        <v>7349</v>
      </c>
      <c r="B429" s="9" t="s">
        <v>249</v>
      </c>
      <c r="C429" s="9" t="s">
        <v>7440</v>
      </c>
      <c r="D429" s="9" t="s">
        <v>7404</v>
      </c>
      <c r="E429" s="9" t="s">
        <v>7405</v>
      </c>
      <c r="F429" s="9" t="s">
        <v>7406</v>
      </c>
      <c r="G429" s="9">
        <v>2415</v>
      </c>
      <c r="H429" s="9">
        <v>1</v>
      </c>
      <c r="I429" s="9">
        <v>9198</v>
      </c>
      <c r="J429" s="37">
        <v>29355</v>
      </c>
      <c r="K429" s="9" t="s">
        <v>435</v>
      </c>
      <c r="L429" s="9" t="s">
        <v>1974</v>
      </c>
      <c r="M429" s="4"/>
      <c r="N429" s="4"/>
      <c r="P429" s="347"/>
      <c r="Q429" s="347"/>
      <c r="R429" s="183"/>
      <c r="S429" s="129"/>
    </row>
    <row r="430" spans="1:19" ht="15" hidden="1" customHeight="1" x14ac:dyDescent="0.25">
      <c r="A430" s="20" t="s">
        <v>5558</v>
      </c>
      <c r="B430" s="20" t="s">
        <v>597</v>
      </c>
      <c r="C430" s="20" t="s">
        <v>1392</v>
      </c>
      <c r="D430" s="20" t="s">
        <v>1226</v>
      </c>
      <c r="E430" s="20" t="s">
        <v>1227</v>
      </c>
      <c r="F430" s="20" t="s">
        <v>1228</v>
      </c>
      <c r="G430" s="20">
        <v>1450</v>
      </c>
      <c r="H430" s="20">
        <v>10</v>
      </c>
      <c r="I430" s="20">
        <v>9198</v>
      </c>
      <c r="J430" s="36">
        <v>65001</v>
      </c>
      <c r="K430" s="20" t="s">
        <v>440</v>
      </c>
      <c r="L430" s="20" t="s">
        <v>1975</v>
      </c>
      <c r="M430" s="4"/>
      <c r="N430" s="4"/>
      <c r="P430" s="347">
        <v>1019</v>
      </c>
      <c r="Q430" s="348">
        <f>P430*100%/(2000)</f>
        <v>0.50949999999999995</v>
      </c>
      <c r="R430" s="183"/>
      <c r="S430" s="129"/>
    </row>
    <row r="431" spans="1:19" ht="15" hidden="1" customHeight="1" x14ac:dyDescent="0.25">
      <c r="A431" s="57" t="s">
        <v>5558</v>
      </c>
      <c r="B431" s="57" t="s">
        <v>11</v>
      </c>
      <c r="C431" s="57" t="s">
        <v>1943</v>
      </c>
      <c r="D431" s="57" t="s">
        <v>1922</v>
      </c>
      <c r="E431" s="57" t="s">
        <v>1923</v>
      </c>
      <c r="F431" s="57" t="s">
        <v>1924</v>
      </c>
      <c r="G431" s="57">
        <v>1980</v>
      </c>
      <c r="H431" s="57">
        <v>720</v>
      </c>
      <c r="I431" s="57">
        <v>9198</v>
      </c>
      <c r="J431" s="58">
        <v>65001</v>
      </c>
      <c r="K431" s="57" t="s">
        <v>1417</v>
      </c>
      <c r="L431" s="57" t="s">
        <v>1975</v>
      </c>
      <c r="M431" s="4"/>
      <c r="N431" s="4"/>
      <c r="P431" s="347"/>
      <c r="Q431" s="347"/>
      <c r="R431" s="183"/>
      <c r="S431" s="129"/>
    </row>
    <row r="432" spans="1:19" s="4" customFormat="1" ht="15" hidden="1" customHeight="1" x14ac:dyDescent="0.25">
      <c r="A432" s="61" t="s">
        <v>5558</v>
      </c>
      <c r="B432" s="61" t="s">
        <v>34</v>
      </c>
      <c r="C432" s="61" t="s">
        <v>806</v>
      </c>
      <c r="D432" s="61" t="s">
        <v>441</v>
      </c>
      <c r="E432" s="61" t="s">
        <v>442</v>
      </c>
      <c r="F432" s="61" t="s">
        <v>443</v>
      </c>
      <c r="G432" s="61">
        <v>1970</v>
      </c>
      <c r="H432" s="61">
        <v>268</v>
      </c>
      <c r="I432" s="61">
        <v>9198</v>
      </c>
      <c r="J432" s="62">
        <v>65001</v>
      </c>
      <c r="K432" s="61" t="s">
        <v>440</v>
      </c>
      <c r="L432" s="61" t="s">
        <v>1975</v>
      </c>
      <c r="P432" s="347"/>
      <c r="Q432" s="347"/>
      <c r="R432" s="184"/>
      <c r="S432" s="129"/>
    </row>
    <row r="433" spans="1:19" ht="15" hidden="1" customHeight="1" x14ac:dyDescent="0.25">
      <c r="A433" s="9" t="s">
        <v>5558</v>
      </c>
      <c r="B433" s="9" t="s">
        <v>249</v>
      </c>
      <c r="C433" s="9" t="s">
        <v>1944</v>
      </c>
      <c r="D433" s="9" t="s">
        <v>1919</v>
      </c>
      <c r="E433" s="9" t="s">
        <v>1920</v>
      </c>
      <c r="F433" s="9" t="s">
        <v>1921</v>
      </c>
      <c r="G433" s="9">
        <v>2489</v>
      </c>
      <c r="H433" s="9">
        <v>1</v>
      </c>
      <c r="I433" s="9">
        <v>9198</v>
      </c>
      <c r="J433" s="37">
        <v>65001</v>
      </c>
      <c r="K433" s="9" t="s">
        <v>440</v>
      </c>
      <c r="L433" s="9" t="s">
        <v>1975</v>
      </c>
      <c r="M433" s="4"/>
      <c r="N433" s="4"/>
      <c r="P433" s="347"/>
      <c r="Q433" s="347"/>
      <c r="R433" s="183"/>
      <c r="S433" s="129"/>
    </row>
    <row r="434" spans="1:19" ht="15" hidden="1" customHeight="1" x14ac:dyDescent="0.25">
      <c r="A434" s="20" t="s">
        <v>5559</v>
      </c>
      <c r="B434" s="20" t="s">
        <v>597</v>
      </c>
      <c r="C434" s="20" t="s">
        <v>2228</v>
      </c>
      <c r="D434" s="20" t="s">
        <v>2135</v>
      </c>
      <c r="E434" s="20" t="s">
        <v>2136</v>
      </c>
      <c r="F434" s="20" t="s">
        <v>2137</v>
      </c>
      <c r="G434" s="20">
        <v>1925</v>
      </c>
      <c r="H434" s="20">
        <v>4</v>
      </c>
      <c r="I434" s="20">
        <v>64728</v>
      </c>
      <c r="J434" s="36">
        <v>65231</v>
      </c>
      <c r="K434" s="20" t="s">
        <v>428</v>
      </c>
      <c r="L434" s="20" t="s">
        <v>1974</v>
      </c>
      <c r="M434" s="4"/>
      <c r="N434" s="4"/>
      <c r="P434" s="347">
        <v>790</v>
      </c>
      <c r="Q434" s="348">
        <f>P434*100%/(1000)</f>
        <v>0.79</v>
      </c>
      <c r="S434" s="129"/>
    </row>
    <row r="435" spans="1:19" ht="15" hidden="1" customHeight="1" x14ac:dyDescent="0.25">
      <c r="A435" s="57" t="s">
        <v>5559</v>
      </c>
      <c r="B435" s="57" t="s">
        <v>11</v>
      </c>
      <c r="C435" s="57" t="s">
        <v>2108</v>
      </c>
      <c r="D435" s="57" t="s">
        <v>2069</v>
      </c>
      <c r="E435" s="57" t="s">
        <v>2070</v>
      </c>
      <c r="F435" s="57" t="s">
        <v>2071</v>
      </c>
      <c r="G435" s="57">
        <v>1839</v>
      </c>
      <c r="H435" s="57">
        <v>365</v>
      </c>
      <c r="I435" s="57">
        <v>64728</v>
      </c>
      <c r="J435" s="58">
        <v>65231</v>
      </c>
      <c r="K435" s="57" t="s">
        <v>428</v>
      </c>
      <c r="L435" s="57" t="s">
        <v>1974</v>
      </c>
      <c r="M435" s="4"/>
      <c r="N435" s="4"/>
      <c r="P435" s="347"/>
      <c r="Q435" s="347"/>
      <c r="R435" s="183"/>
      <c r="S435" s="129"/>
    </row>
    <row r="436" spans="1:19" ht="15" hidden="1" customHeight="1" x14ac:dyDescent="0.25">
      <c r="A436" s="61" t="s">
        <v>5559</v>
      </c>
      <c r="B436" s="61" t="s">
        <v>34</v>
      </c>
      <c r="C436" s="61" t="s">
        <v>807</v>
      </c>
      <c r="D436" s="61" t="s">
        <v>347</v>
      </c>
      <c r="E436" s="61" t="s">
        <v>346</v>
      </c>
      <c r="F436" s="61" t="s">
        <v>345</v>
      </c>
      <c r="G436" s="61">
        <v>2411</v>
      </c>
      <c r="H436" s="61">
        <v>420</v>
      </c>
      <c r="I436" s="61">
        <v>64728</v>
      </c>
      <c r="J436" s="62">
        <v>65231</v>
      </c>
      <c r="K436" s="61" t="s">
        <v>428</v>
      </c>
      <c r="L436" s="61" t="s">
        <v>1974</v>
      </c>
      <c r="M436" s="4"/>
      <c r="N436" s="4"/>
      <c r="P436" s="347"/>
      <c r="Q436" s="347"/>
      <c r="S436" s="129"/>
    </row>
    <row r="437" spans="1:19" ht="15" hidden="1" customHeight="1" x14ac:dyDescent="0.25">
      <c r="A437" s="9" t="s">
        <v>5559</v>
      </c>
      <c r="B437" s="9" t="s">
        <v>249</v>
      </c>
      <c r="C437" s="9" t="s">
        <v>808</v>
      </c>
      <c r="D437" s="9" t="s">
        <v>350</v>
      </c>
      <c r="E437" s="9" t="s">
        <v>349</v>
      </c>
      <c r="F437" s="9" t="s">
        <v>348</v>
      </c>
      <c r="G437" s="9">
        <v>2412</v>
      </c>
      <c r="H437" s="9">
        <v>1</v>
      </c>
      <c r="I437" s="9">
        <v>64728</v>
      </c>
      <c r="J437" s="37">
        <v>65231</v>
      </c>
      <c r="K437" s="9" t="s">
        <v>428</v>
      </c>
      <c r="L437" s="9" t="s">
        <v>1974</v>
      </c>
      <c r="M437" s="4"/>
      <c r="N437" s="4"/>
      <c r="P437" s="347"/>
      <c r="Q437" s="347"/>
      <c r="R437" s="183"/>
      <c r="S437" s="129"/>
    </row>
    <row r="438" spans="1:19" ht="15" hidden="1" customHeight="1" x14ac:dyDescent="0.25">
      <c r="A438" s="20" t="s">
        <v>5560</v>
      </c>
      <c r="B438" s="20" t="s">
        <v>597</v>
      </c>
      <c r="C438" s="20" t="s">
        <v>3227</v>
      </c>
      <c r="D438" s="20" t="s">
        <v>3085</v>
      </c>
      <c r="E438" s="20" t="s">
        <v>3086</v>
      </c>
      <c r="F438" s="20" t="s">
        <v>3087</v>
      </c>
      <c r="G438" s="20">
        <v>3993</v>
      </c>
      <c r="H438" s="20">
        <v>3</v>
      </c>
      <c r="I438" s="20">
        <v>9198</v>
      </c>
      <c r="J438" s="36">
        <v>29355</v>
      </c>
      <c r="K438" s="20" t="s">
        <v>654</v>
      </c>
      <c r="L438" s="20" t="s">
        <v>1974</v>
      </c>
      <c r="M438" s="4"/>
      <c r="N438" s="4"/>
      <c r="P438" s="347">
        <v>195</v>
      </c>
      <c r="Q438" s="348">
        <f>P438*100%/(1000)</f>
        <v>0.19500000000000001</v>
      </c>
      <c r="S438" s="129"/>
    </row>
    <row r="439" spans="1:19" ht="15" hidden="1" customHeight="1" x14ac:dyDescent="0.25">
      <c r="A439" s="61" t="s">
        <v>5560</v>
      </c>
      <c r="B439" s="61" t="s">
        <v>34</v>
      </c>
      <c r="C439" s="61" t="s">
        <v>3426</v>
      </c>
      <c r="D439" s="61" t="s">
        <v>3342</v>
      </c>
      <c r="E439" s="61" t="s">
        <v>3343</v>
      </c>
      <c r="F439" s="61" t="s">
        <v>3344</v>
      </c>
      <c r="G439" s="61">
        <v>3997</v>
      </c>
      <c r="H439" s="61">
        <v>40</v>
      </c>
      <c r="I439" s="61">
        <v>9198</v>
      </c>
      <c r="J439" s="62">
        <v>29355</v>
      </c>
      <c r="K439" s="61" t="s">
        <v>654</v>
      </c>
      <c r="L439" s="61" t="s">
        <v>1974</v>
      </c>
      <c r="M439" s="4"/>
      <c r="N439" s="4"/>
      <c r="P439" s="347"/>
      <c r="Q439" s="347"/>
      <c r="S439" s="129"/>
    </row>
    <row r="440" spans="1:19" ht="15" hidden="1" customHeight="1" x14ac:dyDescent="0.25">
      <c r="A440" s="9" t="s">
        <v>5560</v>
      </c>
      <c r="B440" s="9" t="s">
        <v>249</v>
      </c>
      <c r="C440" s="9" t="s">
        <v>3148</v>
      </c>
      <c r="D440" s="9" t="s">
        <v>3088</v>
      </c>
      <c r="E440" s="9" t="s">
        <v>3089</v>
      </c>
      <c r="F440" s="9" t="s">
        <v>3090</v>
      </c>
      <c r="G440" s="9">
        <v>3994</v>
      </c>
      <c r="H440" s="9">
        <v>1</v>
      </c>
      <c r="I440" s="9">
        <v>9198</v>
      </c>
      <c r="J440" s="37">
        <v>29355</v>
      </c>
      <c r="K440" s="9" t="s">
        <v>654</v>
      </c>
      <c r="L440" s="9" t="s">
        <v>1974</v>
      </c>
      <c r="M440" s="4"/>
      <c r="N440" s="4"/>
      <c r="P440" s="347"/>
      <c r="Q440" s="347"/>
      <c r="S440" s="129"/>
    </row>
    <row r="441" spans="1:19" ht="15" hidden="1" customHeight="1" x14ac:dyDescent="0.25">
      <c r="A441" s="154" t="s">
        <v>5560</v>
      </c>
      <c r="B441" s="154" t="s">
        <v>3781</v>
      </c>
      <c r="C441" s="154" t="s">
        <v>4020</v>
      </c>
      <c r="D441" s="154" t="s">
        <v>3809</v>
      </c>
      <c r="E441" s="154" t="s">
        <v>3810</v>
      </c>
      <c r="F441" s="154" t="s">
        <v>3811</v>
      </c>
      <c r="G441" s="154">
        <v>3995</v>
      </c>
      <c r="H441" s="154">
        <v>1</v>
      </c>
      <c r="I441" s="154">
        <v>9198</v>
      </c>
      <c r="J441" s="155">
        <v>29355</v>
      </c>
      <c r="K441" s="154" t="s">
        <v>654</v>
      </c>
      <c r="L441" s="154" t="s">
        <v>1974</v>
      </c>
      <c r="M441" s="154" t="s">
        <v>1974</v>
      </c>
      <c r="N441" s="154" t="s">
        <v>1974</v>
      </c>
      <c r="O441" s="155" t="s">
        <v>1974</v>
      </c>
      <c r="P441" s="347"/>
      <c r="Q441" s="347"/>
      <c r="S441" s="129"/>
    </row>
    <row r="442" spans="1:19" ht="15" hidden="1" customHeight="1" x14ac:dyDescent="0.25">
      <c r="A442" s="57" t="s">
        <v>5560</v>
      </c>
      <c r="B442" s="57" t="s">
        <v>11</v>
      </c>
      <c r="C442" s="57" t="s">
        <v>7284</v>
      </c>
      <c r="D442" s="57" t="s">
        <v>7064</v>
      </c>
      <c r="E442" s="57" t="s">
        <v>7065</v>
      </c>
      <c r="F442" s="57" t="s">
        <v>7066</v>
      </c>
      <c r="G442" s="57">
        <v>3888</v>
      </c>
      <c r="H442" s="57">
        <v>150</v>
      </c>
      <c r="I442" s="57">
        <v>9198</v>
      </c>
      <c r="J442" s="57">
        <v>29355</v>
      </c>
      <c r="K442" s="57" t="s">
        <v>654</v>
      </c>
      <c r="L442" s="57" t="s">
        <v>1974</v>
      </c>
      <c r="M442" s="154" t="s">
        <v>1974</v>
      </c>
      <c r="N442" s="154" t="s">
        <v>1974</v>
      </c>
      <c r="O442" s="155" t="s">
        <v>1974</v>
      </c>
      <c r="P442" s="347"/>
      <c r="Q442" s="347"/>
      <c r="S442" s="129"/>
    </row>
    <row r="443" spans="1:19" ht="15" hidden="1" customHeight="1" x14ac:dyDescent="0.25">
      <c r="A443" s="61" t="s">
        <v>5088</v>
      </c>
      <c r="B443" s="61" t="s">
        <v>34</v>
      </c>
      <c r="C443" s="61" t="s">
        <v>4981</v>
      </c>
      <c r="D443" s="61"/>
      <c r="E443" s="61"/>
      <c r="F443" s="61"/>
      <c r="G443" s="61">
        <v>2315</v>
      </c>
      <c r="H443" s="61">
        <v>144</v>
      </c>
      <c r="I443" s="61" t="s">
        <v>1454</v>
      </c>
      <c r="J443" s="62" t="s">
        <v>1454</v>
      </c>
      <c r="K443" s="61" t="s">
        <v>428</v>
      </c>
      <c r="L443" s="61" t="s">
        <v>1974</v>
      </c>
      <c r="M443" s="4"/>
      <c r="N443" s="4"/>
      <c r="P443" s="347">
        <v>151</v>
      </c>
      <c r="Q443" s="348">
        <f>P443*100%/(1000)</f>
        <v>0.151</v>
      </c>
      <c r="S443" s="129"/>
    </row>
    <row r="444" spans="1:19" ht="15" hidden="1" customHeight="1" x14ac:dyDescent="0.25">
      <c r="A444" s="142" t="s">
        <v>5088</v>
      </c>
      <c r="B444" s="142" t="s">
        <v>249</v>
      </c>
      <c r="C444" s="142" t="s">
        <v>4982</v>
      </c>
      <c r="D444" s="142"/>
      <c r="E444" s="142"/>
      <c r="F444" s="142"/>
      <c r="G444" s="142">
        <v>2316</v>
      </c>
      <c r="H444" s="142">
        <v>1</v>
      </c>
      <c r="I444" s="37" t="s">
        <v>1454</v>
      </c>
      <c r="J444" s="37" t="s">
        <v>1454</v>
      </c>
      <c r="K444" s="142" t="s">
        <v>428</v>
      </c>
      <c r="L444" s="142" t="s">
        <v>1974</v>
      </c>
      <c r="M444" s="4"/>
      <c r="N444" s="4"/>
      <c r="P444" s="347"/>
      <c r="Q444" s="347"/>
      <c r="S444" s="129"/>
    </row>
    <row r="445" spans="1:19" ht="15" hidden="1" customHeight="1" x14ac:dyDescent="0.25">
      <c r="A445" s="20" t="s">
        <v>5088</v>
      </c>
      <c r="B445" s="20" t="s">
        <v>597</v>
      </c>
      <c r="C445" s="20" t="s">
        <v>7202</v>
      </c>
      <c r="D445" s="20"/>
      <c r="E445" s="20"/>
      <c r="F445" s="20" t="s">
        <v>7201</v>
      </c>
      <c r="G445" s="20">
        <v>2409</v>
      </c>
      <c r="H445" s="20">
        <v>6</v>
      </c>
      <c r="I445" s="20" t="s">
        <v>1454</v>
      </c>
      <c r="J445" s="36" t="s">
        <v>1454</v>
      </c>
      <c r="K445" s="20" t="s">
        <v>428</v>
      </c>
      <c r="L445" s="20" t="s">
        <v>1974</v>
      </c>
      <c r="M445" s="4"/>
      <c r="N445" s="4"/>
      <c r="P445" s="347"/>
      <c r="Q445" s="347"/>
      <c r="S445" s="129"/>
    </row>
    <row r="446" spans="1:19" ht="15" hidden="1" customHeight="1" x14ac:dyDescent="0.3">
      <c r="A446" s="57" t="s">
        <v>7286</v>
      </c>
      <c r="B446" s="57" t="s">
        <v>11</v>
      </c>
      <c r="C446" s="57" t="s">
        <v>7287</v>
      </c>
      <c r="D446" s="57"/>
      <c r="E446" s="57"/>
      <c r="F446" s="57" t="s">
        <v>7288</v>
      </c>
      <c r="G446" s="57">
        <v>2421</v>
      </c>
      <c r="H446" s="57">
        <v>150</v>
      </c>
      <c r="I446" s="57" t="s">
        <v>1454</v>
      </c>
      <c r="J446" s="57" t="s">
        <v>1454</v>
      </c>
      <c r="K446" s="57" t="s">
        <v>522</v>
      </c>
      <c r="L446" s="57" t="s">
        <v>1974</v>
      </c>
      <c r="M446" s="154" t="s">
        <v>1974</v>
      </c>
      <c r="N446" s="154" t="s">
        <v>1974</v>
      </c>
      <c r="O446" s="155" t="s">
        <v>1974</v>
      </c>
      <c r="P446">
        <v>150</v>
      </c>
      <c r="Q446" s="303">
        <f>P446*100%/(1000)</f>
        <v>0.15</v>
      </c>
      <c r="S446" s="129"/>
    </row>
    <row r="447" spans="1:19" ht="15" hidden="1" customHeight="1" x14ac:dyDescent="0.3">
      <c r="A447" s="142" t="s">
        <v>7286</v>
      </c>
      <c r="B447" s="142" t="s">
        <v>6092</v>
      </c>
      <c r="C447" s="142" t="s">
        <v>7465</v>
      </c>
      <c r="D447" s="142"/>
      <c r="E447" s="142"/>
      <c r="F447" s="142" t="s">
        <v>7466</v>
      </c>
      <c r="G447" s="142">
        <v>2427</v>
      </c>
      <c r="H447" s="142">
        <v>1</v>
      </c>
      <c r="I447" s="142" t="s">
        <v>1454</v>
      </c>
      <c r="J447" s="142" t="s">
        <v>1454</v>
      </c>
      <c r="K447" s="142" t="s">
        <v>522</v>
      </c>
      <c r="L447" s="142" t="s">
        <v>1974</v>
      </c>
      <c r="M447" s="322"/>
      <c r="N447" s="322"/>
      <c r="O447" s="322"/>
      <c r="P447">
        <v>1</v>
      </c>
      <c r="Q447" s="303">
        <f>P447*100%/(1000)</f>
        <v>1E-3</v>
      </c>
      <c r="S447" s="129"/>
    </row>
    <row r="448" spans="1:19" ht="15" hidden="1" customHeight="1" x14ac:dyDescent="0.25">
      <c r="A448" s="57" t="s">
        <v>5561</v>
      </c>
      <c r="B448" s="57" t="s">
        <v>11</v>
      </c>
      <c r="C448" s="57" t="s">
        <v>4198</v>
      </c>
      <c r="D448" s="57" t="s">
        <v>3903</v>
      </c>
      <c r="E448" s="57" t="s">
        <v>3904</v>
      </c>
      <c r="F448" s="57" t="s">
        <v>3905</v>
      </c>
      <c r="G448" s="57">
        <v>988</v>
      </c>
      <c r="H448" s="57">
        <v>1618</v>
      </c>
      <c r="I448" s="57">
        <v>9198</v>
      </c>
      <c r="J448" s="58">
        <v>29355</v>
      </c>
      <c r="K448" s="57" t="s">
        <v>522</v>
      </c>
      <c r="L448" s="57" t="s">
        <v>2534</v>
      </c>
      <c r="M448" s="4"/>
      <c r="N448" s="4"/>
      <c r="P448" s="347">
        <v>2430</v>
      </c>
      <c r="Q448" s="348">
        <f>P448*100%/(2000)</f>
        <v>1.2150000000000001</v>
      </c>
      <c r="R448" s="146" t="s">
        <v>4332</v>
      </c>
      <c r="S448" s="129"/>
    </row>
    <row r="449" spans="1:19" ht="15" hidden="1" customHeight="1" x14ac:dyDescent="0.25">
      <c r="A449" s="61" t="s">
        <v>5561</v>
      </c>
      <c r="B449" s="61" t="s">
        <v>34</v>
      </c>
      <c r="C449" s="61" t="s">
        <v>4199</v>
      </c>
      <c r="D449" s="61" t="s">
        <v>3906</v>
      </c>
      <c r="E449" s="61" t="s">
        <v>3907</v>
      </c>
      <c r="F449" s="61" t="s">
        <v>3908</v>
      </c>
      <c r="G449" s="61">
        <v>986</v>
      </c>
      <c r="H449" s="61">
        <v>930</v>
      </c>
      <c r="I449" s="61">
        <v>9198</v>
      </c>
      <c r="J449" s="62">
        <v>29355</v>
      </c>
      <c r="K449" s="61" t="s">
        <v>522</v>
      </c>
      <c r="L449" s="61" t="s">
        <v>2534</v>
      </c>
      <c r="M449" s="4"/>
      <c r="N449" s="4"/>
      <c r="P449" s="347"/>
      <c r="Q449" s="347"/>
      <c r="R449" s="146" t="s">
        <v>6060</v>
      </c>
      <c r="S449" s="129"/>
    </row>
    <row r="450" spans="1:19" ht="15" hidden="1" customHeight="1" x14ac:dyDescent="0.25">
      <c r="A450" s="9" t="s">
        <v>5561</v>
      </c>
      <c r="B450" s="9" t="s">
        <v>249</v>
      </c>
      <c r="C450" s="9" t="s">
        <v>4200</v>
      </c>
      <c r="D450" s="9" t="s">
        <v>3909</v>
      </c>
      <c r="E450" s="9" t="s">
        <v>3910</v>
      </c>
      <c r="F450" s="9" t="s">
        <v>3911</v>
      </c>
      <c r="G450" s="9">
        <v>987</v>
      </c>
      <c r="H450" s="9">
        <v>2</v>
      </c>
      <c r="I450" s="9">
        <v>9198</v>
      </c>
      <c r="J450" s="37">
        <v>29355</v>
      </c>
      <c r="K450" s="9" t="s">
        <v>522</v>
      </c>
      <c r="L450" s="9" t="s">
        <v>2534</v>
      </c>
      <c r="M450" s="4"/>
      <c r="N450" s="4"/>
      <c r="P450" s="347"/>
      <c r="Q450" s="347"/>
      <c r="R450" s="146" t="s">
        <v>6252</v>
      </c>
      <c r="S450" s="129"/>
    </row>
    <row r="451" spans="1:19" ht="15" hidden="1" customHeight="1" x14ac:dyDescent="0.25">
      <c r="A451" s="20" t="s">
        <v>7463</v>
      </c>
      <c r="B451" s="20" t="s">
        <v>597</v>
      </c>
      <c r="C451" s="20" t="s">
        <v>1507</v>
      </c>
      <c r="D451" s="20"/>
      <c r="E451" s="20"/>
      <c r="F451" s="20"/>
      <c r="G451" s="20">
        <v>2444</v>
      </c>
      <c r="H451" s="20">
        <v>2</v>
      </c>
      <c r="I451" s="20" t="s">
        <v>1454</v>
      </c>
      <c r="J451" s="36" t="s">
        <v>1454</v>
      </c>
      <c r="K451" s="20" t="s">
        <v>433</v>
      </c>
      <c r="L451" s="20" t="s">
        <v>1974</v>
      </c>
      <c r="M451" s="4"/>
      <c r="N451" s="4"/>
      <c r="P451" s="349"/>
      <c r="Q451" s="349"/>
      <c r="R451" s="145"/>
      <c r="S451" s="129"/>
    </row>
    <row r="452" spans="1:19" ht="15" hidden="1" customHeight="1" x14ac:dyDescent="0.25">
      <c r="A452" s="325" t="s">
        <v>7463</v>
      </c>
      <c r="B452" s="325" t="s">
        <v>249</v>
      </c>
      <c r="C452" s="325" t="s">
        <v>1507</v>
      </c>
      <c r="D452" s="325"/>
      <c r="E452" s="325"/>
      <c r="F452" s="325"/>
      <c r="G452" s="325">
        <v>2445</v>
      </c>
      <c r="H452" s="325">
        <v>1</v>
      </c>
      <c r="I452" s="325" t="s">
        <v>1454</v>
      </c>
      <c r="J452" s="37" t="s">
        <v>1454</v>
      </c>
      <c r="K452" s="325" t="s">
        <v>433</v>
      </c>
      <c r="L452" s="325" t="s">
        <v>1974</v>
      </c>
      <c r="M452" s="4"/>
      <c r="N452" s="4"/>
      <c r="P452" s="350"/>
      <c r="Q452" s="350"/>
      <c r="R452" s="145"/>
      <c r="S452" s="129"/>
    </row>
    <row r="453" spans="1:19" ht="15" hidden="1" customHeight="1" x14ac:dyDescent="0.25">
      <c r="A453" s="61" t="s">
        <v>7464</v>
      </c>
      <c r="B453" s="61" t="s">
        <v>34</v>
      </c>
      <c r="C453" s="61" t="s">
        <v>1507</v>
      </c>
      <c r="D453" s="61"/>
      <c r="E453" s="61"/>
      <c r="F453" s="61"/>
      <c r="G453" s="61">
        <v>2446</v>
      </c>
      <c r="H453" s="61">
        <v>50</v>
      </c>
      <c r="I453" s="62" t="s">
        <v>1454</v>
      </c>
      <c r="J453" s="61" t="s">
        <v>1454</v>
      </c>
      <c r="K453" s="61" t="s">
        <v>433</v>
      </c>
      <c r="L453" s="61" t="s">
        <v>1974</v>
      </c>
      <c r="M453" s="4"/>
      <c r="N453" s="4"/>
      <c r="P453" s="350"/>
      <c r="Q453" s="350"/>
      <c r="R453" s="145"/>
      <c r="S453" s="129"/>
    </row>
    <row r="454" spans="1:19" ht="15" hidden="1" customHeight="1" x14ac:dyDescent="0.25">
      <c r="A454" s="57" t="s">
        <v>7464</v>
      </c>
      <c r="B454" s="57" t="s">
        <v>11</v>
      </c>
      <c r="C454" s="57" t="s">
        <v>1507</v>
      </c>
      <c r="D454" s="57"/>
      <c r="E454" s="57"/>
      <c r="F454" s="57"/>
      <c r="G454" s="57">
        <v>2447</v>
      </c>
      <c r="H454" s="57">
        <v>150</v>
      </c>
      <c r="I454" s="57" t="s">
        <v>1454</v>
      </c>
      <c r="J454" s="57" t="s">
        <v>1454</v>
      </c>
      <c r="K454" s="57" t="s">
        <v>433</v>
      </c>
      <c r="L454" s="57" t="s">
        <v>1974</v>
      </c>
      <c r="M454" s="4"/>
      <c r="N454" s="4"/>
      <c r="P454" s="350"/>
      <c r="Q454" s="350"/>
      <c r="R454" s="145"/>
      <c r="S454" s="129"/>
    </row>
    <row r="455" spans="1:19" ht="15" hidden="1" customHeight="1" x14ac:dyDescent="0.25">
      <c r="A455" s="325" t="s">
        <v>7464</v>
      </c>
      <c r="B455" s="325" t="s">
        <v>6092</v>
      </c>
      <c r="C455" s="325" t="s">
        <v>1507</v>
      </c>
      <c r="D455" s="325"/>
      <c r="E455" s="325"/>
      <c r="F455" s="325"/>
      <c r="G455" s="325">
        <v>2448</v>
      </c>
      <c r="H455" s="325">
        <v>1</v>
      </c>
      <c r="I455" s="325" t="s">
        <v>1454</v>
      </c>
      <c r="J455" s="37" t="s">
        <v>1454</v>
      </c>
      <c r="K455" s="325" t="s">
        <v>433</v>
      </c>
      <c r="L455" s="325" t="s">
        <v>1974</v>
      </c>
      <c r="M455" s="4"/>
      <c r="N455" s="4"/>
      <c r="P455" s="351"/>
      <c r="Q455" s="351"/>
      <c r="R455" s="145"/>
      <c r="S455" s="129"/>
    </row>
    <row r="456" spans="1:19" ht="15" hidden="1" customHeight="1" x14ac:dyDescent="0.25">
      <c r="A456" s="57" t="s">
        <v>6368</v>
      </c>
      <c r="B456" s="57" t="s">
        <v>11</v>
      </c>
      <c r="C456" s="57" t="s">
        <v>6320</v>
      </c>
      <c r="D456" s="57"/>
      <c r="E456" s="57"/>
      <c r="F456" s="57" t="s">
        <v>6180</v>
      </c>
      <c r="G456" s="57">
        <v>2361</v>
      </c>
      <c r="H456" s="57">
        <v>452</v>
      </c>
      <c r="I456" s="57" t="s">
        <v>1454</v>
      </c>
      <c r="J456" s="58" t="s">
        <v>1454</v>
      </c>
      <c r="K456" s="57" t="s">
        <v>428</v>
      </c>
      <c r="L456" s="57" t="s">
        <v>1974</v>
      </c>
      <c r="M456" s="4"/>
      <c r="N456" s="4"/>
      <c r="P456" s="347">
        <v>453</v>
      </c>
      <c r="Q456" s="348">
        <f>P456*100%/(1000)</f>
        <v>0.45300000000000001</v>
      </c>
      <c r="R456" s="183"/>
      <c r="S456" s="129"/>
    </row>
    <row r="457" spans="1:19" ht="15" hidden="1" customHeight="1" x14ac:dyDescent="0.25">
      <c r="A457" s="9" t="s">
        <v>6368</v>
      </c>
      <c r="B457" s="9" t="s">
        <v>249</v>
      </c>
      <c r="C457" s="9" t="s">
        <v>6294</v>
      </c>
      <c r="D457" s="9"/>
      <c r="E457" s="9"/>
      <c r="F457" s="9" t="s">
        <v>6181</v>
      </c>
      <c r="G457" s="9">
        <v>2373</v>
      </c>
      <c r="H457" s="9">
        <v>1</v>
      </c>
      <c r="I457" s="9" t="s">
        <v>1454</v>
      </c>
      <c r="J457" s="37" t="s">
        <v>1454</v>
      </c>
      <c r="K457" s="9" t="s">
        <v>428</v>
      </c>
      <c r="L457" s="9" t="s">
        <v>1974</v>
      </c>
      <c r="M457" s="4"/>
      <c r="N457" s="4"/>
      <c r="P457" s="347"/>
      <c r="Q457" s="347"/>
      <c r="R457" s="183"/>
      <c r="S457" s="129"/>
    </row>
    <row r="458" spans="1:19" ht="15" hidden="1" customHeight="1" x14ac:dyDescent="0.25">
      <c r="A458" s="141" t="s">
        <v>6369</v>
      </c>
      <c r="B458" s="141" t="s">
        <v>34</v>
      </c>
      <c r="C458" s="141" t="s">
        <v>6605</v>
      </c>
      <c r="D458" s="141"/>
      <c r="E458" s="141"/>
      <c r="F458" s="141" t="s">
        <v>6132</v>
      </c>
      <c r="G458" s="141">
        <v>2359</v>
      </c>
      <c r="H458" s="141">
        <v>100</v>
      </c>
      <c r="I458" s="141" t="s">
        <v>1454</v>
      </c>
      <c r="J458" s="62" t="s">
        <v>1454</v>
      </c>
      <c r="K458" s="141" t="s">
        <v>1458</v>
      </c>
      <c r="L458" s="141" t="s">
        <v>1974</v>
      </c>
      <c r="M458" s="4"/>
      <c r="N458" s="4"/>
      <c r="P458" s="347">
        <v>102</v>
      </c>
      <c r="Q458" s="348">
        <f>P458*100%/(1000)</f>
        <v>0.10199999999999999</v>
      </c>
      <c r="R458" s="183"/>
      <c r="S458" s="129"/>
    </row>
    <row r="459" spans="1:19" ht="15" hidden="1" customHeight="1" x14ac:dyDescent="0.25">
      <c r="A459" s="9" t="s">
        <v>6369</v>
      </c>
      <c r="B459" s="9" t="s">
        <v>249</v>
      </c>
      <c r="C459" s="9" t="s">
        <v>6606</v>
      </c>
      <c r="D459" s="9"/>
      <c r="E459" s="9"/>
      <c r="F459" s="9" t="s">
        <v>6133</v>
      </c>
      <c r="G459" s="9">
        <v>2360</v>
      </c>
      <c r="H459" s="9">
        <v>1</v>
      </c>
      <c r="I459" s="9" t="s">
        <v>1454</v>
      </c>
      <c r="J459" s="37" t="s">
        <v>1454</v>
      </c>
      <c r="K459" s="9" t="s">
        <v>1458</v>
      </c>
      <c r="L459" s="9" t="s">
        <v>1974</v>
      </c>
      <c r="M459" s="4"/>
      <c r="N459" s="4"/>
      <c r="P459" s="347"/>
      <c r="Q459" s="347"/>
      <c r="R459" s="183"/>
      <c r="S459" s="260"/>
    </row>
    <row r="460" spans="1:19" ht="15" hidden="1" customHeight="1" x14ac:dyDescent="0.25">
      <c r="A460" s="154" t="s">
        <v>6369</v>
      </c>
      <c r="B460" s="154" t="s">
        <v>3781</v>
      </c>
      <c r="C460" s="154" t="s">
        <v>6093</v>
      </c>
      <c r="D460" s="154"/>
      <c r="E460" s="154"/>
      <c r="F460" s="154" t="s">
        <v>6134</v>
      </c>
      <c r="G460" s="154">
        <v>2362</v>
      </c>
      <c r="H460" s="154">
        <v>1</v>
      </c>
      <c r="I460" s="154" t="s">
        <v>1454</v>
      </c>
      <c r="J460" s="155" t="s">
        <v>1454</v>
      </c>
      <c r="K460" s="154" t="s">
        <v>1458</v>
      </c>
      <c r="L460" s="154" t="s">
        <v>1974</v>
      </c>
      <c r="M460" s="4"/>
      <c r="N460" s="4"/>
      <c r="P460" s="347"/>
      <c r="Q460" s="347"/>
      <c r="R460" s="183"/>
      <c r="S460" s="129"/>
    </row>
    <row r="461" spans="1:19" ht="15" hidden="1" customHeight="1" x14ac:dyDescent="0.25">
      <c r="A461" s="20" t="s">
        <v>5562</v>
      </c>
      <c r="B461" s="20" t="s">
        <v>597</v>
      </c>
      <c r="C461" s="20" t="s">
        <v>1605</v>
      </c>
      <c r="D461" s="20" t="s">
        <v>1583</v>
      </c>
      <c r="E461" s="20" t="s">
        <v>1584</v>
      </c>
      <c r="F461" s="20" t="s">
        <v>1585</v>
      </c>
      <c r="G461" s="20">
        <v>406</v>
      </c>
      <c r="H461" s="20">
        <v>8</v>
      </c>
      <c r="I461" s="20">
        <v>9198</v>
      </c>
      <c r="J461" s="36">
        <v>29355</v>
      </c>
      <c r="K461" s="20" t="s">
        <v>440</v>
      </c>
      <c r="L461" s="20" t="s">
        <v>1974</v>
      </c>
      <c r="M461" s="4"/>
      <c r="N461" s="4"/>
      <c r="P461" s="347">
        <v>53</v>
      </c>
      <c r="Q461" s="348">
        <f>P461*100%/(1000)</f>
        <v>5.2999999999999999E-2</v>
      </c>
      <c r="S461" s="129"/>
    </row>
    <row r="462" spans="1:19" ht="15" hidden="1" customHeight="1" x14ac:dyDescent="0.25">
      <c r="A462" s="61" t="s">
        <v>5562</v>
      </c>
      <c r="B462" s="61" t="s">
        <v>34</v>
      </c>
      <c r="C462" s="61" t="s">
        <v>1606</v>
      </c>
      <c r="D462" s="61" t="s">
        <v>1580</v>
      </c>
      <c r="E462" s="61" t="s">
        <v>1581</v>
      </c>
      <c r="F462" s="61" t="s">
        <v>1582</v>
      </c>
      <c r="G462" s="61">
        <v>405</v>
      </c>
      <c r="H462" s="61">
        <v>43</v>
      </c>
      <c r="I462" s="61">
        <v>9198</v>
      </c>
      <c r="J462" s="62">
        <v>29355</v>
      </c>
      <c r="K462" s="61" t="s">
        <v>440</v>
      </c>
      <c r="L462" s="61" t="s">
        <v>1974</v>
      </c>
      <c r="M462" s="4"/>
      <c r="N462" s="4"/>
      <c r="P462" s="347"/>
      <c r="Q462" s="347"/>
      <c r="R462" s="183"/>
      <c r="S462" s="129"/>
    </row>
    <row r="463" spans="1:19" ht="15" hidden="1" customHeight="1" x14ac:dyDescent="0.25">
      <c r="A463" s="154" t="s">
        <v>5562</v>
      </c>
      <c r="B463" s="154" t="s">
        <v>3781</v>
      </c>
      <c r="C463" s="154" t="s">
        <v>4293</v>
      </c>
      <c r="D463" s="154" t="s">
        <v>4087</v>
      </c>
      <c r="E463" s="154" t="s">
        <v>4088</v>
      </c>
      <c r="F463" s="154" t="s">
        <v>4089</v>
      </c>
      <c r="G463" s="154">
        <v>857</v>
      </c>
      <c r="H463" s="154">
        <v>1</v>
      </c>
      <c r="I463" s="154">
        <v>9198</v>
      </c>
      <c r="J463" s="155">
        <v>29355</v>
      </c>
      <c r="K463" s="154" t="s">
        <v>654</v>
      </c>
      <c r="L463" s="154" t="s">
        <v>1974</v>
      </c>
      <c r="M463" s="4"/>
      <c r="N463" s="4"/>
      <c r="P463" s="347"/>
      <c r="Q463" s="347"/>
      <c r="S463" s="129"/>
    </row>
    <row r="464" spans="1:19" ht="15" hidden="1" customHeight="1" x14ac:dyDescent="0.25">
      <c r="A464" s="9" t="s">
        <v>5562</v>
      </c>
      <c r="B464" s="9" t="s">
        <v>249</v>
      </c>
      <c r="C464" s="9" t="s">
        <v>6193</v>
      </c>
      <c r="D464" s="9" t="s">
        <v>5740</v>
      </c>
      <c r="E464" s="9" t="s">
        <v>5741</v>
      </c>
      <c r="F464" s="9" t="s">
        <v>5742</v>
      </c>
      <c r="G464" s="9">
        <v>407</v>
      </c>
      <c r="H464" s="9">
        <v>1</v>
      </c>
      <c r="I464" s="9">
        <v>9198</v>
      </c>
      <c r="J464" s="37">
        <v>29355</v>
      </c>
      <c r="K464" s="9" t="s">
        <v>440</v>
      </c>
      <c r="L464" s="9" t="s">
        <v>1974</v>
      </c>
      <c r="M464" s="4"/>
      <c r="N464" s="4"/>
      <c r="P464" s="347"/>
      <c r="Q464" s="347"/>
      <c r="S464" s="129"/>
    </row>
    <row r="465" spans="1:19" ht="15" hidden="1" customHeight="1" x14ac:dyDescent="0.25">
      <c r="A465" s="20" t="s">
        <v>5563</v>
      </c>
      <c r="B465" s="20" t="s">
        <v>597</v>
      </c>
      <c r="C465" s="20" t="s">
        <v>3929</v>
      </c>
      <c r="D465" s="20" t="s">
        <v>3408</v>
      </c>
      <c r="E465" s="20" t="s">
        <v>3409</v>
      </c>
      <c r="F465" s="20" t="s">
        <v>3410</v>
      </c>
      <c r="G465" s="20">
        <v>301</v>
      </c>
      <c r="H465" s="20">
        <v>4</v>
      </c>
      <c r="I465" s="20">
        <v>9198</v>
      </c>
      <c r="J465" s="36">
        <v>29355</v>
      </c>
      <c r="K465" s="20" t="s">
        <v>1417</v>
      </c>
      <c r="L465" s="20" t="s">
        <v>1974</v>
      </c>
      <c r="M465" s="4"/>
      <c r="N465" s="4"/>
      <c r="P465" s="347">
        <v>325</v>
      </c>
      <c r="Q465" s="348">
        <f>P465*100%/(1000)</f>
        <v>0.32500000000000001</v>
      </c>
      <c r="S465" s="129"/>
    </row>
    <row r="466" spans="1:19" ht="15" hidden="1" customHeight="1" x14ac:dyDescent="0.25">
      <c r="A466" s="61" t="s">
        <v>5563</v>
      </c>
      <c r="B466" s="61" t="s">
        <v>34</v>
      </c>
      <c r="C466" s="61" t="s">
        <v>4030</v>
      </c>
      <c r="D466" s="61" t="s">
        <v>3821</v>
      </c>
      <c r="E466" s="61" t="s">
        <v>3822</v>
      </c>
      <c r="F466" s="61" t="s">
        <v>3823</v>
      </c>
      <c r="G466" s="61">
        <v>302</v>
      </c>
      <c r="H466" s="61">
        <v>119</v>
      </c>
      <c r="I466" s="61">
        <v>9198</v>
      </c>
      <c r="J466" s="62">
        <v>29355</v>
      </c>
      <c r="K466" s="61" t="s">
        <v>1417</v>
      </c>
      <c r="L466" s="61" t="s">
        <v>1974</v>
      </c>
      <c r="M466" s="4"/>
      <c r="N466" s="4"/>
      <c r="P466" s="347"/>
      <c r="Q466" s="347"/>
      <c r="S466" s="129"/>
    </row>
    <row r="467" spans="1:19" ht="15" hidden="1" customHeight="1" x14ac:dyDescent="0.25">
      <c r="A467" s="9" t="s">
        <v>5563</v>
      </c>
      <c r="B467" s="9" t="s">
        <v>249</v>
      </c>
      <c r="C467" s="9" t="s">
        <v>3930</v>
      </c>
      <c r="D467" s="9" t="s">
        <v>3411</v>
      </c>
      <c r="E467" s="9" t="s">
        <v>3412</v>
      </c>
      <c r="F467" s="9" t="s">
        <v>3413</v>
      </c>
      <c r="G467" s="9">
        <v>300</v>
      </c>
      <c r="H467" s="9">
        <v>1</v>
      </c>
      <c r="I467" s="9">
        <v>9198</v>
      </c>
      <c r="J467" s="37">
        <v>29355</v>
      </c>
      <c r="K467" s="9" t="s">
        <v>1417</v>
      </c>
      <c r="L467" s="9" t="s">
        <v>1974</v>
      </c>
      <c r="M467" s="4"/>
      <c r="N467" s="4"/>
      <c r="P467" s="347"/>
      <c r="Q467" s="347"/>
      <c r="S467" s="129"/>
    </row>
    <row r="468" spans="1:19" ht="15" hidden="1" customHeight="1" x14ac:dyDescent="0.25">
      <c r="A468" s="57" t="s">
        <v>5563</v>
      </c>
      <c r="B468" s="57" t="s">
        <v>11</v>
      </c>
      <c r="C468" s="57" t="s">
        <v>7343</v>
      </c>
      <c r="D468" s="57" t="s">
        <v>7103</v>
      </c>
      <c r="E468" s="57" t="s">
        <v>7104</v>
      </c>
      <c r="F468" s="57" t="s">
        <v>7105</v>
      </c>
      <c r="G468" s="57">
        <v>404</v>
      </c>
      <c r="H468" s="57">
        <v>200</v>
      </c>
      <c r="I468" s="57">
        <v>9198</v>
      </c>
      <c r="J468" s="57">
        <v>29355</v>
      </c>
      <c r="K468" s="57" t="s">
        <v>1417</v>
      </c>
      <c r="L468" s="57" t="s">
        <v>1974</v>
      </c>
      <c r="M468" s="4"/>
      <c r="N468" s="4"/>
      <c r="P468" s="347"/>
      <c r="Q468" s="347"/>
      <c r="R468" s="183"/>
      <c r="S468" s="260"/>
    </row>
    <row r="469" spans="1:19" ht="15" hidden="1" customHeight="1" x14ac:dyDescent="0.25">
      <c r="A469" s="154" t="s">
        <v>5563</v>
      </c>
      <c r="B469" s="154" t="s">
        <v>3781</v>
      </c>
      <c r="C469" s="154" t="s">
        <v>4618</v>
      </c>
      <c r="D469" s="154" t="s">
        <v>4483</v>
      </c>
      <c r="E469" s="154" t="s">
        <v>4484</v>
      </c>
      <c r="F469" s="154" t="s">
        <v>4485</v>
      </c>
      <c r="G469" s="154">
        <v>303</v>
      </c>
      <c r="H469" s="154">
        <v>1</v>
      </c>
      <c r="I469" s="154">
        <v>9198</v>
      </c>
      <c r="J469" s="155">
        <v>29355</v>
      </c>
      <c r="K469" s="154" t="s">
        <v>1417</v>
      </c>
      <c r="L469" s="154" t="s">
        <v>1974</v>
      </c>
      <c r="M469" s="4"/>
      <c r="N469" s="4"/>
      <c r="P469" s="347"/>
      <c r="Q469" s="347"/>
      <c r="R469" s="183"/>
      <c r="S469" s="260"/>
    </row>
    <row r="470" spans="1:19" ht="15" hidden="1" customHeight="1" x14ac:dyDescent="0.25">
      <c r="A470" s="57" t="s">
        <v>6130</v>
      </c>
      <c r="B470" s="57" t="s">
        <v>11</v>
      </c>
      <c r="C470" s="57" t="s">
        <v>7283</v>
      </c>
      <c r="D470" s="57" t="s">
        <v>7061</v>
      </c>
      <c r="E470" s="57" t="s">
        <v>7062</v>
      </c>
      <c r="F470" s="57" t="s">
        <v>7063</v>
      </c>
      <c r="G470" s="57">
        <v>3888</v>
      </c>
      <c r="H470" s="57">
        <v>150</v>
      </c>
      <c r="I470" s="57">
        <v>9198</v>
      </c>
      <c r="J470" s="57">
        <v>29355</v>
      </c>
      <c r="K470" s="57" t="s">
        <v>654</v>
      </c>
      <c r="L470" s="57" t="s">
        <v>1974</v>
      </c>
      <c r="M470" s="4"/>
      <c r="N470" s="4"/>
      <c r="P470" s="347">
        <v>230</v>
      </c>
      <c r="Q470" s="348">
        <f>P470*100%/(1000)</f>
        <v>0.23</v>
      </c>
      <c r="R470" s="183"/>
      <c r="S470" s="260"/>
    </row>
    <row r="471" spans="1:19" ht="15" hidden="1" customHeight="1" x14ac:dyDescent="0.25">
      <c r="A471" s="20" t="s">
        <v>6130</v>
      </c>
      <c r="B471" s="20" t="s">
        <v>597</v>
      </c>
      <c r="C471" s="20" t="s">
        <v>3246</v>
      </c>
      <c r="D471" s="20" t="s">
        <v>3079</v>
      </c>
      <c r="E471" s="20" t="s">
        <v>3080</v>
      </c>
      <c r="F471" s="20" t="s">
        <v>3081</v>
      </c>
      <c r="G471" s="20">
        <v>3991</v>
      </c>
      <c r="H471" s="20">
        <v>5</v>
      </c>
      <c r="I471" s="20">
        <v>9198</v>
      </c>
      <c r="J471" s="36">
        <v>29355</v>
      </c>
      <c r="K471" s="20" t="s">
        <v>654</v>
      </c>
      <c r="L471" s="20" t="s">
        <v>1974</v>
      </c>
      <c r="M471" s="4"/>
      <c r="N471" s="4"/>
      <c r="P471" s="347"/>
      <c r="Q471" s="347"/>
      <c r="S471" s="129"/>
    </row>
    <row r="472" spans="1:19" ht="15" hidden="1" customHeight="1" x14ac:dyDescent="0.25">
      <c r="A472" s="61" t="s">
        <v>6130</v>
      </c>
      <c r="B472" s="61" t="s">
        <v>34</v>
      </c>
      <c r="C472" s="61" t="s">
        <v>3425</v>
      </c>
      <c r="D472" s="61" t="s">
        <v>3339</v>
      </c>
      <c r="E472" s="61" t="s">
        <v>3340</v>
      </c>
      <c r="F472" s="61" t="s">
        <v>3341</v>
      </c>
      <c r="G472" s="61">
        <v>3996</v>
      </c>
      <c r="H472" s="61">
        <v>73</v>
      </c>
      <c r="I472" s="61">
        <v>9198</v>
      </c>
      <c r="J472" s="62">
        <v>29355</v>
      </c>
      <c r="K472" s="61" t="s">
        <v>654</v>
      </c>
      <c r="L472" s="61" t="s">
        <v>1974</v>
      </c>
      <c r="M472" s="4"/>
      <c r="N472" s="4"/>
      <c r="P472" s="347"/>
      <c r="Q472" s="347"/>
      <c r="R472" s="183"/>
      <c r="S472" s="129"/>
    </row>
    <row r="473" spans="1:19" ht="15" hidden="1" customHeight="1" x14ac:dyDescent="0.25">
      <c r="A473" s="9" t="s">
        <v>6130</v>
      </c>
      <c r="B473" s="9" t="s">
        <v>249</v>
      </c>
      <c r="C473" s="9" t="s">
        <v>3149</v>
      </c>
      <c r="D473" s="9" t="s">
        <v>3082</v>
      </c>
      <c r="E473" s="9" t="s">
        <v>3083</v>
      </c>
      <c r="F473" s="9" t="s">
        <v>3084</v>
      </c>
      <c r="G473" s="9">
        <v>3992</v>
      </c>
      <c r="H473" s="9">
        <v>1</v>
      </c>
      <c r="I473" s="9">
        <v>9198</v>
      </c>
      <c r="J473" s="37">
        <v>29355</v>
      </c>
      <c r="K473" s="9" t="s">
        <v>654</v>
      </c>
      <c r="L473" s="9" t="s">
        <v>1974</v>
      </c>
      <c r="M473" s="4"/>
      <c r="N473" s="4"/>
      <c r="P473" s="347"/>
      <c r="Q473" s="347"/>
      <c r="R473" s="183"/>
      <c r="S473" s="129"/>
    </row>
    <row r="474" spans="1:19" ht="15" hidden="1" customHeight="1" x14ac:dyDescent="0.25">
      <c r="A474" s="154" t="s">
        <v>6130</v>
      </c>
      <c r="B474" s="154" t="s">
        <v>3781</v>
      </c>
      <c r="C474" s="154" t="s">
        <v>4021</v>
      </c>
      <c r="D474" s="154" t="s">
        <v>3812</v>
      </c>
      <c r="E474" s="154" t="s">
        <v>3813</v>
      </c>
      <c r="F474" s="154" t="s">
        <v>3814</v>
      </c>
      <c r="G474" s="154">
        <v>3998</v>
      </c>
      <c r="H474" s="154">
        <v>1</v>
      </c>
      <c r="I474" s="154">
        <v>9198</v>
      </c>
      <c r="J474" s="155">
        <v>29355</v>
      </c>
      <c r="K474" s="154" t="s">
        <v>654</v>
      </c>
      <c r="L474" s="154" t="s">
        <v>1974</v>
      </c>
      <c r="M474" s="4"/>
      <c r="N474" s="4"/>
      <c r="P474" s="347"/>
      <c r="Q474" s="347"/>
      <c r="S474" s="129"/>
    </row>
    <row r="475" spans="1:19" ht="15" hidden="1" customHeight="1" x14ac:dyDescent="0.25">
      <c r="A475" s="61" t="s">
        <v>6136</v>
      </c>
      <c r="B475" s="61" t="s">
        <v>34</v>
      </c>
      <c r="C475" s="61" t="s">
        <v>6050</v>
      </c>
      <c r="D475" s="61"/>
      <c r="E475" s="61"/>
      <c r="F475" s="61" t="s">
        <v>5777</v>
      </c>
      <c r="G475" s="61">
        <v>2357</v>
      </c>
      <c r="H475" s="61">
        <v>28</v>
      </c>
      <c r="I475" s="61" t="s">
        <v>1454</v>
      </c>
      <c r="J475" s="62" t="s">
        <v>1454</v>
      </c>
      <c r="K475" s="61" t="s">
        <v>428</v>
      </c>
      <c r="L475" s="61" t="s">
        <v>4966</v>
      </c>
      <c r="M475" s="4"/>
      <c r="N475" s="4"/>
      <c r="P475" s="347">
        <v>35</v>
      </c>
      <c r="Q475" s="348">
        <f>P475*100%/(40000)</f>
        <v>8.7500000000000002E-4</v>
      </c>
      <c r="S475" s="129"/>
    </row>
    <row r="476" spans="1:19" ht="15" hidden="1" customHeight="1" x14ac:dyDescent="0.25">
      <c r="A476" s="9" t="s">
        <v>6136</v>
      </c>
      <c r="B476" s="9" t="s">
        <v>249</v>
      </c>
      <c r="C476" s="9" t="s">
        <v>6051</v>
      </c>
      <c r="D476" s="9"/>
      <c r="E476" s="9"/>
      <c r="F476" s="9" t="s">
        <v>5776</v>
      </c>
      <c r="G476" s="9">
        <v>2578</v>
      </c>
      <c r="H476" s="9">
        <v>1</v>
      </c>
      <c r="I476" s="9" t="s">
        <v>1454</v>
      </c>
      <c r="J476" s="37" t="s">
        <v>1454</v>
      </c>
      <c r="K476" s="9" t="s">
        <v>428</v>
      </c>
      <c r="L476" s="9" t="s">
        <v>4966</v>
      </c>
      <c r="M476" s="4"/>
      <c r="N476" s="4"/>
      <c r="P476" s="347"/>
      <c r="Q476" s="347"/>
      <c r="S476" s="129"/>
    </row>
    <row r="477" spans="1:19" ht="15" hidden="1" customHeight="1" x14ac:dyDescent="0.25">
      <c r="A477" s="20" t="s">
        <v>6136</v>
      </c>
      <c r="B477" s="20" t="s">
        <v>597</v>
      </c>
      <c r="C477" s="20" t="s">
        <v>6241</v>
      </c>
      <c r="D477" s="20"/>
      <c r="E477" s="20"/>
      <c r="F477" s="20" t="s">
        <v>6182</v>
      </c>
      <c r="G477" s="20">
        <v>2368</v>
      </c>
      <c r="H477" s="20">
        <v>6</v>
      </c>
      <c r="I477" s="20" t="s">
        <v>1454</v>
      </c>
      <c r="J477" s="36" t="s">
        <v>1454</v>
      </c>
      <c r="K477" s="20" t="s">
        <v>428</v>
      </c>
      <c r="L477" s="20" t="s">
        <v>4966</v>
      </c>
      <c r="M477" s="4"/>
      <c r="N477" s="4"/>
      <c r="P477" s="347"/>
      <c r="Q477" s="347"/>
      <c r="S477" s="129"/>
    </row>
    <row r="478" spans="1:19" ht="15" hidden="1" customHeight="1" x14ac:dyDescent="0.25">
      <c r="A478" s="20" t="s">
        <v>6131</v>
      </c>
      <c r="B478" s="20" t="s">
        <v>597</v>
      </c>
      <c r="C478" s="20" t="s">
        <v>1626</v>
      </c>
      <c r="D478" s="20" t="s">
        <v>3981</v>
      </c>
      <c r="E478" s="20" t="s">
        <v>3982</v>
      </c>
      <c r="F478" s="20" t="s">
        <v>3983</v>
      </c>
      <c r="G478" s="20"/>
      <c r="H478" s="20">
        <v>2</v>
      </c>
      <c r="I478" s="20"/>
      <c r="J478" s="36">
        <v>29355</v>
      </c>
      <c r="K478" s="20" t="s">
        <v>4002</v>
      </c>
      <c r="L478" s="20" t="s">
        <v>1974</v>
      </c>
      <c r="M478" s="4"/>
      <c r="N478" s="4"/>
      <c r="P478" s="347">
        <v>34</v>
      </c>
      <c r="Q478" s="348">
        <f>P478*100%/(1000)</f>
        <v>3.4000000000000002E-2</v>
      </c>
      <c r="S478" s="129"/>
    </row>
    <row r="479" spans="1:19" ht="15" hidden="1" customHeight="1" x14ac:dyDescent="0.25">
      <c r="A479" s="61" t="s">
        <v>6131</v>
      </c>
      <c r="B479" s="61" t="s">
        <v>34</v>
      </c>
      <c r="C479" s="61" t="s">
        <v>1626</v>
      </c>
      <c r="D479" s="61" t="s">
        <v>3984</v>
      </c>
      <c r="E479" s="61" t="s">
        <v>3985</v>
      </c>
      <c r="F479" s="61" t="s">
        <v>3986</v>
      </c>
      <c r="G479" s="61"/>
      <c r="H479" s="61">
        <v>30</v>
      </c>
      <c r="I479" s="61"/>
      <c r="J479" s="62">
        <v>29355</v>
      </c>
      <c r="K479" s="61" t="s">
        <v>4002</v>
      </c>
      <c r="L479" s="61" t="s">
        <v>1974</v>
      </c>
      <c r="M479" s="4"/>
      <c r="N479" s="4"/>
      <c r="P479" s="347"/>
      <c r="Q479" s="347"/>
      <c r="S479" s="129"/>
    </row>
    <row r="480" spans="1:19" ht="15" hidden="1" customHeight="1" x14ac:dyDescent="0.25">
      <c r="A480" s="9" t="s">
        <v>6131</v>
      </c>
      <c r="B480" s="9" t="s">
        <v>249</v>
      </c>
      <c r="C480" s="9" t="s">
        <v>1626</v>
      </c>
      <c r="D480" s="9" t="s">
        <v>3987</v>
      </c>
      <c r="E480" s="9" t="s">
        <v>3988</v>
      </c>
      <c r="F480" s="9" t="s">
        <v>3989</v>
      </c>
      <c r="G480" s="9"/>
      <c r="H480" s="9">
        <v>1</v>
      </c>
      <c r="I480" s="9"/>
      <c r="J480" s="37">
        <v>29355</v>
      </c>
      <c r="K480" s="9" t="s">
        <v>4002</v>
      </c>
      <c r="L480" s="9" t="s">
        <v>1974</v>
      </c>
      <c r="M480" s="4"/>
      <c r="N480" s="4"/>
      <c r="P480" s="347"/>
      <c r="Q480" s="347"/>
      <c r="S480" s="129"/>
    </row>
    <row r="481" spans="1:19" ht="15" hidden="1" customHeight="1" x14ac:dyDescent="0.25">
      <c r="A481" s="154" t="s">
        <v>6131</v>
      </c>
      <c r="B481" s="154" t="s">
        <v>3781</v>
      </c>
      <c r="C481" s="154" t="s">
        <v>1626</v>
      </c>
      <c r="D481" s="154" t="s">
        <v>3990</v>
      </c>
      <c r="E481" s="154" t="s">
        <v>3991</v>
      </c>
      <c r="F481" s="154" t="s">
        <v>3992</v>
      </c>
      <c r="G481" s="154"/>
      <c r="H481" s="154">
        <v>1</v>
      </c>
      <c r="I481" s="154"/>
      <c r="J481" s="155">
        <v>29355</v>
      </c>
      <c r="K481" s="154" t="s">
        <v>4002</v>
      </c>
      <c r="L481" s="154" t="s">
        <v>1974</v>
      </c>
      <c r="M481" s="4"/>
      <c r="N481" s="4"/>
      <c r="P481" s="347"/>
      <c r="Q481" s="347"/>
      <c r="S481" s="129"/>
    </row>
    <row r="482" spans="1:19" ht="15" hidden="1" customHeight="1" x14ac:dyDescent="0.25">
      <c r="A482" s="154" t="s">
        <v>5564</v>
      </c>
      <c r="B482" s="154" t="s">
        <v>3781</v>
      </c>
      <c r="C482" s="154" t="s">
        <v>1626</v>
      </c>
      <c r="D482" s="154" t="s">
        <v>3785</v>
      </c>
      <c r="E482" s="154" t="s">
        <v>3786</v>
      </c>
      <c r="F482" s="154" t="s">
        <v>3787</v>
      </c>
      <c r="G482" s="154"/>
      <c r="H482" s="154">
        <v>1</v>
      </c>
      <c r="I482" s="154"/>
      <c r="J482" s="155">
        <v>29355</v>
      </c>
      <c r="K482" s="154" t="s">
        <v>435</v>
      </c>
      <c r="L482" s="154" t="s">
        <v>1974</v>
      </c>
      <c r="M482" s="4"/>
      <c r="N482" s="4"/>
      <c r="P482" s="347">
        <v>37</v>
      </c>
      <c r="Q482" s="348">
        <f>P482*100%/(1000)</f>
        <v>3.6999999999999998E-2</v>
      </c>
      <c r="R482" s="183"/>
      <c r="S482" s="129"/>
    </row>
    <row r="483" spans="1:19" s="4" customFormat="1" ht="15" hidden="1" customHeight="1" x14ac:dyDescent="0.25">
      <c r="A483" s="20" t="s">
        <v>5564</v>
      </c>
      <c r="B483" s="20" t="s">
        <v>597</v>
      </c>
      <c r="C483" s="20" t="s">
        <v>2746</v>
      </c>
      <c r="D483" s="20" t="s">
        <v>1732</v>
      </c>
      <c r="E483" s="20" t="s">
        <v>1733</v>
      </c>
      <c r="F483" s="20" t="s">
        <v>1734</v>
      </c>
      <c r="G483" s="20">
        <v>1647</v>
      </c>
      <c r="H483" s="20">
        <v>3</v>
      </c>
      <c r="I483" s="20">
        <v>9198</v>
      </c>
      <c r="J483" s="36">
        <v>29355</v>
      </c>
      <c r="K483" s="20" t="s">
        <v>435</v>
      </c>
      <c r="L483" s="20" t="s">
        <v>1974</v>
      </c>
      <c r="O483" s="1"/>
      <c r="P483" s="347"/>
      <c r="Q483" s="347"/>
      <c r="R483" s="3"/>
      <c r="S483" s="129"/>
    </row>
    <row r="484" spans="1:19" ht="15" hidden="1" customHeight="1" x14ac:dyDescent="0.25">
      <c r="A484" s="61" t="s">
        <v>5564</v>
      </c>
      <c r="B484" s="61" t="s">
        <v>34</v>
      </c>
      <c r="C484" s="61" t="s">
        <v>2747</v>
      </c>
      <c r="D484" s="61" t="s">
        <v>1735</v>
      </c>
      <c r="E484" s="61" t="s">
        <v>1736</v>
      </c>
      <c r="F484" s="61" t="s">
        <v>1737</v>
      </c>
      <c r="G484" s="61">
        <v>2879</v>
      </c>
      <c r="H484" s="61">
        <v>32</v>
      </c>
      <c r="I484" s="61">
        <v>9198</v>
      </c>
      <c r="J484" s="62">
        <v>29355</v>
      </c>
      <c r="K484" s="61" t="s">
        <v>435</v>
      </c>
      <c r="L484" s="61" t="s">
        <v>1974</v>
      </c>
      <c r="M484" s="4"/>
      <c r="N484" s="4"/>
      <c r="O484" s="4"/>
      <c r="P484" s="347"/>
      <c r="Q484" s="347"/>
      <c r="R484" s="184"/>
      <c r="S484" s="129"/>
    </row>
    <row r="485" spans="1:19" ht="15" hidden="1" customHeight="1" x14ac:dyDescent="0.25">
      <c r="A485" s="9" t="s">
        <v>5564</v>
      </c>
      <c r="B485" s="9" t="s">
        <v>249</v>
      </c>
      <c r="C485" s="9" t="s">
        <v>2785</v>
      </c>
      <c r="D485" s="9" t="s">
        <v>2750</v>
      </c>
      <c r="E485" s="9" t="s">
        <v>2751</v>
      </c>
      <c r="F485" s="9" t="s">
        <v>2752</v>
      </c>
      <c r="G485" s="9">
        <v>1648</v>
      </c>
      <c r="H485" s="9">
        <v>1</v>
      </c>
      <c r="I485" s="9">
        <v>9198</v>
      </c>
      <c r="J485" s="37">
        <v>29355</v>
      </c>
      <c r="K485" s="9" t="s">
        <v>435</v>
      </c>
      <c r="L485" s="9" t="s">
        <v>1974</v>
      </c>
      <c r="M485" s="4"/>
      <c r="N485" s="4"/>
      <c r="P485" s="347"/>
      <c r="Q485" s="347"/>
      <c r="S485" s="129"/>
    </row>
    <row r="486" spans="1:19" ht="15" hidden="1" customHeight="1" x14ac:dyDescent="0.25">
      <c r="A486" s="20" t="s">
        <v>5565</v>
      </c>
      <c r="B486" s="20" t="s">
        <v>597</v>
      </c>
      <c r="C486" s="20" t="s">
        <v>1507</v>
      </c>
      <c r="D486" s="20" t="s">
        <v>4565</v>
      </c>
      <c r="E486" s="20" t="s">
        <v>4566</v>
      </c>
      <c r="F486" s="20" t="s">
        <v>4567</v>
      </c>
      <c r="G486" s="20"/>
      <c r="H486" s="20">
        <v>4</v>
      </c>
      <c r="I486" s="20"/>
      <c r="J486" s="36">
        <v>29355</v>
      </c>
      <c r="K486" s="20" t="s">
        <v>1417</v>
      </c>
      <c r="L486" s="20" t="s">
        <v>1974</v>
      </c>
      <c r="M486" s="4"/>
      <c r="N486" s="4"/>
      <c r="P486" s="347">
        <v>6</v>
      </c>
      <c r="Q486" s="348">
        <f>P486*100%/(1000)</f>
        <v>6.0000000000000001E-3</v>
      </c>
      <c r="R486" s="183"/>
      <c r="S486" s="129"/>
    </row>
    <row r="487" spans="1:19" ht="15" hidden="1" customHeight="1" x14ac:dyDescent="0.25">
      <c r="A487" s="9" t="s">
        <v>5565</v>
      </c>
      <c r="B487" s="9" t="s">
        <v>249</v>
      </c>
      <c r="C487" s="9" t="s">
        <v>1507</v>
      </c>
      <c r="D487" s="9" t="s">
        <v>4568</v>
      </c>
      <c r="E487" s="9" t="s">
        <v>4569</v>
      </c>
      <c r="F487" s="9" t="s">
        <v>4570</v>
      </c>
      <c r="G487" s="9"/>
      <c r="H487" s="9">
        <v>1</v>
      </c>
      <c r="I487" s="9"/>
      <c r="J487" s="37">
        <v>29355</v>
      </c>
      <c r="K487" s="9" t="s">
        <v>1417</v>
      </c>
      <c r="L487" s="9" t="s">
        <v>1974</v>
      </c>
      <c r="M487" s="4"/>
      <c r="N487" s="4"/>
      <c r="P487" s="347"/>
      <c r="Q487" s="347"/>
      <c r="S487" s="129"/>
    </row>
    <row r="488" spans="1:19" ht="15" hidden="1" customHeight="1" x14ac:dyDescent="0.25">
      <c r="A488" s="199" t="s">
        <v>5565</v>
      </c>
      <c r="B488" s="199" t="s">
        <v>3781</v>
      </c>
      <c r="C488" s="199" t="s">
        <v>1507</v>
      </c>
      <c r="D488" s="199" t="s">
        <v>4571</v>
      </c>
      <c r="E488" s="199" t="s">
        <v>4572</v>
      </c>
      <c r="F488" s="199" t="s">
        <v>4573</v>
      </c>
      <c r="G488" s="199"/>
      <c r="H488" s="199">
        <v>1</v>
      </c>
      <c r="I488" s="199"/>
      <c r="J488" s="155">
        <v>29355</v>
      </c>
      <c r="K488" s="199" t="s">
        <v>1417</v>
      </c>
      <c r="L488" s="199" t="s">
        <v>1974</v>
      </c>
      <c r="M488" s="4"/>
      <c r="N488" s="4"/>
      <c r="P488" s="347"/>
      <c r="Q488" s="347"/>
      <c r="S488" s="129"/>
    </row>
    <row r="489" spans="1:19" ht="15" hidden="1" customHeight="1" x14ac:dyDescent="0.25">
      <c r="A489" s="57" t="s">
        <v>6079</v>
      </c>
      <c r="B489" s="57" t="s">
        <v>11</v>
      </c>
      <c r="C489" s="57" t="s">
        <v>1507</v>
      </c>
      <c r="D489" s="57" t="s">
        <v>6080</v>
      </c>
      <c r="E489" s="57" t="s">
        <v>6081</v>
      </c>
      <c r="F489" s="57" t="s">
        <v>6082</v>
      </c>
      <c r="G489" s="57"/>
      <c r="H489" s="57">
        <v>1000</v>
      </c>
      <c r="I489" s="57"/>
      <c r="J489" s="58">
        <v>29355</v>
      </c>
      <c r="K489" s="57" t="s">
        <v>433</v>
      </c>
      <c r="L489" s="57" t="s">
        <v>1974</v>
      </c>
      <c r="M489" s="4"/>
      <c r="N489" s="4"/>
      <c r="P489" s="347">
        <v>1301</v>
      </c>
      <c r="Q489" s="348">
        <f>P489*100%/(1000)</f>
        <v>1.3009999999999999</v>
      </c>
      <c r="R489" s="183"/>
      <c r="S489" s="129"/>
    </row>
    <row r="490" spans="1:19" ht="15" hidden="1" customHeight="1" x14ac:dyDescent="0.25">
      <c r="A490" s="61" t="s">
        <v>6079</v>
      </c>
      <c r="B490" s="61" t="s">
        <v>34</v>
      </c>
      <c r="C490" s="61" t="s">
        <v>1507</v>
      </c>
      <c r="D490" s="61" t="s">
        <v>6083</v>
      </c>
      <c r="E490" s="61" t="s">
        <v>6084</v>
      </c>
      <c r="F490" s="61" t="s">
        <v>6085</v>
      </c>
      <c r="G490" s="61"/>
      <c r="H490" s="61">
        <v>300</v>
      </c>
      <c r="I490" s="61"/>
      <c r="J490" s="62">
        <v>29355</v>
      </c>
      <c r="K490" s="61" t="s">
        <v>433</v>
      </c>
      <c r="L490" s="61" t="s">
        <v>1974</v>
      </c>
      <c r="M490" s="4"/>
      <c r="N490" s="4"/>
      <c r="P490" s="347"/>
      <c r="Q490" s="347"/>
      <c r="S490" s="129"/>
    </row>
    <row r="491" spans="1:19" ht="15" hidden="1" customHeight="1" x14ac:dyDescent="0.25">
      <c r="A491" s="9" t="s">
        <v>6079</v>
      </c>
      <c r="B491" s="9" t="s">
        <v>249</v>
      </c>
      <c r="C491" s="9" t="s">
        <v>1507</v>
      </c>
      <c r="D491" s="9" t="s">
        <v>6086</v>
      </c>
      <c r="E491" s="9" t="s">
        <v>6087</v>
      </c>
      <c r="F491" s="9" t="s">
        <v>6088</v>
      </c>
      <c r="G491" s="9"/>
      <c r="H491" s="9">
        <v>1</v>
      </c>
      <c r="I491" s="9"/>
      <c r="J491" s="37">
        <v>29355</v>
      </c>
      <c r="K491" s="9" t="s">
        <v>433</v>
      </c>
      <c r="L491" s="9" t="s">
        <v>1974</v>
      </c>
      <c r="M491" s="4"/>
      <c r="N491" s="4"/>
      <c r="P491" s="347"/>
      <c r="Q491" s="347"/>
      <c r="S491" s="129"/>
    </row>
    <row r="492" spans="1:19" ht="15" hidden="1" customHeight="1" x14ac:dyDescent="0.25">
      <c r="A492" s="20" t="s">
        <v>5566</v>
      </c>
      <c r="B492" s="20" t="s">
        <v>597</v>
      </c>
      <c r="C492" s="20" t="s">
        <v>3338</v>
      </c>
      <c r="D492" s="20" t="s">
        <v>3293</v>
      </c>
      <c r="E492" s="20" t="s">
        <v>3294</v>
      </c>
      <c r="F492" s="20" t="s">
        <v>3295</v>
      </c>
      <c r="G492" s="20">
        <v>370</v>
      </c>
      <c r="H492" s="20">
        <v>4</v>
      </c>
      <c r="I492" s="20">
        <v>9198</v>
      </c>
      <c r="J492" s="36">
        <v>29355</v>
      </c>
      <c r="K492" s="20" t="s">
        <v>1417</v>
      </c>
      <c r="L492" s="20" t="s">
        <v>1974</v>
      </c>
      <c r="M492" s="4"/>
      <c r="N492" s="4"/>
      <c r="P492" s="347">
        <v>176</v>
      </c>
      <c r="Q492" s="348">
        <f>P492*100%/(1000)</f>
        <v>0.17599999999999999</v>
      </c>
      <c r="S492" s="129"/>
    </row>
    <row r="493" spans="1:19" ht="15" hidden="1" customHeight="1" x14ac:dyDescent="0.25">
      <c r="A493" s="61" t="s">
        <v>5566</v>
      </c>
      <c r="B493" s="61" t="s">
        <v>34</v>
      </c>
      <c r="C493" s="61" t="s">
        <v>3337</v>
      </c>
      <c r="D493" s="61" t="s">
        <v>3296</v>
      </c>
      <c r="E493" s="61" t="s">
        <v>3297</v>
      </c>
      <c r="F493" s="61" t="s">
        <v>3298</v>
      </c>
      <c r="G493" s="61">
        <v>371</v>
      </c>
      <c r="H493" s="61">
        <v>172</v>
      </c>
      <c r="I493" s="61">
        <v>9198</v>
      </c>
      <c r="J493" s="62">
        <v>29355</v>
      </c>
      <c r="K493" s="61" t="s">
        <v>1417</v>
      </c>
      <c r="L493" s="61" t="s">
        <v>1974</v>
      </c>
      <c r="M493" s="4"/>
      <c r="N493" s="4"/>
      <c r="P493" s="347"/>
      <c r="Q493" s="347"/>
      <c r="S493" s="129"/>
    </row>
    <row r="494" spans="1:19" ht="15" hidden="1" customHeight="1" x14ac:dyDescent="0.25">
      <c r="A494" s="57" t="s">
        <v>5566</v>
      </c>
      <c r="B494" s="57" t="s">
        <v>11</v>
      </c>
      <c r="C494" s="57" t="s">
        <v>1507</v>
      </c>
      <c r="D494" s="57" t="s">
        <v>7473</v>
      </c>
      <c r="E494" s="57" t="s">
        <v>7474</v>
      </c>
      <c r="F494" s="57" t="s">
        <v>7475</v>
      </c>
      <c r="G494" s="57"/>
      <c r="H494" s="57">
        <v>100</v>
      </c>
      <c r="I494" s="57">
        <v>9198</v>
      </c>
      <c r="J494" s="57">
        <v>29355</v>
      </c>
      <c r="K494" s="57" t="s">
        <v>1417</v>
      </c>
      <c r="L494" s="57" t="s">
        <v>1974</v>
      </c>
      <c r="M494" s="4"/>
      <c r="N494" s="4"/>
      <c r="P494" s="326"/>
      <c r="Q494" s="326"/>
      <c r="S494" s="129"/>
    </row>
    <row r="495" spans="1:19" ht="15" hidden="1" customHeight="1" x14ac:dyDescent="0.25">
      <c r="A495" s="9" t="s">
        <v>5566</v>
      </c>
      <c r="B495" s="9" t="s">
        <v>249</v>
      </c>
      <c r="C495" s="9" t="s">
        <v>1507</v>
      </c>
      <c r="D495" s="9" t="s">
        <v>7476</v>
      </c>
      <c r="E495" s="9" t="s">
        <v>7477</v>
      </c>
      <c r="F495" s="9" t="s">
        <v>7478</v>
      </c>
      <c r="G495" s="9"/>
      <c r="H495" s="9">
        <v>1</v>
      </c>
      <c r="I495" s="9">
        <v>9198</v>
      </c>
      <c r="J495" s="9">
        <v>29355</v>
      </c>
      <c r="K495" s="9" t="s">
        <v>1417</v>
      </c>
      <c r="L495" s="9" t="s">
        <v>1974</v>
      </c>
      <c r="M495" s="4"/>
      <c r="N495" s="4"/>
      <c r="P495" s="326"/>
      <c r="Q495" s="326"/>
      <c r="S495" s="129"/>
    </row>
    <row r="496" spans="1:19" ht="15" hidden="1" customHeight="1" x14ac:dyDescent="0.25">
      <c r="A496" s="154" t="s">
        <v>5566</v>
      </c>
      <c r="B496" s="154" t="s">
        <v>3781</v>
      </c>
      <c r="C496" s="154" t="s">
        <v>1507</v>
      </c>
      <c r="D496" s="154" t="s">
        <v>7479</v>
      </c>
      <c r="E496" s="154" t="s">
        <v>7480</v>
      </c>
      <c r="F496" s="154" t="s">
        <v>7481</v>
      </c>
      <c r="G496" s="154"/>
      <c r="H496" s="154">
        <v>1</v>
      </c>
      <c r="I496" s="154">
        <v>9198</v>
      </c>
      <c r="J496" s="154">
        <v>29355</v>
      </c>
      <c r="K496" s="154" t="s">
        <v>1417</v>
      </c>
      <c r="L496" s="154" t="s">
        <v>1974</v>
      </c>
      <c r="M496" s="4"/>
      <c r="N496" s="4"/>
      <c r="P496" s="326"/>
      <c r="Q496" s="326"/>
      <c r="S496" s="129"/>
    </row>
    <row r="497" spans="1:19" s="4" customFormat="1" ht="15" hidden="1" customHeight="1" x14ac:dyDescent="0.25">
      <c r="A497" s="20" t="s">
        <v>5567</v>
      </c>
      <c r="B497" s="20" t="s">
        <v>597</v>
      </c>
      <c r="C497" s="20" t="s">
        <v>809</v>
      </c>
      <c r="D497" s="20" t="s">
        <v>604</v>
      </c>
      <c r="E497" s="20" t="s">
        <v>605</v>
      </c>
      <c r="F497" s="20" t="s">
        <v>606</v>
      </c>
      <c r="G497" s="20">
        <v>1635</v>
      </c>
      <c r="H497" s="20">
        <v>12</v>
      </c>
      <c r="I497" s="20">
        <v>65332</v>
      </c>
      <c r="J497" s="36">
        <v>65008</v>
      </c>
      <c r="K497" s="20" t="s">
        <v>434</v>
      </c>
      <c r="L497" s="20" t="s">
        <v>1974</v>
      </c>
      <c r="P497" s="347">
        <v>263</v>
      </c>
      <c r="Q497" s="348">
        <f>P497*100%/(1000)</f>
        <v>0.26300000000000001</v>
      </c>
      <c r="R497" s="184"/>
      <c r="S497" s="129"/>
    </row>
    <row r="498" spans="1:19" s="4" customFormat="1" ht="15" hidden="1" customHeight="1" x14ac:dyDescent="0.25">
      <c r="A498" s="57" t="s">
        <v>5567</v>
      </c>
      <c r="B498" s="57" t="s">
        <v>11</v>
      </c>
      <c r="C498" s="57" t="s">
        <v>1626</v>
      </c>
      <c r="D498" s="57" t="s">
        <v>3442</v>
      </c>
      <c r="E498" s="57" t="s">
        <v>3443</v>
      </c>
      <c r="F498" s="57" t="s">
        <v>3444</v>
      </c>
      <c r="G498" s="57">
        <v>1213</v>
      </c>
      <c r="H498" s="57">
        <v>100</v>
      </c>
      <c r="I498" s="57">
        <v>9198</v>
      </c>
      <c r="J498" s="58">
        <v>65008</v>
      </c>
      <c r="K498" s="57" t="s">
        <v>574</v>
      </c>
      <c r="L498" s="57" t="s">
        <v>1974</v>
      </c>
      <c r="P498" s="347"/>
      <c r="Q498" s="347"/>
      <c r="R498" s="214"/>
      <c r="S498" s="260"/>
    </row>
    <row r="499" spans="1:19" ht="15" hidden="1" customHeight="1" x14ac:dyDescent="0.25">
      <c r="A499" s="61" t="s">
        <v>5567</v>
      </c>
      <c r="B499" s="61" t="s">
        <v>34</v>
      </c>
      <c r="C499" s="61" t="s">
        <v>1626</v>
      </c>
      <c r="D499" s="61" t="s">
        <v>640</v>
      </c>
      <c r="E499" s="61" t="s">
        <v>641</v>
      </c>
      <c r="F499" s="61" t="s">
        <v>642</v>
      </c>
      <c r="G499" s="61">
        <v>610</v>
      </c>
      <c r="H499" s="61">
        <v>150</v>
      </c>
      <c r="I499" s="61">
        <v>65332</v>
      </c>
      <c r="J499" s="62">
        <v>65008</v>
      </c>
      <c r="K499" s="61" t="s">
        <v>434</v>
      </c>
      <c r="L499" s="61" t="s">
        <v>1974</v>
      </c>
      <c r="M499" s="4"/>
      <c r="N499" s="4"/>
      <c r="P499" s="347"/>
      <c r="Q499" s="347"/>
      <c r="S499" s="129"/>
    </row>
    <row r="500" spans="1:19" ht="15" hidden="1" customHeight="1" x14ac:dyDescent="0.25">
      <c r="A500" s="9" t="s">
        <v>5567</v>
      </c>
      <c r="B500" s="9" t="s">
        <v>249</v>
      </c>
      <c r="C500" s="9" t="s">
        <v>1293</v>
      </c>
      <c r="D500" s="9" t="s">
        <v>1050</v>
      </c>
      <c r="E500" s="9" t="s">
        <v>1051</v>
      </c>
      <c r="F500" s="9" t="s">
        <v>1052</v>
      </c>
      <c r="G500" s="9">
        <v>217</v>
      </c>
      <c r="H500" s="9">
        <v>1</v>
      </c>
      <c r="I500" s="9">
        <v>65332</v>
      </c>
      <c r="J500" s="37">
        <v>65008</v>
      </c>
      <c r="K500" s="9" t="s">
        <v>434</v>
      </c>
      <c r="L500" s="9" t="s">
        <v>1974</v>
      </c>
      <c r="M500" s="4"/>
      <c r="N500" s="4"/>
      <c r="P500" s="347"/>
      <c r="Q500" s="347"/>
      <c r="S500" s="129"/>
    </row>
    <row r="501" spans="1:19" ht="15" hidden="1" customHeight="1" x14ac:dyDescent="0.3">
      <c r="A501" s="154" t="s">
        <v>4804</v>
      </c>
      <c r="B501" s="154" t="s">
        <v>3781</v>
      </c>
      <c r="C501" s="154" t="s">
        <v>4872</v>
      </c>
      <c r="D501" s="154"/>
      <c r="E501" s="154"/>
      <c r="F501" s="154" t="s">
        <v>4800</v>
      </c>
      <c r="G501" s="154">
        <v>2317</v>
      </c>
      <c r="H501" s="154">
        <v>1</v>
      </c>
      <c r="I501" s="154" t="s">
        <v>1454</v>
      </c>
      <c r="J501" s="155" t="s">
        <v>1454</v>
      </c>
      <c r="K501" s="154" t="s">
        <v>1691</v>
      </c>
      <c r="L501" s="154" t="s">
        <v>1974</v>
      </c>
      <c r="M501" s="4"/>
      <c r="N501" s="4"/>
      <c r="P501">
        <v>1</v>
      </c>
      <c r="Q501" s="303">
        <f>P501*100%/(1000)</f>
        <v>1E-3</v>
      </c>
      <c r="S501" s="129"/>
    </row>
    <row r="502" spans="1:19" ht="15" hidden="1" customHeight="1" x14ac:dyDescent="0.25">
      <c r="A502" s="20" t="s">
        <v>4944</v>
      </c>
      <c r="B502" s="20" t="s">
        <v>597</v>
      </c>
      <c r="C502" s="20" t="s">
        <v>4941</v>
      </c>
      <c r="D502" s="20"/>
      <c r="E502" s="20"/>
      <c r="F502" s="20" t="s">
        <v>4945</v>
      </c>
      <c r="G502" s="20">
        <v>2319</v>
      </c>
      <c r="H502" s="20">
        <v>10</v>
      </c>
      <c r="I502" s="20" t="s">
        <v>1454</v>
      </c>
      <c r="J502" s="36" t="s">
        <v>1454</v>
      </c>
      <c r="K502" s="20" t="s">
        <v>1691</v>
      </c>
      <c r="L502" s="20" t="s">
        <v>1974</v>
      </c>
      <c r="M502" s="4"/>
      <c r="N502" s="4"/>
      <c r="P502" s="347">
        <v>210</v>
      </c>
      <c r="Q502" s="348">
        <f>P502*100%/(1000)</f>
        <v>0.21</v>
      </c>
      <c r="S502" s="129"/>
    </row>
    <row r="503" spans="1:19" ht="15" hidden="1" customHeight="1" x14ac:dyDescent="0.25">
      <c r="A503" s="141" t="s">
        <v>4944</v>
      </c>
      <c r="B503" s="141" t="s">
        <v>34</v>
      </c>
      <c r="C503" s="141" t="s">
        <v>4942</v>
      </c>
      <c r="D503" s="141"/>
      <c r="E503" s="141"/>
      <c r="F503" s="141" t="s">
        <v>4943</v>
      </c>
      <c r="G503" s="141">
        <v>2320</v>
      </c>
      <c r="H503" s="141">
        <v>200</v>
      </c>
      <c r="I503" s="141" t="s">
        <v>1454</v>
      </c>
      <c r="J503" s="62" t="s">
        <v>1454</v>
      </c>
      <c r="K503" s="141" t="s">
        <v>1691</v>
      </c>
      <c r="L503" s="141" t="s">
        <v>1974</v>
      </c>
      <c r="M503" s="4"/>
      <c r="N503" s="4"/>
      <c r="P503" s="347"/>
      <c r="Q503" s="347"/>
      <c r="S503" s="129"/>
    </row>
    <row r="504" spans="1:19" ht="15" hidden="1" customHeight="1" x14ac:dyDescent="0.25">
      <c r="A504" s="20" t="s">
        <v>5568</v>
      </c>
      <c r="B504" s="20" t="s">
        <v>597</v>
      </c>
      <c r="C504" s="20" t="s">
        <v>1507</v>
      </c>
      <c r="D504" s="20" t="s">
        <v>4249</v>
      </c>
      <c r="E504" s="20" t="s">
        <v>4250</v>
      </c>
      <c r="F504" s="20" t="s">
        <v>4251</v>
      </c>
      <c r="G504" s="20"/>
      <c r="H504" s="20">
        <v>3</v>
      </c>
      <c r="I504" s="20"/>
      <c r="J504" s="36">
        <v>29355</v>
      </c>
      <c r="K504" s="20"/>
      <c r="L504" s="20" t="s">
        <v>1975</v>
      </c>
      <c r="M504" s="4"/>
      <c r="N504" s="4"/>
      <c r="P504" s="347">
        <v>904</v>
      </c>
      <c r="Q504" s="348">
        <f>P504*100%/(2000)</f>
        <v>0.45200000000000001</v>
      </c>
      <c r="S504" s="129"/>
    </row>
    <row r="505" spans="1:19" ht="15" hidden="1" customHeight="1" x14ac:dyDescent="0.25">
      <c r="A505" s="61" t="s">
        <v>5568</v>
      </c>
      <c r="B505" s="61" t="s">
        <v>34</v>
      </c>
      <c r="C505" s="61" t="s">
        <v>1507</v>
      </c>
      <c r="D505" s="61" t="s">
        <v>4252</v>
      </c>
      <c r="E505" s="61" t="s">
        <v>4253</v>
      </c>
      <c r="F505" s="61" t="s">
        <v>4254</v>
      </c>
      <c r="G505" s="61"/>
      <c r="H505" s="61">
        <v>550</v>
      </c>
      <c r="I505" s="61"/>
      <c r="J505" s="62">
        <v>29355</v>
      </c>
      <c r="K505" s="61"/>
      <c r="L505" s="61" t="s">
        <v>1975</v>
      </c>
      <c r="M505" s="4"/>
      <c r="N505" s="4"/>
      <c r="P505" s="347"/>
      <c r="Q505" s="347"/>
      <c r="S505" s="129"/>
    </row>
    <row r="506" spans="1:19" ht="15" hidden="1" customHeight="1" x14ac:dyDescent="0.25">
      <c r="A506" s="9" t="s">
        <v>5568</v>
      </c>
      <c r="B506" s="9" t="s">
        <v>249</v>
      </c>
      <c r="C506" s="9" t="s">
        <v>1507</v>
      </c>
      <c r="D506" s="9" t="s">
        <v>4255</v>
      </c>
      <c r="E506" s="9" t="s">
        <v>4256</v>
      </c>
      <c r="F506" s="9" t="s">
        <v>4257</v>
      </c>
      <c r="G506" s="9"/>
      <c r="H506" s="9">
        <v>1</v>
      </c>
      <c r="I506" s="9"/>
      <c r="J506" s="37">
        <v>29355</v>
      </c>
      <c r="K506" s="9"/>
      <c r="L506" s="9" t="s">
        <v>1975</v>
      </c>
      <c r="M506" s="4"/>
      <c r="N506" s="4"/>
      <c r="P506" s="347"/>
      <c r="Q506" s="347"/>
      <c r="S506" s="129"/>
    </row>
    <row r="507" spans="1:19" ht="15" hidden="1" customHeight="1" x14ac:dyDescent="0.25">
      <c r="A507" s="57" t="s">
        <v>5568</v>
      </c>
      <c r="B507" s="57" t="s">
        <v>11</v>
      </c>
      <c r="C507" s="57" t="s">
        <v>1507</v>
      </c>
      <c r="D507" s="57" t="s">
        <v>4258</v>
      </c>
      <c r="E507" s="57" t="s">
        <v>4259</v>
      </c>
      <c r="F507" s="57" t="s">
        <v>4260</v>
      </c>
      <c r="G507" s="57"/>
      <c r="H507" s="57">
        <v>350</v>
      </c>
      <c r="I507" s="57"/>
      <c r="J507" s="58">
        <v>29355</v>
      </c>
      <c r="K507" s="57"/>
      <c r="L507" s="57" t="s">
        <v>1975</v>
      </c>
      <c r="M507" s="4"/>
      <c r="N507" s="4"/>
      <c r="P507" s="347"/>
      <c r="Q507" s="347"/>
      <c r="S507" s="129"/>
    </row>
    <row r="508" spans="1:19" ht="15" hidden="1" customHeight="1" x14ac:dyDescent="0.25">
      <c r="A508" s="57" t="s">
        <v>5570</v>
      </c>
      <c r="B508" s="57" t="s">
        <v>11</v>
      </c>
      <c r="C508" s="57" t="s">
        <v>2895</v>
      </c>
      <c r="D508" s="57" t="s">
        <v>2823</v>
      </c>
      <c r="E508" s="57" t="s">
        <v>2824</v>
      </c>
      <c r="F508" s="57" t="s">
        <v>2825</v>
      </c>
      <c r="G508" s="57">
        <v>559</v>
      </c>
      <c r="H508" s="57">
        <v>280</v>
      </c>
      <c r="I508" s="57">
        <v>9198</v>
      </c>
      <c r="J508" s="58">
        <v>29355</v>
      </c>
      <c r="K508" s="57" t="s">
        <v>1417</v>
      </c>
      <c r="L508" s="57" t="s">
        <v>1974</v>
      </c>
      <c r="M508" s="4"/>
      <c r="N508" s="4"/>
      <c r="O508" s="4"/>
      <c r="P508" s="347">
        <v>485</v>
      </c>
      <c r="Q508" s="348">
        <f>P508*100%/(1000)</f>
        <v>0.48499999999999999</v>
      </c>
      <c r="R508" s="214"/>
      <c r="S508" s="129"/>
    </row>
    <row r="509" spans="1:19" ht="15" hidden="1" customHeight="1" x14ac:dyDescent="0.25">
      <c r="A509" s="61" t="s">
        <v>5570</v>
      </c>
      <c r="B509" s="61" t="s">
        <v>34</v>
      </c>
      <c r="C509" s="61" t="s">
        <v>1880</v>
      </c>
      <c r="D509" s="61" t="s">
        <v>1858</v>
      </c>
      <c r="E509" s="61" t="s">
        <v>1859</v>
      </c>
      <c r="F509" s="61" t="s">
        <v>1860</v>
      </c>
      <c r="G509" s="61">
        <v>555</v>
      </c>
      <c r="H509" s="61">
        <v>104</v>
      </c>
      <c r="I509" s="61">
        <v>9198</v>
      </c>
      <c r="J509" s="62">
        <v>29355</v>
      </c>
      <c r="K509" s="61" t="s">
        <v>436</v>
      </c>
      <c r="L509" s="61" t="s">
        <v>1974</v>
      </c>
      <c r="M509" s="4"/>
      <c r="N509" s="4"/>
      <c r="P509" s="347"/>
      <c r="Q509" s="347"/>
      <c r="S509" s="129"/>
    </row>
    <row r="510" spans="1:19" ht="15" hidden="1" customHeight="1" x14ac:dyDescent="0.25">
      <c r="A510" s="9" t="s">
        <v>5570</v>
      </c>
      <c r="B510" s="9" t="s">
        <v>249</v>
      </c>
      <c r="C510" s="9" t="s">
        <v>1881</v>
      </c>
      <c r="D510" s="9" t="s">
        <v>1861</v>
      </c>
      <c r="E510" s="9" t="s">
        <v>1862</v>
      </c>
      <c r="F510" s="9" t="s">
        <v>1863</v>
      </c>
      <c r="G510" s="9">
        <v>556</v>
      </c>
      <c r="H510" s="9">
        <v>1</v>
      </c>
      <c r="I510" s="9">
        <v>9198</v>
      </c>
      <c r="J510" s="37">
        <v>29355</v>
      </c>
      <c r="K510" s="9" t="s">
        <v>436</v>
      </c>
      <c r="L510" s="9" t="s">
        <v>1974</v>
      </c>
      <c r="M510" s="4"/>
      <c r="N510" s="4"/>
      <c r="O510" s="4"/>
      <c r="P510" s="347"/>
      <c r="Q510" s="347"/>
      <c r="R510" s="184"/>
      <c r="S510" s="129"/>
    </row>
    <row r="511" spans="1:19" ht="15" hidden="1" customHeight="1" x14ac:dyDescent="0.25">
      <c r="A511" s="167" t="s">
        <v>5570</v>
      </c>
      <c r="B511" s="167" t="s">
        <v>3825</v>
      </c>
      <c r="C511" s="167" t="s">
        <v>4115</v>
      </c>
      <c r="D511" s="167" t="s">
        <v>3835</v>
      </c>
      <c r="E511" s="167" t="s">
        <v>3836</v>
      </c>
      <c r="F511" s="167" t="s">
        <v>3837</v>
      </c>
      <c r="G511" s="167">
        <v>2125</v>
      </c>
      <c r="H511" s="167">
        <v>100</v>
      </c>
      <c r="I511" s="167">
        <v>9198</v>
      </c>
      <c r="J511" s="166">
        <v>29355</v>
      </c>
      <c r="K511" s="167" t="s">
        <v>428</v>
      </c>
      <c r="L511" s="167" t="s">
        <v>1974</v>
      </c>
      <c r="M511" s="4"/>
      <c r="N511" s="4"/>
      <c r="O511" s="4"/>
      <c r="P511" s="347"/>
      <c r="Q511" s="347"/>
      <c r="R511" s="184"/>
      <c r="S511" s="129"/>
    </row>
    <row r="512" spans="1:19" ht="15" hidden="1" customHeight="1" x14ac:dyDescent="0.25">
      <c r="A512" s="133" t="s">
        <v>5569</v>
      </c>
      <c r="B512" s="133" t="s">
        <v>597</v>
      </c>
      <c r="C512" s="133" t="s">
        <v>3745</v>
      </c>
      <c r="D512" s="133" t="s">
        <v>3663</v>
      </c>
      <c r="E512" s="133" t="s">
        <v>3664</v>
      </c>
      <c r="F512" s="133" t="s">
        <v>3665</v>
      </c>
      <c r="G512" s="133">
        <v>500</v>
      </c>
      <c r="H512" s="133">
        <v>4</v>
      </c>
      <c r="I512" s="133">
        <v>9198</v>
      </c>
      <c r="J512" s="36">
        <v>29355</v>
      </c>
      <c r="K512" s="133" t="s">
        <v>440</v>
      </c>
      <c r="L512" s="133" t="s">
        <v>1974</v>
      </c>
      <c r="M512" s="4"/>
      <c r="N512" s="4"/>
      <c r="P512" s="347">
        <v>79</v>
      </c>
      <c r="Q512" s="348">
        <f>P512*100%/(1000)</f>
        <v>7.9000000000000001E-2</v>
      </c>
      <c r="S512" s="129"/>
    </row>
    <row r="513" spans="1:19" ht="15" hidden="1" customHeight="1" x14ac:dyDescent="0.25">
      <c r="A513" s="61" t="s">
        <v>5569</v>
      </c>
      <c r="B513" s="61" t="s">
        <v>34</v>
      </c>
      <c r="C513" s="61" t="s">
        <v>3746</v>
      </c>
      <c r="D513" s="61" t="s">
        <v>3666</v>
      </c>
      <c r="E513" s="61" t="s">
        <v>3667</v>
      </c>
      <c r="F513" s="61" t="s">
        <v>3668</v>
      </c>
      <c r="G513" s="61">
        <v>502</v>
      </c>
      <c r="H513" s="61">
        <v>74</v>
      </c>
      <c r="I513" s="61">
        <v>9198</v>
      </c>
      <c r="J513" s="62">
        <v>29355</v>
      </c>
      <c r="K513" s="61" t="s">
        <v>440</v>
      </c>
      <c r="L513" s="61" t="s">
        <v>1974</v>
      </c>
      <c r="M513" s="4"/>
      <c r="N513" s="4"/>
      <c r="P513" s="347"/>
      <c r="Q513" s="347"/>
      <c r="S513" s="129"/>
    </row>
    <row r="514" spans="1:19" ht="15" hidden="1" customHeight="1" x14ac:dyDescent="0.25">
      <c r="A514" s="9" t="s">
        <v>5569</v>
      </c>
      <c r="B514" s="9" t="s">
        <v>249</v>
      </c>
      <c r="C514" s="9" t="s">
        <v>3747</v>
      </c>
      <c r="D514" s="9" t="s">
        <v>3669</v>
      </c>
      <c r="E514" s="9" t="s">
        <v>3670</v>
      </c>
      <c r="F514" s="9" t="s">
        <v>3671</v>
      </c>
      <c r="G514" s="9">
        <v>501</v>
      </c>
      <c r="H514" s="9">
        <v>1</v>
      </c>
      <c r="I514" s="9">
        <v>9198</v>
      </c>
      <c r="J514" s="37">
        <v>29355</v>
      </c>
      <c r="K514" s="9" t="s">
        <v>440</v>
      </c>
      <c r="L514" s="9" t="s">
        <v>1974</v>
      </c>
      <c r="M514" s="4"/>
      <c r="N514" s="4"/>
      <c r="P514" s="347"/>
      <c r="Q514" s="347"/>
      <c r="S514" s="129"/>
    </row>
    <row r="515" spans="1:19" ht="15" hidden="1" customHeight="1" x14ac:dyDescent="0.25">
      <c r="A515" s="133" t="s">
        <v>5571</v>
      </c>
      <c r="B515" s="133" t="s">
        <v>597</v>
      </c>
      <c r="C515" s="133" t="s">
        <v>3627</v>
      </c>
      <c r="D515" s="133" t="s">
        <v>3445</v>
      </c>
      <c r="E515" s="133" t="s">
        <v>3446</v>
      </c>
      <c r="F515" s="133" t="s">
        <v>3447</v>
      </c>
      <c r="G515" s="133">
        <v>2176</v>
      </c>
      <c r="H515" s="133">
        <v>2</v>
      </c>
      <c r="I515" s="133">
        <v>9198</v>
      </c>
      <c r="J515" s="36">
        <v>29355</v>
      </c>
      <c r="K515" s="133" t="s">
        <v>1691</v>
      </c>
      <c r="L515" s="133" t="s">
        <v>3630</v>
      </c>
      <c r="M515" s="4"/>
      <c r="N515" s="4"/>
      <c r="O515" s="4"/>
      <c r="P515" s="347">
        <v>59</v>
      </c>
      <c r="Q515" s="348">
        <f>P515*100%*10/(1000)</f>
        <v>0.59</v>
      </c>
      <c r="R515" s="146" t="s">
        <v>4895</v>
      </c>
      <c r="S515" s="129"/>
    </row>
    <row r="516" spans="1:19" ht="15" hidden="1" customHeight="1" x14ac:dyDescent="0.25">
      <c r="A516" s="61" t="s">
        <v>5571</v>
      </c>
      <c r="B516" s="61" t="s">
        <v>34</v>
      </c>
      <c r="C516" s="61" t="s">
        <v>3628</v>
      </c>
      <c r="D516" s="61" t="s">
        <v>3448</v>
      </c>
      <c r="E516" s="61" t="s">
        <v>3449</v>
      </c>
      <c r="F516" s="61" t="s">
        <v>3450</v>
      </c>
      <c r="G516" s="61">
        <v>2177</v>
      </c>
      <c r="H516" s="61">
        <v>56</v>
      </c>
      <c r="I516" s="61">
        <v>9198</v>
      </c>
      <c r="J516" s="62">
        <v>29355</v>
      </c>
      <c r="K516" s="61" t="s">
        <v>1691</v>
      </c>
      <c r="L516" s="61" t="s">
        <v>3630</v>
      </c>
      <c r="M516" s="4"/>
      <c r="N516" s="4"/>
      <c r="O516" s="4"/>
      <c r="P516" s="347"/>
      <c r="Q516" s="347"/>
      <c r="R516" s="146" t="s">
        <v>4960</v>
      </c>
      <c r="S516" s="146" t="s">
        <v>6060</v>
      </c>
    </row>
    <row r="517" spans="1:19" ht="15" hidden="1" customHeight="1" x14ac:dyDescent="0.25">
      <c r="A517" s="9" t="s">
        <v>5571</v>
      </c>
      <c r="B517" s="9" t="s">
        <v>249</v>
      </c>
      <c r="C517" s="9" t="s">
        <v>3629</v>
      </c>
      <c r="D517" s="9" t="s">
        <v>3451</v>
      </c>
      <c r="E517" s="9" t="s">
        <v>3452</v>
      </c>
      <c r="F517" s="9" t="s">
        <v>3453</v>
      </c>
      <c r="G517" s="9">
        <v>2178</v>
      </c>
      <c r="H517" s="9">
        <v>1</v>
      </c>
      <c r="I517" s="9">
        <v>9198</v>
      </c>
      <c r="J517" s="37">
        <v>29355</v>
      </c>
      <c r="K517" s="142" t="s">
        <v>1691</v>
      </c>
      <c r="L517" s="142" t="s">
        <v>3630</v>
      </c>
      <c r="M517" s="4"/>
      <c r="N517" s="4"/>
      <c r="O517" s="4"/>
      <c r="P517" s="347"/>
      <c r="Q517" s="347"/>
      <c r="R517" s="146" t="s">
        <v>6434</v>
      </c>
      <c r="S517" s="129"/>
    </row>
    <row r="518" spans="1:19" ht="15" hidden="1" customHeight="1" x14ac:dyDescent="0.25">
      <c r="A518" s="20" t="s">
        <v>5573</v>
      </c>
      <c r="B518" s="20" t="s">
        <v>597</v>
      </c>
      <c r="C518" s="20" t="s">
        <v>4281</v>
      </c>
      <c r="D518" s="20" t="s">
        <v>4125</v>
      </c>
      <c r="E518" s="20" t="s">
        <v>4126</v>
      </c>
      <c r="F518" s="20" t="s">
        <v>4127</v>
      </c>
      <c r="G518" s="20">
        <v>500</v>
      </c>
      <c r="H518" s="20">
        <v>2</v>
      </c>
      <c r="I518" s="20">
        <v>9198</v>
      </c>
      <c r="J518" s="36">
        <v>29355</v>
      </c>
      <c r="K518" s="147" t="s">
        <v>429</v>
      </c>
      <c r="L518" s="147" t="s">
        <v>1974</v>
      </c>
      <c r="M518" s="4"/>
      <c r="N518" s="4"/>
      <c r="O518" s="4"/>
      <c r="P518" s="347">
        <v>98</v>
      </c>
      <c r="Q518" s="348">
        <f>P518*100%/(1000)</f>
        <v>9.8000000000000004E-2</v>
      </c>
      <c r="R518" s="184"/>
      <c r="S518" s="129"/>
    </row>
    <row r="519" spans="1:19" ht="15" hidden="1" customHeight="1" x14ac:dyDescent="0.25">
      <c r="A519" s="61" t="s">
        <v>5573</v>
      </c>
      <c r="B519" s="61" t="s">
        <v>34</v>
      </c>
      <c r="C519" s="61" t="s">
        <v>4282</v>
      </c>
      <c r="D519" s="61" t="s">
        <v>4128</v>
      </c>
      <c r="E519" s="61" t="s">
        <v>4129</v>
      </c>
      <c r="F519" s="61" t="s">
        <v>4130</v>
      </c>
      <c r="G519" s="61">
        <v>501</v>
      </c>
      <c r="H519" s="61">
        <v>64</v>
      </c>
      <c r="I519" s="61">
        <v>9198</v>
      </c>
      <c r="J519" s="62">
        <v>29355</v>
      </c>
      <c r="K519" s="61" t="s">
        <v>429</v>
      </c>
      <c r="L519" s="61" t="s">
        <v>1974</v>
      </c>
      <c r="M519" s="4"/>
      <c r="N519" s="4"/>
      <c r="O519" s="4"/>
      <c r="P519" s="347"/>
      <c r="Q519" s="347"/>
      <c r="R519" s="184"/>
      <c r="S519" s="129"/>
    </row>
    <row r="520" spans="1:19" ht="15" hidden="1" customHeight="1" x14ac:dyDescent="0.25">
      <c r="A520" s="9" t="s">
        <v>5573</v>
      </c>
      <c r="B520" s="9" t="s">
        <v>249</v>
      </c>
      <c r="C520" s="9" t="s">
        <v>4283</v>
      </c>
      <c r="D520" s="9" t="s">
        <v>4131</v>
      </c>
      <c r="E520" s="9" t="s">
        <v>4132</v>
      </c>
      <c r="F520" s="9" t="s">
        <v>4133</v>
      </c>
      <c r="G520" s="9">
        <v>502</v>
      </c>
      <c r="H520" s="9">
        <v>1</v>
      </c>
      <c r="I520" s="9">
        <v>9198</v>
      </c>
      <c r="J520" s="37">
        <v>29355</v>
      </c>
      <c r="K520" s="9" t="s">
        <v>429</v>
      </c>
      <c r="L520" s="9" t="s">
        <v>1974</v>
      </c>
      <c r="M520" s="4"/>
      <c r="N520" s="4"/>
      <c r="O520" s="4"/>
      <c r="P520" s="347"/>
      <c r="Q520" s="347"/>
      <c r="R520" s="184"/>
      <c r="S520" s="129"/>
    </row>
    <row r="521" spans="1:19" ht="15" hidden="1" customHeight="1" x14ac:dyDescent="0.25">
      <c r="A521" s="154" t="s">
        <v>5573</v>
      </c>
      <c r="B521" s="154" t="s">
        <v>3781</v>
      </c>
      <c r="C521" s="154" t="s">
        <v>4697</v>
      </c>
      <c r="D521" s="154" t="s">
        <v>4614</v>
      </c>
      <c r="E521" s="154" t="s">
        <v>4612</v>
      </c>
      <c r="F521" s="154" t="s">
        <v>4613</v>
      </c>
      <c r="G521" s="154">
        <v>2020</v>
      </c>
      <c r="H521" s="154">
        <v>1</v>
      </c>
      <c r="I521" s="154">
        <v>9198</v>
      </c>
      <c r="J521" s="155">
        <v>29355</v>
      </c>
      <c r="K521" s="199" t="s">
        <v>429</v>
      </c>
      <c r="L521" s="199" t="s">
        <v>1974</v>
      </c>
      <c r="M521" s="4"/>
      <c r="N521" s="4"/>
      <c r="O521" s="4"/>
      <c r="P521" s="347"/>
      <c r="Q521" s="347"/>
      <c r="R521" s="184"/>
      <c r="S521" s="129"/>
    </row>
    <row r="522" spans="1:19" ht="15" hidden="1" customHeight="1" x14ac:dyDescent="0.25">
      <c r="A522" s="57" t="s">
        <v>5573</v>
      </c>
      <c r="B522" s="57" t="s">
        <v>11</v>
      </c>
      <c r="C522" s="57" t="s">
        <v>6027</v>
      </c>
      <c r="D522" s="57" t="s">
        <v>5192</v>
      </c>
      <c r="E522" s="57" t="s">
        <v>5193</v>
      </c>
      <c r="F522" s="57" t="s">
        <v>5194</v>
      </c>
      <c r="G522" s="57">
        <v>2413</v>
      </c>
      <c r="H522" s="57">
        <v>30</v>
      </c>
      <c r="I522" s="57">
        <v>9198</v>
      </c>
      <c r="J522" s="58">
        <v>29355</v>
      </c>
      <c r="K522" s="57" t="s">
        <v>522</v>
      </c>
      <c r="L522" s="57" t="s">
        <v>1974</v>
      </c>
      <c r="M522" s="4"/>
      <c r="N522" s="4"/>
      <c r="O522" s="4"/>
      <c r="P522" s="347"/>
      <c r="Q522" s="347"/>
      <c r="R522" s="184"/>
      <c r="S522" s="129"/>
    </row>
    <row r="523" spans="1:19" ht="15" hidden="1" customHeight="1" x14ac:dyDescent="0.3">
      <c r="A523" s="9" t="s">
        <v>5572</v>
      </c>
      <c r="B523" s="9" t="s">
        <v>249</v>
      </c>
      <c r="C523" s="9" t="s">
        <v>1626</v>
      </c>
      <c r="D523" s="9" t="s">
        <v>3683</v>
      </c>
      <c r="E523" s="9" t="s">
        <v>3684</v>
      </c>
      <c r="F523" s="9" t="s">
        <v>3685</v>
      </c>
      <c r="G523" s="9">
        <v>2185</v>
      </c>
      <c r="H523" s="9">
        <v>1</v>
      </c>
      <c r="I523" s="9">
        <v>9198</v>
      </c>
      <c r="J523" s="37">
        <v>29355</v>
      </c>
      <c r="K523" s="9" t="s">
        <v>1691</v>
      </c>
      <c r="L523" s="9" t="s">
        <v>1974</v>
      </c>
      <c r="M523" s="4"/>
      <c r="N523" s="4"/>
      <c r="O523" s="4"/>
      <c r="P523">
        <v>1</v>
      </c>
      <c r="Q523" s="303">
        <f>P523*100%/(1000)</f>
        <v>1E-3</v>
      </c>
      <c r="R523" s="184" t="s">
        <v>6755</v>
      </c>
      <c r="S523" s="129"/>
    </row>
    <row r="524" spans="1:19" ht="15" hidden="1" customHeight="1" x14ac:dyDescent="0.25">
      <c r="A524" s="133" t="s">
        <v>5574</v>
      </c>
      <c r="B524" s="133" t="s">
        <v>597</v>
      </c>
      <c r="C524" s="133" t="s">
        <v>2229</v>
      </c>
      <c r="D524" s="133" t="s">
        <v>2144</v>
      </c>
      <c r="E524" s="133" t="s">
        <v>2145</v>
      </c>
      <c r="F524" s="133" t="s">
        <v>2146</v>
      </c>
      <c r="G524" s="133">
        <v>1928</v>
      </c>
      <c r="H524" s="133">
        <v>4</v>
      </c>
      <c r="I524" s="133">
        <v>9198</v>
      </c>
      <c r="J524" s="36">
        <v>65255</v>
      </c>
      <c r="K524" s="133" t="s">
        <v>428</v>
      </c>
      <c r="L524" s="133" t="s">
        <v>2534</v>
      </c>
      <c r="M524" s="4"/>
      <c r="N524" s="4"/>
      <c r="O524" s="4"/>
      <c r="P524" s="347">
        <v>2296</v>
      </c>
      <c r="Q524" s="348">
        <f>P524*100%/(3000)</f>
        <v>0.76533333333333331</v>
      </c>
      <c r="R524" s="146" t="s">
        <v>3693</v>
      </c>
      <c r="S524" s="4"/>
    </row>
    <row r="525" spans="1:19" ht="15" hidden="1" customHeight="1" x14ac:dyDescent="0.25">
      <c r="A525" s="57" t="s">
        <v>5574</v>
      </c>
      <c r="B525" s="57" t="s">
        <v>11</v>
      </c>
      <c r="C525" s="57" t="s">
        <v>2305</v>
      </c>
      <c r="D525" s="57" t="s">
        <v>2124</v>
      </c>
      <c r="E525" s="57" t="s">
        <v>2125</v>
      </c>
      <c r="F525" s="57" t="s">
        <v>2126</v>
      </c>
      <c r="G525" s="57">
        <v>3718</v>
      </c>
      <c r="H525" s="57">
        <v>1700</v>
      </c>
      <c r="I525" s="57">
        <v>9198</v>
      </c>
      <c r="J525" s="58">
        <v>65255</v>
      </c>
      <c r="K525" s="57" t="s">
        <v>428</v>
      </c>
      <c r="L525" s="57" t="s">
        <v>2534</v>
      </c>
      <c r="M525" s="4"/>
      <c r="N525" s="4"/>
      <c r="P525" s="347"/>
      <c r="Q525" s="347"/>
      <c r="R525" s="146" t="s">
        <v>4107</v>
      </c>
      <c r="S525" s="129"/>
    </row>
    <row r="526" spans="1:19" s="4" customFormat="1" ht="15" hidden="1" customHeight="1" x14ac:dyDescent="0.25">
      <c r="A526" s="61" t="s">
        <v>5574</v>
      </c>
      <c r="B526" s="61" t="s">
        <v>34</v>
      </c>
      <c r="C526" s="61" t="s">
        <v>1147</v>
      </c>
      <c r="D526" s="61" t="s">
        <v>1087</v>
      </c>
      <c r="E526" s="61" t="s">
        <v>1088</v>
      </c>
      <c r="F526" s="61" t="s">
        <v>1089</v>
      </c>
      <c r="G526" s="61">
        <v>3712</v>
      </c>
      <c r="H526" s="61">
        <v>587</v>
      </c>
      <c r="I526" s="61">
        <v>9198</v>
      </c>
      <c r="J526" s="62">
        <v>65255</v>
      </c>
      <c r="K526" s="61" t="s">
        <v>428</v>
      </c>
      <c r="L526" s="61" t="s">
        <v>2534</v>
      </c>
      <c r="O526" s="1"/>
      <c r="P526" s="347"/>
      <c r="Q526" s="347"/>
      <c r="R526" s="146" t="s">
        <v>4365</v>
      </c>
      <c r="S526" s="178" t="s">
        <v>4366</v>
      </c>
    </row>
    <row r="527" spans="1:19" s="4" customFormat="1" ht="15" hidden="1" customHeight="1" x14ac:dyDescent="0.25">
      <c r="A527" s="9" t="s">
        <v>5574</v>
      </c>
      <c r="B527" s="9" t="s">
        <v>249</v>
      </c>
      <c r="C527" s="9" t="s">
        <v>1148</v>
      </c>
      <c r="D527" s="9" t="s">
        <v>1090</v>
      </c>
      <c r="E527" s="9" t="s">
        <v>1091</v>
      </c>
      <c r="F527" s="9" t="s">
        <v>1092</v>
      </c>
      <c r="G527" s="9">
        <v>3713</v>
      </c>
      <c r="H527" s="9">
        <v>5</v>
      </c>
      <c r="I527" s="9">
        <v>9198</v>
      </c>
      <c r="J527" s="37">
        <v>65255</v>
      </c>
      <c r="K527" s="9" t="s">
        <v>428</v>
      </c>
      <c r="L527" s="9" t="s">
        <v>2534</v>
      </c>
      <c r="O527" s="1"/>
      <c r="P527" s="347"/>
      <c r="Q527" s="347"/>
      <c r="R527" s="189" t="s">
        <v>4638</v>
      </c>
      <c r="S527" s="129"/>
    </row>
    <row r="528" spans="1:19" s="4" customFormat="1" ht="15" hidden="1" customHeight="1" x14ac:dyDescent="0.25">
      <c r="A528" s="20" t="s">
        <v>5575</v>
      </c>
      <c r="B528" s="20" t="s">
        <v>597</v>
      </c>
      <c r="C528" s="20" t="s">
        <v>2253</v>
      </c>
      <c r="D528" s="20" t="s">
        <v>2177</v>
      </c>
      <c r="E528" s="20" t="s">
        <v>2178</v>
      </c>
      <c r="F528" s="20" t="s">
        <v>2179</v>
      </c>
      <c r="G528" s="20">
        <v>932</v>
      </c>
      <c r="H528" s="20">
        <v>20</v>
      </c>
      <c r="I528" s="20">
        <v>9198</v>
      </c>
      <c r="J528" s="36">
        <v>29355</v>
      </c>
      <c r="K528" s="20" t="s">
        <v>434</v>
      </c>
      <c r="L528" s="20" t="s">
        <v>1974</v>
      </c>
      <c r="O528" s="1"/>
      <c r="P528" s="347">
        <v>159</v>
      </c>
      <c r="Q528" s="348">
        <f>P528*100%/(1000)</f>
        <v>0.159</v>
      </c>
      <c r="R528" s="3"/>
      <c r="S528" s="129"/>
    </row>
    <row r="529" spans="1:19" ht="15" hidden="1" customHeight="1" x14ac:dyDescent="0.25">
      <c r="A529" s="61" t="s">
        <v>5575</v>
      </c>
      <c r="B529" s="61" t="s">
        <v>34</v>
      </c>
      <c r="C529" s="61" t="s">
        <v>2254</v>
      </c>
      <c r="D529" s="61" t="s">
        <v>2180</v>
      </c>
      <c r="E529" s="61" t="s">
        <v>2182</v>
      </c>
      <c r="F529" s="61" t="s">
        <v>2181</v>
      </c>
      <c r="G529" s="61">
        <v>931</v>
      </c>
      <c r="H529" s="61">
        <v>99</v>
      </c>
      <c r="I529" s="61">
        <v>9198</v>
      </c>
      <c r="J529" s="62">
        <v>29355</v>
      </c>
      <c r="K529" s="61" t="s">
        <v>434</v>
      </c>
      <c r="L529" s="61" t="s">
        <v>1974</v>
      </c>
      <c r="M529" s="4"/>
      <c r="N529" s="4"/>
      <c r="P529" s="347"/>
      <c r="Q529" s="347"/>
      <c r="S529" s="129"/>
    </row>
    <row r="530" spans="1:19" ht="15" hidden="1" customHeight="1" x14ac:dyDescent="0.25">
      <c r="A530" s="165" t="s">
        <v>5575</v>
      </c>
      <c r="B530" s="165" t="s">
        <v>3825</v>
      </c>
      <c r="C530" s="165" t="s">
        <v>4134</v>
      </c>
      <c r="D530" s="165" t="s">
        <v>3875</v>
      </c>
      <c r="E530" s="165" t="s">
        <v>3876</v>
      </c>
      <c r="F530" s="165" t="s">
        <v>3877</v>
      </c>
      <c r="G530" s="165">
        <v>1854</v>
      </c>
      <c r="H530" s="165">
        <v>40</v>
      </c>
      <c r="I530" s="165">
        <v>9198</v>
      </c>
      <c r="J530" s="166">
        <v>29355</v>
      </c>
      <c r="K530" s="165" t="s">
        <v>428</v>
      </c>
      <c r="L530" s="165" t="s">
        <v>1974</v>
      </c>
      <c r="M530" s="4"/>
      <c r="N530" s="4"/>
      <c r="P530" s="347"/>
      <c r="Q530" s="347"/>
      <c r="S530" s="129"/>
    </row>
    <row r="531" spans="1:19" ht="15" hidden="1" customHeight="1" x14ac:dyDescent="0.25">
      <c r="A531" s="57" t="s">
        <v>5576</v>
      </c>
      <c r="B531" s="57" t="s">
        <v>11</v>
      </c>
      <c r="C531" s="57" t="s">
        <v>6063</v>
      </c>
      <c r="D531" s="57" t="s">
        <v>3106</v>
      </c>
      <c r="E531" s="57" t="s">
        <v>3107</v>
      </c>
      <c r="F531" s="57" t="s">
        <v>3108</v>
      </c>
      <c r="G531" s="57">
        <v>2552</v>
      </c>
      <c r="H531" s="57">
        <v>200</v>
      </c>
      <c r="I531" s="57">
        <v>9198</v>
      </c>
      <c r="J531" s="58">
        <v>29355</v>
      </c>
      <c r="K531" s="57" t="s">
        <v>522</v>
      </c>
      <c r="L531" s="57" t="s">
        <v>1974</v>
      </c>
      <c r="M531" s="4"/>
      <c r="N531" s="4"/>
      <c r="P531" s="347">
        <v>584</v>
      </c>
      <c r="Q531" s="348">
        <f>P531*100%/(1000)</f>
        <v>0.58399999999999996</v>
      </c>
      <c r="S531" s="129"/>
    </row>
    <row r="532" spans="1:19" ht="15" hidden="1" customHeight="1" x14ac:dyDescent="0.25">
      <c r="A532" s="61" t="s">
        <v>5576</v>
      </c>
      <c r="B532" s="61" t="s">
        <v>34</v>
      </c>
      <c r="C532" s="61" t="s">
        <v>3251</v>
      </c>
      <c r="D532" s="61" t="s">
        <v>2918</v>
      </c>
      <c r="E532" s="61" t="s">
        <v>2919</v>
      </c>
      <c r="F532" s="61" t="s">
        <v>2920</v>
      </c>
      <c r="G532" s="61">
        <v>2550</v>
      </c>
      <c r="H532" s="61">
        <v>383</v>
      </c>
      <c r="I532" s="61">
        <v>9198</v>
      </c>
      <c r="J532" s="62">
        <v>29355</v>
      </c>
      <c r="K532" s="61" t="s">
        <v>522</v>
      </c>
      <c r="L532" s="61" t="s">
        <v>1974</v>
      </c>
      <c r="M532" s="4"/>
      <c r="N532" s="4"/>
      <c r="P532" s="347"/>
      <c r="Q532" s="347"/>
      <c r="S532" s="129"/>
    </row>
    <row r="533" spans="1:19" ht="15" hidden="1" customHeight="1" x14ac:dyDescent="0.25">
      <c r="A533" s="9" t="s">
        <v>5576</v>
      </c>
      <c r="B533" s="9" t="s">
        <v>249</v>
      </c>
      <c r="C533" s="9" t="s">
        <v>3252</v>
      </c>
      <c r="D533" s="9" t="s">
        <v>2921</v>
      </c>
      <c r="E533" s="9" t="s">
        <v>2922</v>
      </c>
      <c r="F533" s="9" t="s">
        <v>2923</v>
      </c>
      <c r="G533" s="9">
        <v>2551</v>
      </c>
      <c r="H533" s="9">
        <v>1</v>
      </c>
      <c r="I533" s="9">
        <v>9198</v>
      </c>
      <c r="J533" s="37">
        <v>29355</v>
      </c>
      <c r="K533" s="9" t="s">
        <v>522</v>
      </c>
      <c r="L533" s="9" t="s">
        <v>1974</v>
      </c>
      <c r="M533" s="4"/>
      <c r="N533" s="4"/>
      <c r="P533" s="347"/>
      <c r="Q533" s="347"/>
      <c r="S533" s="129"/>
    </row>
    <row r="534" spans="1:19" ht="15" hidden="1" customHeight="1" x14ac:dyDescent="0.25">
      <c r="A534" s="61" t="s">
        <v>5577</v>
      </c>
      <c r="B534" s="61" t="s">
        <v>34</v>
      </c>
      <c r="C534" s="61" t="s">
        <v>810</v>
      </c>
      <c r="D534" s="61" t="s">
        <v>577</v>
      </c>
      <c r="E534" s="61" t="s">
        <v>578</v>
      </c>
      <c r="F534" s="61" t="s">
        <v>575</v>
      </c>
      <c r="G534" s="61">
        <v>156</v>
      </c>
      <c r="H534" s="61">
        <v>54</v>
      </c>
      <c r="I534" s="61">
        <v>64728</v>
      </c>
      <c r="J534" s="62">
        <v>65231</v>
      </c>
      <c r="K534" s="61" t="s">
        <v>428</v>
      </c>
      <c r="L534" s="61" t="s">
        <v>1971</v>
      </c>
      <c r="M534" s="4"/>
      <c r="N534" s="4"/>
      <c r="O534" s="4"/>
      <c r="P534" s="347">
        <v>55</v>
      </c>
      <c r="Q534" s="348">
        <f>P534*100%*10/(1000)</f>
        <v>0.55000000000000004</v>
      </c>
      <c r="R534" s="145" t="s">
        <v>2924</v>
      </c>
      <c r="S534" s="129" t="s">
        <v>2907</v>
      </c>
    </row>
    <row r="535" spans="1:19" ht="15" hidden="1" customHeight="1" x14ac:dyDescent="0.25">
      <c r="A535" s="134" t="s">
        <v>5577</v>
      </c>
      <c r="B535" s="9" t="s">
        <v>249</v>
      </c>
      <c r="C535" s="9" t="s">
        <v>811</v>
      </c>
      <c r="D535" s="9" t="s">
        <v>579</v>
      </c>
      <c r="E535" s="9" t="s">
        <v>580</v>
      </c>
      <c r="F535" s="9" t="s">
        <v>576</v>
      </c>
      <c r="G535" s="9">
        <v>155</v>
      </c>
      <c r="H535" s="9">
        <v>1</v>
      </c>
      <c r="I535" s="9">
        <v>64728</v>
      </c>
      <c r="J535" s="37">
        <v>65231</v>
      </c>
      <c r="K535" s="9" t="s">
        <v>428</v>
      </c>
      <c r="L535" s="9" t="s">
        <v>1971</v>
      </c>
      <c r="M535" s="4"/>
      <c r="N535" s="4"/>
      <c r="O535" s="4"/>
      <c r="P535" s="347"/>
      <c r="Q535" s="347"/>
      <c r="R535" s="145" t="s">
        <v>3690</v>
      </c>
      <c r="S535" s="145" t="s">
        <v>4619</v>
      </c>
    </row>
    <row r="536" spans="1:19" ht="15" hidden="1" customHeight="1" x14ac:dyDescent="0.3">
      <c r="A536" s="57" t="s">
        <v>5569</v>
      </c>
      <c r="B536" s="57" t="s">
        <v>11</v>
      </c>
      <c r="C536" s="57" t="s">
        <v>7425</v>
      </c>
      <c r="D536" s="57" t="s">
        <v>7181</v>
      </c>
      <c r="E536" s="57" t="s">
        <v>7180</v>
      </c>
      <c r="F536" s="57" t="s">
        <v>7182</v>
      </c>
      <c r="G536" s="57">
        <v>503</v>
      </c>
      <c r="H536" s="57">
        <v>200</v>
      </c>
      <c r="I536" s="57">
        <v>9198</v>
      </c>
      <c r="J536" s="57">
        <v>29355</v>
      </c>
      <c r="K536" s="57" t="s">
        <v>440</v>
      </c>
      <c r="L536" s="57" t="s">
        <v>1974</v>
      </c>
      <c r="M536" s="4"/>
      <c r="N536" s="4"/>
      <c r="O536" s="4"/>
      <c r="P536">
        <v>200</v>
      </c>
      <c r="Q536" s="303">
        <f>P536*100%/(1000)</f>
        <v>0.2</v>
      </c>
      <c r="R536" s="145"/>
      <c r="S536" s="145"/>
    </row>
    <row r="537" spans="1:19" ht="15" hidden="1" customHeight="1" x14ac:dyDescent="0.25">
      <c r="A537" s="20" t="s">
        <v>5578</v>
      </c>
      <c r="B537" s="20" t="s">
        <v>597</v>
      </c>
      <c r="C537" s="20" t="s">
        <v>3320</v>
      </c>
      <c r="D537" s="20" t="s">
        <v>3234</v>
      </c>
      <c r="E537" s="20" t="s">
        <v>3235</v>
      </c>
      <c r="F537" s="20" t="s">
        <v>3236</v>
      </c>
      <c r="G537" s="20">
        <v>304</v>
      </c>
      <c r="H537" s="20">
        <v>3</v>
      </c>
      <c r="I537" s="20">
        <v>9198</v>
      </c>
      <c r="J537" s="36">
        <v>29355</v>
      </c>
      <c r="K537" s="20" t="s">
        <v>440</v>
      </c>
      <c r="L537" s="20" t="s">
        <v>1974</v>
      </c>
      <c r="M537" s="4"/>
      <c r="N537" s="4"/>
      <c r="O537" s="4"/>
      <c r="P537" s="347">
        <v>200</v>
      </c>
      <c r="Q537" s="348">
        <f>P537*100%/(1000)</f>
        <v>0.2</v>
      </c>
      <c r="R537" s="215"/>
      <c r="S537" s="4"/>
    </row>
    <row r="538" spans="1:19" ht="15" hidden="1" customHeight="1" x14ac:dyDescent="0.25">
      <c r="A538" s="61" t="s">
        <v>5578</v>
      </c>
      <c r="B538" s="61" t="s">
        <v>34</v>
      </c>
      <c r="C538" s="61" t="s">
        <v>3321</v>
      </c>
      <c r="D538" s="61" t="s">
        <v>3237</v>
      </c>
      <c r="E538" s="61" t="s">
        <v>3238</v>
      </c>
      <c r="F538" s="61" t="s">
        <v>3239</v>
      </c>
      <c r="G538" s="61">
        <v>306</v>
      </c>
      <c r="H538" s="61">
        <v>195</v>
      </c>
      <c r="I538" s="61">
        <v>9198</v>
      </c>
      <c r="J538" s="62">
        <v>29355</v>
      </c>
      <c r="K538" s="61" t="s">
        <v>440</v>
      </c>
      <c r="L538" s="61" t="s">
        <v>1974</v>
      </c>
      <c r="M538" s="4"/>
      <c r="N538" s="4"/>
      <c r="P538" s="347"/>
      <c r="Q538" s="347"/>
      <c r="R538" s="215"/>
      <c r="S538" s="129"/>
    </row>
    <row r="539" spans="1:19" s="4" customFormat="1" ht="15" hidden="1" customHeight="1" x14ac:dyDescent="0.25">
      <c r="A539" s="9" t="s">
        <v>5578</v>
      </c>
      <c r="B539" s="9" t="s">
        <v>249</v>
      </c>
      <c r="C539" s="9" t="s">
        <v>3322</v>
      </c>
      <c r="D539" s="9" t="s">
        <v>3240</v>
      </c>
      <c r="E539" s="9" t="s">
        <v>3241</v>
      </c>
      <c r="F539" s="9" t="s">
        <v>3242</v>
      </c>
      <c r="G539" s="9">
        <v>305</v>
      </c>
      <c r="H539" s="9">
        <v>1</v>
      </c>
      <c r="I539" s="9">
        <v>9198</v>
      </c>
      <c r="J539" s="37">
        <v>29355</v>
      </c>
      <c r="K539" s="9" t="s">
        <v>440</v>
      </c>
      <c r="L539" s="9" t="s">
        <v>1974</v>
      </c>
      <c r="P539" s="347"/>
      <c r="Q539" s="347"/>
      <c r="R539" s="215"/>
      <c r="S539" s="129"/>
    </row>
    <row r="540" spans="1:19" s="4" customFormat="1" ht="15" hidden="1" customHeight="1" x14ac:dyDescent="0.25">
      <c r="A540" s="154" t="s">
        <v>5578</v>
      </c>
      <c r="B540" s="154" t="s">
        <v>3781</v>
      </c>
      <c r="C540" s="154" t="s">
        <v>4352</v>
      </c>
      <c r="D540" s="154" t="s">
        <v>4179</v>
      </c>
      <c r="E540" s="154" t="s">
        <v>4180</v>
      </c>
      <c r="F540" s="154" t="s">
        <v>4181</v>
      </c>
      <c r="G540" s="154">
        <v>307</v>
      </c>
      <c r="H540" s="154">
        <v>1</v>
      </c>
      <c r="I540" s="154">
        <v>9198</v>
      </c>
      <c r="J540" s="155">
        <v>29355</v>
      </c>
      <c r="K540" s="154" t="s">
        <v>654</v>
      </c>
      <c r="L540" s="154" t="s">
        <v>1974</v>
      </c>
      <c r="P540" s="347"/>
      <c r="Q540" s="347"/>
      <c r="R540" s="215"/>
      <c r="S540" s="129"/>
    </row>
    <row r="541" spans="1:19" s="4" customFormat="1" ht="15" hidden="1" customHeight="1" x14ac:dyDescent="0.25">
      <c r="A541" s="57" t="s">
        <v>5579</v>
      </c>
      <c r="B541" s="57" t="s">
        <v>11</v>
      </c>
      <c r="C541" s="57" t="s">
        <v>2812</v>
      </c>
      <c r="D541" s="57" t="s">
        <v>2763</v>
      </c>
      <c r="E541" s="57" t="s">
        <v>2764</v>
      </c>
      <c r="F541" s="57" t="s">
        <v>2765</v>
      </c>
      <c r="G541" s="57">
        <v>569</v>
      </c>
      <c r="H541" s="57">
        <v>700</v>
      </c>
      <c r="I541" s="57">
        <v>9198</v>
      </c>
      <c r="J541" s="58">
        <v>29355</v>
      </c>
      <c r="K541" s="57" t="s">
        <v>522</v>
      </c>
      <c r="L541" s="57" t="s">
        <v>1975</v>
      </c>
      <c r="O541" s="1"/>
      <c r="P541" s="347">
        <v>1251</v>
      </c>
      <c r="Q541" s="348">
        <f>P541*100%/(2000)</f>
        <v>0.62549999999999994</v>
      </c>
      <c r="R541" s="215"/>
      <c r="S541" s="129"/>
    </row>
    <row r="542" spans="1:19" s="4" customFormat="1" ht="15" hidden="1" customHeight="1" x14ac:dyDescent="0.25">
      <c r="A542" s="61" t="s">
        <v>5579</v>
      </c>
      <c r="B542" s="61" t="s">
        <v>34</v>
      </c>
      <c r="C542" s="61" t="s">
        <v>1699</v>
      </c>
      <c r="D542" s="61" t="s">
        <v>1681</v>
      </c>
      <c r="E542" s="61" t="s">
        <v>1682</v>
      </c>
      <c r="F542" s="61" t="s">
        <v>1683</v>
      </c>
      <c r="G542" s="61">
        <v>563</v>
      </c>
      <c r="H542" s="61">
        <v>550</v>
      </c>
      <c r="I542" s="61">
        <v>9198</v>
      </c>
      <c r="J542" s="62">
        <v>29355</v>
      </c>
      <c r="K542" s="61" t="s">
        <v>522</v>
      </c>
      <c r="L542" s="61" t="s">
        <v>1975</v>
      </c>
      <c r="O542" s="1"/>
      <c r="P542" s="347"/>
      <c r="Q542" s="347"/>
      <c r="R542" s="145" t="s">
        <v>2906</v>
      </c>
      <c r="S542" s="129" t="s">
        <v>2905</v>
      </c>
    </row>
    <row r="543" spans="1:19" ht="15" hidden="1" customHeight="1" x14ac:dyDescent="0.25">
      <c r="A543" s="9" t="s">
        <v>5579</v>
      </c>
      <c r="B543" s="9" t="s">
        <v>249</v>
      </c>
      <c r="C543" s="9" t="s">
        <v>1700</v>
      </c>
      <c r="D543" s="9" t="s">
        <v>1684</v>
      </c>
      <c r="E543" s="9" t="s">
        <v>1685</v>
      </c>
      <c r="F543" s="9" t="s">
        <v>1686</v>
      </c>
      <c r="G543" s="9">
        <v>565</v>
      </c>
      <c r="H543" s="9">
        <v>1</v>
      </c>
      <c r="I543" s="9">
        <v>9198</v>
      </c>
      <c r="J543" s="37">
        <v>29355</v>
      </c>
      <c r="K543" s="9" t="s">
        <v>522</v>
      </c>
      <c r="L543" s="9" t="s">
        <v>1975</v>
      </c>
      <c r="M543" s="4"/>
      <c r="N543" s="4"/>
      <c r="P543" s="347"/>
      <c r="Q543" s="347"/>
      <c r="R543" s="146" t="s">
        <v>3691</v>
      </c>
      <c r="S543" s="129"/>
    </row>
    <row r="544" spans="1:19" ht="15" hidden="1" customHeight="1" x14ac:dyDescent="0.3">
      <c r="A544" s="57" t="s">
        <v>5578</v>
      </c>
      <c r="B544" s="57" t="s">
        <v>11</v>
      </c>
      <c r="C544" s="57" t="s">
        <v>7434</v>
      </c>
      <c r="D544" s="57" t="s">
        <v>7192</v>
      </c>
      <c r="E544" s="57" t="s">
        <v>7193</v>
      </c>
      <c r="F544" s="57" t="s">
        <v>7194</v>
      </c>
      <c r="G544" s="57">
        <v>308</v>
      </c>
      <c r="H544" s="57">
        <v>200</v>
      </c>
      <c r="I544" s="57">
        <v>9198</v>
      </c>
      <c r="J544" s="57">
        <v>29355</v>
      </c>
      <c r="K544" s="57" t="s">
        <v>440</v>
      </c>
      <c r="L544" s="57" t="s">
        <v>1974</v>
      </c>
      <c r="M544" s="4"/>
      <c r="N544" s="4"/>
      <c r="P544">
        <v>200</v>
      </c>
      <c r="Q544" s="303">
        <f>P544*100%/(1000)</f>
        <v>0.2</v>
      </c>
      <c r="R544" s="145"/>
      <c r="S544" s="129"/>
    </row>
    <row r="545" spans="1:19" ht="15" hidden="1" customHeight="1" x14ac:dyDescent="0.3">
      <c r="A545" s="61" t="s">
        <v>7566</v>
      </c>
      <c r="B545" s="61" t="s">
        <v>34</v>
      </c>
      <c r="C545" s="61" t="s">
        <v>1507</v>
      </c>
      <c r="D545" s="61"/>
      <c r="E545" s="61"/>
      <c r="F545" s="61"/>
      <c r="G545" s="61">
        <v>2488</v>
      </c>
      <c r="H545" s="61">
        <v>40</v>
      </c>
      <c r="I545" s="61" t="s">
        <v>1454</v>
      </c>
      <c r="J545" s="62" t="s">
        <v>1454</v>
      </c>
      <c r="K545" s="61" t="s">
        <v>433</v>
      </c>
      <c r="L545" s="61" t="s">
        <v>1974</v>
      </c>
      <c r="M545" s="4"/>
      <c r="N545" s="4"/>
      <c r="Q545" s="303"/>
      <c r="R545" s="145"/>
      <c r="S545" s="129"/>
    </row>
    <row r="546" spans="1:19" ht="15" hidden="1" customHeight="1" x14ac:dyDescent="0.3">
      <c r="A546" s="9" t="s">
        <v>7566</v>
      </c>
      <c r="B546" s="9" t="s">
        <v>249</v>
      </c>
      <c r="C546" s="9" t="s">
        <v>1507</v>
      </c>
      <c r="D546" s="9"/>
      <c r="E546" s="9"/>
      <c r="F546" s="9"/>
      <c r="G546" s="9">
        <v>2489</v>
      </c>
      <c r="H546" s="9">
        <v>1</v>
      </c>
      <c r="I546" s="9" t="s">
        <v>1454</v>
      </c>
      <c r="J546" s="37" t="s">
        <v>1454</v>
      </c>
      <c r="K546" s="9" t="s">
        <v>433</v>
      </c>
      <c r="L546" s="9" t="s">
        <v>1974</v>
      </c>
      <c r="M546" s="4"/>
      <c r="N546" s="4"/>
      <c r="Q546" s="303"/>
      <c r="R546" s="145"/>
      <c r="S546" s="129"/>
    </row>
    <row r="547" spans="1:19" s="4" customFormat="1" ht="15" hidden="1" customHeight="1" x14ac:dyDescent="0.25">
      <c r="A547" s="134" t="s">
        <v>5580</v>
      </c>
      <c r="B547" s="134" t="s">
        <v>249</v>
      </c>
      <c r="C547" s="134" t="s">
        <v>6178</v>
      </c>
      <c r="D547" s="134" t="s">
        <v>5773</v>
      </c>
      <c r="E547" s="134" t="s">
        <v>5774</v>
      </c>
      <c r="F547" s="134" t="s">
        <v>5775</v>
      </c>
      <c r="G547" s="134">
        <v>1424</v>
      </c>
      <c r="H547" s="134">
        <v>1</v>
      </c>
      <c r="I547" s="134">
        <v>9198</v>
      </c>
      <c r="J547" s="37">
        <v>29355</v>
      </c>
      <c r="K547" s="134" t="s">
        <v>440</v>
      </c>
      <c r="L547" s="134" t="s">
        <v>1974</v>
      </c>
      <c r="O547" s="1"/>
      <c r="P547" s="347">
        <v>96</v>
      </c>
      <c r="Q547" s="348">
        <f>P547*100%/(1000)</f>
        <v>9.6000000000000002E-2</v>
      </c>
      <c r="R547" s="214"/>
      <c r="S547" s="129"/>
    </row>
    <row r="548" spans="1:19" ht="15" hidden="1" customHeight="1" x14ac:dyDescent="0.25">
      <c r="A548" s="20" t="s">
        <v>5580</v>
      </c>
      <c r="B548" s="20" t="s">
        <v>597</v>
      </c>
      <c r="C548" s="20" t="s">
        <v>1892</v>
      </c>
      <c r="D548" s="20" t="s">
        <v>1867</v>
      </c>
      <c r="E548" s="20" t="s">
        <v>1868</v>
      </c>
      <c r="F548" s="20" t="s">
        <v>1869</v>
      </c>
      <c r="G548" s="20" t="s">
        <v>1882</v>
      </c>
      <c r="H548" s="20">
        <v>4</v>
      </c>
      <c r="I548" s="20">
        <v>9198</v>
      </c>
      <c r="J548" s="36">
        <v>29355</v>
      </c>
      <c r="K548" s="20" t="s">
        <v>440</v>
      </c>
      <c r="L548" s="20" t="s">
        <v>1974</v>
      </c>
      <c r="M548" s="4"/>
      <c r="N548" s="4"/>
      <c r="O548" s="4"/>
      <c r="P548" s="347"/>
      <c r="Q548" s="347"/>
      <c r="S548" s="129"/>
    </row>
    <row r="549" spans="1:19" ht="15" hidden="1" customHeight="1" x14ac:dyDescent="0.25">
      <c r="A549" s="61" t="s">
        <v>5580</v>
      </c>
      <c r="B549" s="61" t="s">
        <v>34</v>
      </c>
      <c r="C549" s="61" t="s">
        <v>1891</v>
      </c>
      <c r="D549" s="61" t="s">
        <v>1864</v>
      </c>
      <c r="E549" s="61" t="s">
        <v>1865</v>
      </c>
      <c r="F549" s="61" t="s">
        <v>1866</v>
      </c>
      <c r="G549" s="61" t="s">
        <v>1883</v>
      </c>
      <c r="H549" s="61">
        <v>90</v>
      </c>
      <c r="I549" s="61">
        <v>9198</v>
      </c>
      <c r="J549" s="62">
        <v>29355</v>
      </c>
      <c r="K549" s="61" t="s">
        <v>440</v>
      </c>
      <c r="L549" s="61" t="s">
        <v>1974</v>
      </c>
      <c r="M549" s="4"/>
      <c r="N549" s="4"/>
      <c r="P549" s="347"/>
      <c r="Q549" s="347"/>
      <c r="R549" s="214"/>
      <c r="S549" s="129"/>
    </row>
    <row r="550" spans="1:19" ht="15" hidden="1" customHeight="1" x14ac:dyDescent="0.25">
      <c r="A550" s="154" t="s">
        <v>5580</v>
      </c>
      <c r="B550" s="154" t="s">
        <v>3781</v>
      </c>
      <c r="C550" s="154" t="s">
        <v>6179</v>
      </c>
      <c r="D550" s="154" t="s">
        <v>5770</v>
      </c>
      <c r="E550" s="154" t="s">
        <v>5771</v>
      </c>
      <c r="F550" s="154" t="s">
        <v>5772</v>
      </c>
      <c r="G550" s="154">
        <v>1425</v>
      </c>
      <c r="H550" s="154">
        <v>1</v>
      </c>
      <c r="I550" s="154">
        <v>9198</v>
      </c>
      <c r="J550" s="155">
        <v>29355</v>
      </c>
      <c r="K550" s="154" t="s">
        <v>654</v>
      </c>
      <c r="L550" s="154" t="s">
        <v>1974</v>
      </c>
      <c r="M550" s="4"/>
      <c r="N550" s="4"/>
      <c r="P550" s="347"/>
      <c r="Q550" s="347"/>
      <c r="R550" s="214"/>
      <c r="S550" s="129"/>
    </row>
    <row r="551" spans="1:19" ht="15" hidden="1" customHeight="1" x14ac:dyDescent="0.25">
      <c r="A551" s="141" t="s">
        <v>5581</v>
      </c>
      <c r="B551" s="141" t="s">
        <v>34</v>
      </c>
      <c r="C551" s="141" t="s">
        <v>3435</v>
      </c>
      <c r="D551" s="141" t="s">
        <v>3375</v>
      </c>
      <c r="E551" s="141" t="s">
        <v>3376</v>
      </c>
      <c r="F551" s="141" t="s">
        <v>3377</v>
      </c>
      <c r="G551" s="141">
        <v>1685</v>
      </c>
      <c r="H551" s="141">
        <v>33</v>
      </c>
      <c r="I551" s="141">
        <v>9198</v>
      </c>
      <c r="J551" s="62">
        <v>29355</v>
      </c>
      <c r="K551" s="141" t="s">
        <v>440</v>
      </c>
      <c r="L551" s="141" t="s">
        <v>1974</v>
      </c>
      <c r="M551" s="4"/>
      <c r="N551" s="4"/>
      <c r="P551" s="347">
        <v>36</v>
      </c>
      <c r="Q551" s="348">
        <f>P551*100%/(1000)</f>
        <v>3.5999999999999997E-2</v>
      </c>
      <c r="R551" s="214"/>
      <c r="S551" s="129"/>
    </row>
    <row r="552" spans="1:19" ht="15" hidden="1" customHeight="1" x14ac:dyDescent="0.25">
      <c r="A552" s="20" t="s">
        <v>5581</v>
      </c>
      <c r="B552" s="20" t="s">
        <v>597</v>
      </c>
      <c r="C552" s="20" t="s">
        <v>3306</v>
      </c>
      <c r="D552" s="20" t="s">
        <v>3197</v>
      </c>
      <c r="E552" s="20" t="s">
        <v>3198</v>
      </c>
      <c r="F552" s="20" t="s">
        <v>3199</v>
      </c>
      <c r="G552" s="20">
        <v>2702</v>
      </c>
      <c r="H552" s="20">
        <v>2</v>
      </c>
      <c r="I552" s="20">
        <v>9198</v>
      </c>
      <c r="J552" s="36">
        <v>29355</v>
      </c>
      <c r="K552" s="20" t="s">
        <v>440</v>
      </c>
      <c r="L552" s="20" t="s">
        <v>1974</v>
      </c>
      <c r="M552" s="4"/>
      <c r="N552" s="4"/>
      <c r="P552" s="347"/>
      <c r="Q552" s="347"/>
      <c r="R552" s="213"/>
      <c r="S552" s="129"/>
    </row>
    <row r="553" spans="1:19" ht="15" hidden="1" customHeight="1" x14ac:dyDescent="0.25">
      <c r="A553" s="9" t="s">
        <v>5581</v>
      </c>
      <c r="B553" s="9" t="s">
        <v>249</v>
      </c>
      <c r="C553" s="9" t="s">
        <v>3307</v>
      </c>
      <c r="D553" s="9" t="s">
        <v>3200</v>
      </c>
      <c r="E553" s="9" t="s">
        <v>3201</v>
      </c>
      <c r="F553" s="9" t="s">
        <v>3202</v>
      </c>
      <c r="G553" s="9">
        <v>2701</v>
      </c>
      <c r="H553" s="9">
        <v>1</v>
      </c>
      <c r="I553" s="9">
        <v>9198</v>
      </c>
      <c r="J553" s="37">
        <v>29355</v>
      </c>
      <c r="K553" s="9" t="s">
        <v>440</v>
      </c>
      <c r="L553" s="9" t="s">
        <v>1974</v>
      </c>
      <c r="M553" s="4"/>
      <c r="N553" s="4"/>
      <c r="P553" s="347"/>
      <c r="Q553" s="347"/>
      <c r="R553" s="213"/>
      <c r="S553" s="129"/>
    </row>
    <row r="554" spans="1:19" s="4" customFormat="1" ht="15" hidden="1" customHeight="1" x14ac:dyDescent="0.25">
      <c r="A554" s="20" t="s">
        <v>5582</v>
      </c>
      <c r="B554" s="20" t="s">
        <v>597</v>
      </c>
      <c r="C554" s="20" t="s">
        <v>1391</v>
      </c>
      <c r="D554" s="20" t="s">
        <v>1354</v>
      </c>
      <c r="E554" s="20" t="s">
        <v>1355</v>
      </c>
      <c r="F554" s="20" t="s">
        <v>1356</v>
      </c>
      <c r="G554" s="20">
        <v>1492</v>
      </c>
      <c r="H554" s="20">
        <v>10</v>
      </c>
      <c r="I554" s="20">
        <v>9198</v>
      </c>
      <c r="J554" s="36">
        <v>29355</v>
      </c>
      <c r="K554" s="20" t="s">
        <v>434</v>
      </c>
      <c r="L554" s="20" t="s">
        <v>1974</v>
      </c>
      <c r="O554" s="1"/>
      <c r="P554" s="347">
        <v>14</v>
      </c>
      <c r="Q554" s="348">
        <f>P554*100%/(1000)</f>
        <v>1.4E-2</v>
      </c>
      <c r="R554" s="3"/>
      <c r="S554" s="129"/>
    </row>
    <row r="555" spans="1:19" s="4" customFormat="1" ht="15" hidden="1" customHeight="1" x14ac:dyDescent="0.25">
      <c r="A555" s="46" t="s">
        <v>5582</v>
      </c>
      <c r="B555" s="46" t="s">
        <v>1014</v>
      </c>
      <c r="C555" s="46" t="s">
        <v>1394</v>
      </c>
      <c r="D555" s="46" t="s">
        <v>1357</v>
      </c>
      <c r="E555" s="46" t="s">
        <v>1358</v>
      </c>
      <c r="F555" s="46" t="s">
        <v>1359</v>
      </c>
      <c r="G555" s="46">
        <v>1494</v>
      </c>
      <c r="H555" s="46">
        <v>4</v>
      </c>
      <c r="I555" s="46">
        <v>9198</v>
      </c>
      <c r="J555" s="47">
        <v>29355</v>
      </c>
      <c r="K555" s="46" t="s">
        <v>428</v>
      </c>
      <c r="L555" s="46" t="s">
        <v>1974</v>
      </c>
      <c r="O555" s="1"/>
      <c r="P555" s="347"/>
      <c r="Q555" s="347"/>
      <c r="R555" s="3"/>
      <c r="S555" s="129"/>
    </row>
    <row r="556" spans="1:19" ht="15" hidden="1" customHeight="1" x14ac:dyDescent="0.3">
      <c r="A556" s="61" t="s">
        <v>1978</v>
      </c>
      <c r="B556" s="61" t="s">
        <v>34</v>
      </c>
      <c r="C556" s="61" t="s">
        <v>1393</v>
      </c>
      <c r="D556" s="61" t="s">
        <v>1351</v>
      </c>
      <c r="E556" s="61" t="s">
        <v>1352</v>
      </c>
      <c r="F556" s="61" t="s">
        <v>1353</v>
      </c>
      <c r="G556" s="61">
        <v>1493</v>
      </c>
      <c r="H556" s="61">
        <v>100</v>
      </c>
      <c r="I556" s="61">
        <v>9198</v>
      </c>
      <c r="J556" s="62">
        <v>29355</v>
      </c>
      <c r="K556" s="61" t="s">
        <v>434</v>
      </c>
      <c r="L556" s="61" t="s">
        <v>1974</v>
      </c>
      <c r="M556" s="4"/>
      <c r="N556" s="4"/>
      <c r="O556" s="4"/>
      <c r="P556">
        <v>100</v>
      </c>
      <c r="Q556" s="303">
        <f>P556*100%/(1000)</f>
        <v>0.1</v>
      </c>
      <c r="R556" s="214"/>
      <c r="S556" s="129"/>
    </row>
    <row r="557" spans="1:19" ht="15" hidden="1" customHeight="1" x14ac:dyDescent="0.25">
      <c r="A557" s="20" t="s">
        <v>5583</v>
      </c>
      <c r="B557" s="20" t="s">
        <v>597</v>
      </c>
      <c r="C557" s="20" t="s">
        <v>2642</v>
      </c>
      <c r="D557" s="20" t="s">
        <v>2554</v>
      </c>
      <c r="E557" s="20" t="s">
        <v>2555</v>
      </c>
      <c r="F557" s="20" t="s">
        <v>2556</v>
      </c>
      <c r="G557" s="20">
        <v>1676</v>
      </c>
      <c r="H557" s="20">
        <v>4</v>
      </c>
      <c r="I557" s="20">
        <v>9198</v>
      </c>
      <c r="J557" s="36">
        <v>29355</v>
      </c>
      <c r="K557" s="20" t="s">
        <v>574</v>
      </c>
      <c r="L557" s="20" t="s">
        <v>1974</v>
      </c>
      <c r="M557" s="4"/>
      <c r="N557" s="4"/>
      <c r="O557" s="4"/>
      <c r="P557" s="347">
        <v>55</v>
      </c>
      <c r="Q557" s="348">
        <f>P557*100%/(1000)</f>
        <v>5.5E-2</v>
      </c>
      <c r="R557" s="184"/>
      <c r="S557" s="129"/>
    </row>
    <row r="558" spans="1:19" ht="15" hidden="1" customHeight="1" x14ac:dyDescent="0.25">
      <c r="A558" s="61" t="s">
        <v>5583</v>
      </c>
      <c r="B558" s="61" t="s">
        <v>34</v>
      </c>
      <c r="C558" s="61" t="s">
        <v>2643</v>
      </c>
      <c r="D558" s="61" t="s">
        <v>2551</v>
      </c>
      <c r="E558" s="61" t="s">
        <v>2552</v>
      </c>
      <c r="F558" s="61" t="s">
        <v>2553</v>
      </c>
      <c r="G558" s="61">
        <v>1675</v>
      </c>
      <c r="H558" s="61">
        <v>50</v>
      </c>
      <c r="I558" s="61">
        <v>9198</v>
      </c>
      <c r="J558" s="62">
        <v>29355</v>
      </c>
      <c r="K558" s="61" t="s">
        <v>574</v>
      </c>
      <c r="L558" s="61" t="s">
        <v>1974</v>
      </c>
      <c r="M558" s="4"/>
      <c r="N558" s="4"/>
      <c r="O558" s="4"/>
      <c r="P558" s="347"/>
      <c r="Q558" s="347"/>
      <c r="R558" s="184"/>
      <c r="S558" s="129"/>
    </row>
    <row r="559" spans="1:19" s="4" customFormat="1" ht="15" hidden="1" customHeight="1" x14ac:dyDescent="0.25">
      <c r="A559" s="9" t="s">
        <v>5583</v>
      </c>
      <c r="B559" s="9" t="s">
        <v>249</v>
      </c>
      <c r="C559" s="9" t="s">
        <v>2644</v>
      </c>
      <c r="D559" s="9" t="s">
        <v>2557</v>
      </c>
      <c r="E559" s="9" t="s">
        <v>2558</v>
      </c>
      <c r="F559" s="9" t="s">
        <v>2559</v>
      </c>
      <c r="G559" s="9">
        <v>1678</v>
      </c>
      <c r="H559" s="9">
        <v>1</v>
      </c>
      <c r="I559" s="9">
        <v>9198</v>
      </c>
      <c r="J559" s="37">
        <v>29355</v>
      </c>
      <c r="K559" s="9" t="s">
        <v>574</v>
      </c>
      <c r="L559" s="9" t="s">
        <v>1974</v>
      </c>
      <c r="P559" s="347"/>
      <c r="Q559" s="347"/>
      <c r="R559" s="184"/>
      <c r="S559" s="129"/>
    </row>
    <row r="560" spans="1:19" s="4" customFormat="1" ht="15" hidden="1" customHeight="1" x14ac:dyDescent="0.25">
      <c r="A560" s="9" t="s">
        <v>5584</v>
      </c>
      <c r="B560" s="9" t="s">
        <v>249</v>
      </c>
      <c r="C560" s="9" t="s">
        <v>6191</v>
      </c>
      <c r="D560" s="9" t="s">
        <v>5737</v>
      </c>
      <c r="E560" s="9" t="s">
        <v>5738</v>
      </c>
      <c r="F560" s="9" t="s">
        <v>5739</v>
      </c>
      <c r="G560" s="9">
        <v>590</v>
      </c>
      <c r="H560" s="9">
        <v>1</v>
      </c>
      <c r="I560" s="9">
        <v>9198</v>
      </c>
      <c r="J560" s="37">
        <v>29355</v>
      </c>
      <c r="K560" s="9" t="s">
        <v>440</v>
      </c>
      <c r="L560" s="9" t="s">
        <v>1974</v>
      </c>
      <c r="O560" s="1"/>
      <c r="P560" s="347">
        <v>55</v>
      </c>
      <c r="Q560" s="348">
        <f>P560*100%/(1000)</f>
        <v>5.5E-2</v>
      </c>
      <c r="R560" s="212"/>
      <c r="S560" s="129"/>
    </row>
    <row r="561" spans="1:19" s="4" customFormat="1" ht="15" hidden="1" customHeight="1" x14ac:dyDescent="0.25">
      <c r="A561" s="20" t="s">
        <v>5584</v>
      </c>
      <c r="B561" s="20" t="s">
        <v>597</v>
      </c>
      <c r="C561" s="20" t="s">
        <v>1367</v>
      </c>
      <c r="D561" s="20" t="s">
        <v>1247</v>
      </c>
      <c r="E561" s="20" t="s">
        <v>1250</v>
      </c>
      <c r="F561" s="20" t="s">
        <v>1251</v>
      </c>
      <c r="G561" s="20">
        <v>589</v>
      </c>
      <c r="H561" s="20">
        <v>3</v>
      </c>
      <c r="I561" s="20">
        <v>9198</v>
      </c>
      <c r="J561" s="36">
        <v>29355</v>
      </c>
      <c r="K561" s="20" t="s">
        <v>440</v>
      </c>
      <c r="L561" s="20" t="s">
        <v>1974</v>
      </c>
      <c r="O561" s="1"/>
      <c r="P561" s="347"/>
      <c r="Q561" s="347"/>
      <c r="R561" s="3"/>
      <c r="S561" s="129"/>
    </row>
    <row r="562" spans="1:19" s="4" customFormat="1" ht="15" hidden="1" customHeight="1" x14ac:dyDescent="0.25">
      <c r="A562" s="61" t="s">
        <v>5584</v>
      </c>
      <c r="B562" s="61" t="s">
        <v>34</v>
      </c>
      <c r="C562" s="61" t="s">
        <v>1366</v>
      </c>
      <c r="D562" s="61" t="s">
        <v>1246</v>
      </c>
      <c r="E562" s="61" t="s">
        <v>1249</v>
      </c>
      <c r="F562" s="61" t="s">
        <v>1248</v>
      </c>
      <c r="G562" s="61">
        <v>588</v>
      </c>
      <c r="H562" s="61">
        <v>50</v>
      </c>
      <c r="I562" s="61">
        <v>9198</v>
      </c>
      <c r="J562" s="62">
        <v>29355</v>
      </c>
      <c r="K562" s="61" t="s">
        <v>440</v>
      </c>
      <c r="L562" s="61" t="s">
        <v>1974</v>
      </c>
      <c r="O562" s="1"/>
      <c r="P562" s="347"/>
      <c r="Q562" s="347"/>
      <c r="R562" s="212"/>
      <c r="S562" s="129"/>
    </row>
    <row r="563" spans="1:19" s="4" customFormat="1" ht="15" hidden="1" customHeight="1" x14ac:dyDescent="0.25">
      <c r="A563" s="154" t="s">
        <v>5584</v>
      </c>
      <c r="B563" s="154" t="s">
        <v>3781</v>
      </c>
      <c r="C563" s="154" t="s">
        <v>4294</v>
      </c>
      <c r="D563" s="154" t="s">
        <v>4084</v>
      </c>
      <c r="E563" s="154" t="s">
        <v>4085</v>
      </c>
      <c r="F563" s="154" t="s">
        <v>4086</v>
      </c>
      <c r="G563" s="154">
        <v>456</v>
      </c>
      <c r="H563" s="154">
        <v>1</v>
      </c>
      <c r="I563" s="154">
        <v>9198</v>
      </c>
      <c r="J563" s="155">
        <v>29355</v>
      </c>
      <c r="K563" s="154" t="s">
        <v>654</v>
      </c>
      <c r="L563" s="154" t="s">
        <v>1974</v>
      </c>
      <c r="O563" s="1"/>
      <c r="P563" s="347"/>
      <c r="Q563" s="347"/>
      <c r="R563" s="212"/>
      <c r="S563" s="129"/>
    </row>
    <row r="564" spans="1:19" s="4" customFormat="1" ht="15" hidden="1" customHeight="1" x14ac:dyDescent="0.25">
      <c r="A564" s="20" t="s">
        <v>7532</v>
      </c>
      <c r="B564" s="20" t="s">
        <v>597</v>
      </c>
      <c r="C564" s="20" t="s">
        <v>1507</v>
      </c>
      <c r="D564" s="20"/>
      <c r="E564" s="20"/>
      <c r="F564" s="20"/>
      <c r="G564" s="20">
        <v>2466</v>
      </c>
      <c r="H564" s="20">
        <v>2</v>
      </c>
      <c r="I564" s="20" t="s">
        <v>1454</v>
      </c>
      <c r="J564" s="20" t="s">
        <v>1454</v>
      </c>
      <c r="K564" s="20" t="s">
        <v>1417</v>
      </c>
      <c r="L564" s="20" t="s">
        <v>1972</v>
      </c>
      <c r="O564" s="1"/>
      <c r="P564" s="329"/>
      <c r="Q564" s="329"/>
      <c r="R564" s="212"/>
      <c r="S564" s="129"/>
    </row>
    <row r="565" spans="1:19" s="4" customFormat="1" ht="15" hidden="1" customHeight="1" x14ac:dyDescent="0.25">
      <c r="A565" s="141" t="s">
        <v>7532</v>
      </c>
      <c r="B565" s="141" t="s">
        <v>34</v>
      </c>
      <c r="C565" s="141" t="s">
        <v>1507</v>
      </c>
      <c r="D565" s="141"/>
      <c r="E565" s="141"/>
      <c r="F565" s="141"/>
      <c r="G565" s="141">
        <v>2467</v>
      </c>
      <c r="H565" s="141">
        <v>40</v>
      </c>
      <c r="I565" s="141" t="s">
        <v>1454</v>
      </c>
      <c r="J565" s="141" t="s">
        <v>1454</v>
      </c>
      <c r="K565" s="141" t="s">
        <v>1417</v>
      </c>
      <c r="L565" s="141" t="s">
        <v>1972</v>
      </c>
      <c r="O565" s="1"/>
      <c r="P565" s="329"/>
      <c r="Q565" s="329"/>
      <c r="R565" s="212"/>
      <c r="S565" s="129"/>
    </row>
    <row r="566" spans="1:19" s="4" customFormat="1" ht="15" hidden="1" customHeight="1" x14ac:dyDescent="0.25">
      <c r="A566" s="57" t="s">
        <v>7532</v>
      </c>
      <c r="B566" s="57" t="s">
        <v>11</v>
      </c>
      <c r="C566" s="57" t="s">
        <v>1507</v>
      </c>
      <c r="D566" s="57"/>
      <c r="E566" s="57"/>
      <c r="F566" s="57"/>
      <c r="G566" s="57">
        <v>2468</v>
      </c>
      <c r="H566" s="57">
        <v>80</v>
      </c>
      <c r="I566" s="57" t="s">
        <v>1454</v>
      </c>
      <c r="J566" s="57" t="s">
        <v>1454</v>
      </c>
      <c r="K566" s="57" t="s">
        <v>1417</v>
      </c>
      <c r="L566" s="57" t="s">
        <v>1972</v>
      </c>
      <c r="O566" s="1"/>
      <c r="P566" s="329"/>
      <c r="Q566" s="329"/>
      <c r="R566" s="212"/>
      <c r="S566" s="129"/>
    </row>
    <row r="567" spans="1:19" s="4" customFormat="1" ht="15" hidden="1" customHeight="1" x14ac:dyDescent="0.25">
      <c r="A567" s="9" t="s">
        <v>7532</v>
      </c>
      <c r="B567" s="9" t="s">
        <v>6092</v>
      </c>
      <c r="C567" s="9" t="s">
        <v>1507</v>
      </c>
      <c r="D567" s="9"/>
      <c r="E567" s="9"/>
      <c r="F567" s="9"/>
      <c r="G567" s="9">
        <v>2469</v>
      </c>
      <c r="H567" s="9">
        <v>1</v>
      </c>
      <c r="I567" s="9" t="s">
        <v>1454</v>
      </c>
      <c r="J567" s="9" t="s">
        <v>1454</v>
      </c>
      <c r="K567" s="9" t="s">
        <v>1417</v>
      </c>
      <c r="L567" s="9" t="s">
        <v>1972</v>
      </c>
      <c r="O567" s="1"/>
      <c r="P567" s="329"/>
      <c r="Q567" s="329"/>
      <c r="R567" s="212"/>
      <c r="S567" s="129"/>
    </row>
    <row r="568" spans="1:19" s="4" customFormat="1" ht="15" hidden="1" customHeight="1" x14ac:dyDescent="0.25">
      <c r="A568" s="9" t="s">
        <v>7532</v>
      </c>
      <c r="B568" s="9" t="s">
        <v>249</v>
      </c>
      <c r="C568" s="9" t="s">
        <v>1507</v>
      </c>
      <c r="D568" s="9"/>
      <c r="E568" s="9"/>
      <c r="F568" s="9"/>
      <c r="G568" s="9">
        <v>2470</v>
      </c>
      <c r="H568" s="9">
        <v>1</v>
      </c>
      <c r="I568" s="9" t="s">
        <v>1454</v>
      </c>
      <c r="J568" s="9" t="s">
        <v>1454</v>
      </c>
      <c r="K568" s="9" t="s">
        <v>1417</v>
      </c>
      <c r="L568" s="9" t="s">
        <v>1972</v>
      </c>
      <c r="O568" s="1"/>
      <c r="P568" s="329"/>
      <c r="Q568" s="329"/>
      <c r="R568" s="212"/>
      <c r="S568" s="129"/>
    </row>
    <row r="569" spans="1:19" ht="15" hidden="1" customHeight="1" x14ac:dyDescent="0.25">
      <c r="A569" s="20" t="s">
        <v>7328</v>
      </c>
      <c r="B569" s="20" t="s">
        <v>597</v>
      </c>
      <c r="C569" s="20" t="s">
        <v>7395</v>
      </c>
      <c r="D569" s="20"/>
      <c r="E569" s="20"/>
      <c r="F569" s="20" t="s">
        <v>7399</v>
      </c>
      <c r="G569" s="20">
        <v>2434</v>
      </c>
      <c r="H569" s="20">
        <v>2</v>
      </c>
      <c r="I569" s="20" t="s">
        <v>1454</v>
      </c>
      <c r="J569" s="36" t="s">
        <v>1454</v>
      </c>
      <c r="K569" s="20" t="s">
        <v>654</v>
      </c>
      <c r="L569" s="20"/>
      <c r="M569" s="4"/>
      <c r="N569" s="4"/>
      <c r="P569" s="347">
        <v>183</v>
      </c>
      <c r="Q569" s="347"/>
      <c r="R569" s="146"/>
      <c r="S569" s="129"/>
    </row>
    <row r="570" spans="1:19" ht="15" hidden="1" customHeight="1" x14ac:dyDescent="0.25">
      <c r="A570" s="57" t="s">
        <v>7328</v>
      </c>
      <c r="B570" s="57" t="s">
        <v>11</v>
      </c>
      <c r="C570" s="57" t="s">
        <v>7389</v>
      </c>
      <c r="D570" s="57"/>
      <c r="E570" s="57"/>
      <c r="F570" s="57" t="s">
        <v>7398</v>
      </c>
      <c r="G570" s="57">
        <v>2436</v>
      </c>
      <c r="H570" s="57">
        <v>150</v>
      </c>
      <c r="I570" s="57" t="s">
        <v>1454</v>
      </c>
      <c r="J570" s="58" t="s">
        <v>1454</v>
      </c>
      <c r="K570" s="57" t="s">
        <v>654</v>
      </c>
      <c r="L570" s="57"/>
      <c r="M570" s="4"/>
      <c r="N570" s="4"/>
      <c r="P570" s="347"/>
      <c r="Q570" s="347"/>
      <c r="S570" s="129"/>
    </row>
    <row r="571" spans="1:19" ht="15" hidden="1" customHeight="1" x14ac:dyDescent="0.25">
      <c r="A571" s="61" t="s">
        <v>7328</v>
      </c>
      <c r="B571" s="61" t="s">
        <v>34</v>
      </c>
      <c r="C571" s="61" t="s">
        <v>7396</v>
      </c>
      <c r="D571" s="61"/>
      <c r="E571" s="61"/>
      <c r="F571" s="61" t="s">
        <v>7400</v>
      </c>
      <c r="G571" s="61">
        <v>2435</v>
      </c>
      <c r="H571" s="61">
        <v>30</v>
      </c>
      <c r="I571" s="61" t="s">
        <v>1454</v>
      </c>
      <c r="J571" s="62" t="s">
        <v>1454</v>
      </c>
      <c r="K571" s="61" t="s">
        <v>654</v>
      </c>
      <c r="L571" s="61"/>
      <c r="M571" s="4"/>
      <c r="N571" s="4"/>
      <c r="P571" s="347"/>
      <c r="Q571" s="347"/>
      <c r="S571" s="129"/>
    </row>
    <row r="572" spans="1:19" ht="15" hidden="1" customHeight="1" x14ac:dyDescent="0.25">
      <c r="A572" s="9" t="s">
        <v>7328</v>
      </c>
      <c r="B572" s="9" t="s">
        <v>6092</v>
      </c>
      <c r="C572" s="9" t="s">
        <v>7390</v>
      </c>
      <c r="D572" s="9"/>
      <c r="E572" s="9"/>
      <c r="F572" s="9" t="s">
        <v>7397</v>
      </c>
      <c r="G572" s="9">
        <v>2437</v>
      </c>
      <c r="H572" s="9">
        <v>1</v>
      </c>
      <c r="I572" s="9" t="s">
        <v>1454</v>
      </c>
      <c r="J572" s="37" t="s">
        <v>1454</v>
      </c>
      <c r="K572" s="9" t="s">
        <v>654</v>
      </c>
      <c r="L572" s="9"/>
      <c r="M572" s="4"/>
      <c r="N572" s="4"/>
      <c r="P572" s="347"/>
      <c r="Q572" s="347"/>
      <c r="R572" s="183"/>
      <c r="S572" s="129"/>
    </row>
    <row r="573" spans="1:19" s="4" customFormat="1" ht="15" hidden="1" customHeight="1" x14ac:dyDescent="0.25">
      <c r="A573" s="141" t="s">
        <v>5585</v>
      </c>
      <c r="B573" s="141" t="s">
        <v>34</v>
      </c>
      <c r="C573" s="141" t="s">
        <v>1626</v>
      </c>
      <c r="D573" s="141" t="s">
        <v>3725</v>
      </c>
      <c r="E573" s="141" t="s">
        <v>3726</v>
      </c>
      <c r="F573" s="141" t="s">
        <v>3727</v>
      </c>
      <c r="G573" s="141">
        <v>3693</v>
      </c>
      <c r="H573" s="141">
        <v>60</v>
      </c>
      <c r="I573" s="141">
        <v>9198</v>
      </c>
      <c r="J573" s="62">
        <v>29355</v>
      </c>
      <c r="K573" s="141" t="s">
        <v>428</v>
      </c>
      <c r="L573" s="141" t="s">
        <v>1974</v>
      </c>
      <c r="O573" s="1"/>
      <c r="P573" s="347">
        <v>62</v>
      </c>
      <c r="Q573" s="348">
        <f>P573*100%/(1000)</f>
        <v>6.2E-2</v>
      </c>
      <c r="R573" s="184" t="s">
        <v>6755</v>
      </c>
      <c r="S573" s="129"/>
    </row>
    <row r="574" spans="1:19" s="4" customFormat="1" ht="15" hidden="1" customHeight="1" x14ac:dyDescent="0.25">
      <c r="A574" s="9" t="s">
        <v>5585</v>
      </c>
      <c r="B574" s="9" t="s">
        <v>249</v>
      </c>
      <c r="C574" s="9" t="s">
        <v>1626</v>
      </c>
      <c r="D574" s="9" t="s">
        <v>3728</v>
      </c>
      <c r="E574" s="9" t="s">
        <v>3729</v>
      </c>
      <c r="F574" s="9" t="s">
        <v>3730</v>
      </c>
      <c r="G574" s="9">
        <v>1471</v>
      </c>
      <c r="H574" s="9">
        <v>1</v>
      </c>
      <c r="I574" s="9">
        <v>9198</v>
      </c>
      <c r="J574" s="37">
        <v>29355</v>
      </c>
      <c r="K574" s="9" t="s">
        <v>428</v>
      </c>
      <c r="L574" s="9" t="s">
        <v>1974</v>
      </c>
      <c r="O574" s="1"/>
      <c r="P574" s="347"/>
      <c r="Q574" s="347"/>
      <c r="R574" s="184" t="s">
        <v>6755</v>
      </c>
      <c r="S574" s="129"/>
    </row>
    <row r="575" spans="1:19" s="4" customFormat="1" ht="15" hidden="1" customHeight="1" x14ac:dyDescent="0.25">
      <c r="A575" s="154" t="s">
        <v>5585</v>
      </c>
      <c r="B575" s="154" t="s">
        <v>3781</v>
      </c>
      <c r="C575" s="154" t="s">
        <v>1626</v>
      </c>
      <c r="D575" s="154" t="s">
        <v>4170</v>
      </c>
      <c r="E575" s="154" t="s">
        <v>4171</v>
      </c>
      <c r="F575" s="154" t="s">
        <v>4172</v>
      </c>
      <c r="G575" s="154">
        <v>1472</v>
      </c>
      <c r="H575" s="154">
        <v>1</v>
      </c>
      <c r="I575" s="154">
        <v>9198</v>
      </c>
      <c r="J575" s="155">
        <v>29355</v>
      </c>
      <c r="K575" s="154" t="s">
        <v>428</v>
      </c>
      <c r="L575" s="154" t="s">
        <v>1974</v>
      </c>
      <c r="O575" s="1"/>
      <c r="P575" s="347"/>
      <c r="Q575" s="347"/>
      <c r="R575" s="184" t="s">
        <v>6755</v>
      </c>
      <c r="S575" s="129"/>
    </row>
    <row r="576" spans="1:19" s="4" customFormat="1" ht="15" hidden="1" customHeight="1" x14ac:dyDescent="0.25">
      <c r="A576" s="57" t="s">
        <v>5586</v>
      </c>
      <c r="B576" s="57" t="s">
        <v>11</v>
      </c>
      <c r="C576" s="57" t="s">
        <v>2112</v>
      </c>
      <c r="D576" s="57" t="s">
        <v>2078</v>
      </c>
      <c r="E576" s="57" t="s">
        <v>2079</v>
      </c>
      <c r="F576" s="57" t="s">
        <v>2080</v>
      </c>
      <c r="G576" s="57">
        <v>456</v>
      </c>
      <c r="H576" s="57">
        <v>1200</v>
      </c>
      <c r="I576" s="57">
        <v>64726</v>
      </c>
      <c r="J576" s="58">
        <v>65233</v>
      </c>
      <c r="K576" s="57" t="s">
        <v>428</v>
      </c>
      <c r="L576" s="57" t="s">
        <v>1975</v>
      </c>
      <c r="O576" s="1"/>
      <c r="P576" s="347">
        <v>1780</v>
      </c>
      <c r="Q576" s="348">
        <f>P576*100%/(2000)</f>
        <v>0.89</v>
      </c>
      <c r="R576" s="189" t="s">
        <v>2924</v>
      </c>
      <c r="S576" s="129" t="s">
        <v>2907</v>
      </c>
    </row>
    <row r="577" spans="1:26" s="4" customFormat="1" ht="15" hidden="1" customHeight="1" x14ac:dyDescent="0.25">
      <c r="A577" s="20" t="s">
        <v>5586</v>
      </c>
      <c r="B577" s="20" t="s">
        <v>597</v>
      </c>
      <c r="C577" s="20" t="s">
        <v>4602</v>
      </c>
      <c r="D577" s="20" t="s">
        <v>4517</v>
      </c>
      <c r="E577" s="20" t="s">
        <v>4518</v>
      </c>
      <c r="F577" s="20" t="s">
        <v>4519</v>
      </c>
      <c r="G577" s="20">
        <v>1945</v>
      </c>
      <c r="H577" s="20">
        <v>19</v>
      </c>
      <c r="I577" s="20">
        <v>64726</v>
      </c>
      <c r="J577" s="36">
        <v>65233</v>
      </c>
      <c r="K577" s="20" t="s">
        <v>428</v>
      </c>
      <c r="L577" s="20" t="s">
        <v>1975</v>
      </c>
      <c r="O577" s="1"/>
      <c r="P577" s="347"/>
      <c r="Q577" s="347"/>
      <c r="R577" s="189"/>
      <c r="S577" s="129"/>
    </row>
    <row r="578" spans="1:26" s="4" customFormat="1" ht="15" hidden="1" customHeight="1" x14ac:dyDescent="0.25">
      <c r="A578" s="61" t="s">
        <v>5586</v>
      </c>
      <c r="B578" s="61" t="s">
        <v>34</v>
      </c>
      <c r="C578" s="61" t="s">
        <v>812</v>
      </c>
      <c r="D578" s="61" t="s">
        <v>312</v>
      </c>
      <c r="E578" s="61" t="s">
        <v>310</v>
      </c>
      <c r="F578" s="61" t="s">
        <v>311</v>
      </c>
      <c r="G578" s="61">
        <v>455</v>
      </c>
      <c r="H578" s="61">
        <v>800</v>
      </c>
      <c r="I578" s="61">
        <v>64726</v>
      </c>
      <c r="J578" s="62">
        <v>65233</v>
      </c>
      <c r="K578" s="61" t="s">
        <v>428</v>
      </c>
      <c r="L578" s="61" t="s">
        <v>1975</v>
      </c>
      <c r="O578" s="1"/>
      <c r="P578" s="347"/>
      <c r="Q578" s="347"/>
      <c r="R578" s="145" t="s">
        <v>3690</v>
      </c>
      <c r="S578" s="129" t="s">
        <v>2955</v>
      </c>
      <c r="T578" s="1"/>
      <c r="U578" s="1"/>
      <c r="V578" s="1"/>
      <c r="W578" s="1"/>
      <c r="X578" s="1"/>
      <c r="Y578" s="1"/>
      <c r="Z578" s="1"/>
    </row>
    <row r="579" spans="1:26" ht="15" hidden="1" customHeight="1" x14ac:dyDescent="0.25">
      <c r="A579" s="9" t="s">
        <v>5586</v>
      </c>
      <c r="B579" s="9" t="s">
        <v>249</v>
      </c>
      <c r="C579" s="9" t="s">
        <v>813</v>
      </c>
      <c r="D579" s="9" t="s">
        <v>315</v>
      </c>
      <c r="E579" s="9" t="s">
        <v>313</v>
      </c>
      <c r="F579" s="9" t="s">
        <v>314</v>
      </c>
      <c r="G579" s="9">
        <v>454</v>
      </c>
      <c r="H579" s="9">
        <v>1</v>
      </c>
      <c r="I579" s="9">
        <v>64726</v>
      </c>
      <c r="J579" s="37">
        <v>65233</v>
      </c>
      <c r="K579" s="9" t="s">
        <v>428</v>
      </c>
      <c r="L579" s="9" t="s">
        <v>1975</v>
      </c>
      <c r="M579" s="4"/>
      <c r="N579" s="4"/>
      <c r="P579" s="347"/>
      <c r="Q579" s="347"/>
      <c r="R579" s="145" t="s">
        <v>4401</v>
      </c>
      <c r="S579" s="189" t="s">
        <v>4501</v>
      </c>
      <c r="T579" s="146" t="s">
        <v>6061</v>
      </c>
    </row>
    <row r="580" spans="1:26" ht="15" hidden="1" customHeight="1" x14ac:dyDescent="0.25">
      <c r="A580" s="199" t="s">
        <v>5586</v>
      </c>
      <c r="B580" s="154" t="s">
        <v>3781</v>
      </c>
      <c r="C580" s="154" t="s">
        <v>7570</v>
      </c>
      <c r="D580" s="154" t="s">
        <v>7557</v>
      </c>
      <c r="E580" s="154" t="s">
        <v>7558</v>
      </c>
      <c r="F580" s="154" t="s">
        <v>7559</v>
      </c>
      <c r="G580" s="154">
        <v>693</v>
      </c>
      <c r="H580" s="154">
        <v>2</v>
      </c>
      <c r="I580" s="154">
        <v>64726</v>
      </c>
      <c r="J580" s="155">
        <v>65233</v>
      </c>
      <c r="K580" s="154" t="s">
        <v>428</v>
      </c>
      <c r="L580" s="154" t="s">
        <v>1975</v>
      </c>
      <c r="M580" s="4"/>
      <c r="N580" s="4"/>
      <c r="P580" s="347"/>
      <c r="Q580" s="347"/>
      <c r="R580" s="184"/>
      <c r="S580" s="129"/>
    </row>
    <row r="581" spans="1:26" ht="15" hidden="1" customHeight="1" x14ac:dyDescent="0.25">
      <c r="A581" s="57" t="s">
        <v>5586</v>
      </c>
      <c r="B581" s="57" t="s">
        <v>3774</v>
      </c>
      <c r="C581" s="57" t="s">
        <v>3923</v>
      </c>
      <c r="D581" s="57" t="s">
        <v>3775</v>
      </c>
      <c r="E581" s="57" t="s">
        <v>3776</v>
      </c>
      <c r="F581" s="57" t="s">
        <v>3777</v>
      </c>
      <c r="G581" s="57">
        <v>467</v>
      </c>
      <c r="H581" s="57">
        <v>10</v>
      </c>
      <c r="I581" s="57">
        <v>64726</v>
      </c>
      <c r="J581" s="58">
        <v>65233</v>
      </c>
      <c r="K581" s="57" t="s">
        <v>429</v>
      </c>
      <c r="L581" s="57" t="s">
        <v>1975</v>
      </c>
      <c r="M581" s="4"/>
      <c r="N581" s="4"/>
      <c r="P581" s="347"/>
      <c r="Q581" s="347"/>
      <c r="R581" s="146" t="s">
        <v>6296</v>
      </c>
      <c r="S581" s="129"/>
    </row>
    <row r="582" spans="1:26" ht="15" hidden="1" customHeight="1" x14ac:dyDescent="0.25">
      <c r="A582" s="61" t="s">
        <v>4683</v>
      </c>
      <c r="B582" s="61" t="s">
        <v>34</v>
      </c>
      <c r="C582" s="61" t="s">
        <v>6048</v>
      </c>
      <c r="D582" s="61"/>
      <c r="E582" s="61"/>
      <c r="F582" s="61" t="s">
        <v>5729</v>
      </c>
      <c r="G582" s="61">
        <v>2304</v>
      </c>
      <c r="H582" s="61">
        <v>84</v>
      </c>
      <c r="I582" s="61" t="s">
        <v>1454</v>
      </c>
      <c r="J582" s="62" t="s">
        <v>1454</v>
      </c>
      <c r="K582" s="61" t="s">
        <v>433</v>
      </c>
      <c r="L582" s="61" t="s">
        <v>1974</v>
      </c>
      <c r="M582" s="4"/>
      <c r="N582" s="4"/>
      <c r="P582" s="349">
        <v>85</v>
      </c>
      <c r="Q582" s="352">
        <f>P582*100%/(1000)</f>
        <v>8.5000000000000006E-2</v>
      </c>
      <c r="R582" s="204"/>
      <c r="S582" s="129"/>
    </row>
    <row r="583" spans="1:26" ht="15" hidden="1" customHeight="1" x14ac:dyDescent="0.25">
      <c r="A583" s="9" t="s">
        <v>4683</v>
      </c>
      <c r="B583" s="9" t="s">
        <v>249</v>
      </c>
      <c r="C583" s="9" t="s">
        <v>6049</v>
      </c>
      <c r="D583" s="9"/>
      <c r="E583" s="9"/>
      <c r="F583" s="9" t="s">
        <v>5730</v>
      </c>
      <c r="G583" s="9">
        <v>2305</v>
      </c>
      <c r="H583" s="9">
        <v>1</v>
      </c>
      <c r="I583" s="9" t="s">
        <v>1454</v>
      </c>
      <c r="J583" s="37" t="s">
        <v>1454</v>
      </c>
      <c r="K583" s="9" t="s">
        <v>433</v>
      </c>
      <c r="L583" s="9" t="s">
        <v>1974</v>
      </c>
      <c r="M583" s="4"/>
      <c r="N583" s="4"/>
      <c r="P583" s="350"/>
      <c r="Q583" s="353"/>
      <c r="R583" s="204"/>
      <c r="S583" s="129"/>
    </row>
    <row r="584" spans="1:26" ht="15" hidden="1" customHeight="1" x14ac:dyDescent="0.25">
      <c r="A584" s="57" t="s">
        <v>4683</v>
      </c>
      <c r="B584" s="57" t="s">
        <v>11</v>
      </c>
      <c r="C584" s="57" t="s">
        <v>7508</v>
      </c>
      <c r="D584" s="320"/>
      <c r="E584" s="57"/>
      <c r="F584" s="57" t="s">
        <v>7509</v>
      </c>
      <c r="G584" s="57">
        <v>2449</v>
      </c>
      <c r="H584" s="57">
        <v>95</v>
      </c>
      <c r="I584" s="57" t="s">
        <v>1454</v>
      </c>
      <c r="J584" s="58" t="s">
        <v>1454</v>
      </c>
      <c r="K584" s="57" t="s">
        <v>433</v>
      </c>
      <c r="L584" s="57" t="s">
        <v>1974</v>
      </c>
      <c r="M584" s="4"/>
      <c r="N584" s="4"/>
      <c r="P584" s="350"/>
      <c r="Q584" s="353"/>
      <c r="R584" s="204"/>
      <c r="S584" s="129"/>
    </row>
    <row r="585" spans="1:26" ht="15" hidden="1" customHeight="1" x14ac:dyDescent="0.25">
      <c r="A585" s="9" t="s">
        <v>4683</v>
      </c>
      <c r="B585" s="325" t="s">
        <v>6092</v>
      </c>
      <c r="C585" s="325" t="s">
        <v>7507</v>
      </c>
      <c r="D585" s="325"/>
      <c r="E585" s="325"/>
      <c r="F585" s="325" t="s">
        <v>7510</v>
      </c>
      <c r="G585" s="325">
        <v>2450</v>
      </c>
      <c r="H585" s="325">
        <v>1</v>
      </c>
      <c r="I585" s="325" t="s">
        <v>1454</v>
      </c>
      <c r="J585" s="37" t="s">
        <v>1454</v>
      </c>
      <c r="K585" s="325" t="s">
        <v>433</v>
      </c>
      <c r="L585" s="325" t="s">
        <v>1974</v>
      </c>
      <c r="M585" s="4"/>
      <c r="N585" s="4"/>
      <c r="P585" s="351"/>
      <c r="Q585" s="354"/>
      <c r="R585" s="204"/>
      <c r="S585" s="129"/>
    </row>
    <row r="586" spans="1:26" ht="15" hidden="1" customHeight="1" x14ac:dyDescent="0.25">
      <c r="A586" s="20" t="s">
        <v>7534</v>
      </c>
      <c r="B586" s="20" t="s">
        <v>597</v>
      </c>
      <c r="C586" s="20" t="s">
        <v>1507</v>
      </c>
      <c r="D586" s="20"/>
      <c r="E586" s="20"/>
      <c r="F586" s="20"/>
      <c r="G586" s="20">
        <v>2471</v>
      </c>
      <c r="H586" s="20">
        <v>2</v>
      </c>
      <c r="I586" s="20" t="s">
        <v>1454</v>
      </c>
      <c r="J586" s="20" t="s">
        <v>1454</v>
      </c>
      <c r="K586" s="20" t="s">
        <v>654</v>
      </c>
      <c r="L586" s="20" t="s">
        <v>1972</v>
      </c>
      <c r="M586" s="4"/>
      <c r="N586" s="4"/>
      <c r="P586" s="330"/>
      <c r="Q586" s="331"/>
      <c r="R586" s="204"/>
      <c r="S586" s="129"/>
    </row>
    <row r="587" spans="1:26" ht="15" hidden="1" customHeight="1" x14ac:dyDescent="0.25">
      <c r="A587" s="61" t="s">
        <v>7534</v>
      </c>
      <c r="B587" s="61" t="s">
        <v>34</v>
      </c>
      <c r="C587" s="61" t="s">
        <v>1507</v>
      </c>
      <c r="D587" s="61"/>
      <c r="E587" s="61"/>
      <c r="F587" s="61"/>
      <c r="G587" s="61">
        <v>2472</v>
      </c>
      <c r="H587" s="61">
        <v>40</v>
      </c>
      <c r="I587" s="61" t="s">
        <v>1454</v>
      </c>
      <c r="J587" s="61" t="s">
        <v>1454</v>
      </c>
      <c r="K587" s="61" t="s">
        <v>654</v>
      </c>
      <c r="L587" s="61" t="s">
        <v>1972</v>
      </c>
      <c r="M587" s="4"/>
      <c r="N587" s="4"/>
      <c r="P587" s="330"/>
      <c r="Q587" s="331"/>
      <c r="R587" s="204"/>
      <c r="S587" s="129"/>
    </row>
    <row r="588" spans="1:26" ht="15" hidden="1" customHeight="1" x14ac:dyDescent="0.25">
      <c r="A588" s="57" t="s">
        <v>7534</v>
      </c>
      <c r="B588" s="57" t="s">
        <v>11</v>
      </c>
      <c r="C588" s="57" t="s">
        <v>1507</v>
      </c>
      <c r="D588" s="57"/>
      <c r="E588" s="57"/>
      <c r="F588" s="57"/>
      <c r="G588" s="57">
        <v>2473</v>
      </c>
      <c r="H588" s="57">
        <v>80</v>
      </c>
      <c r="I588" s="57" t="s">
        <v>1454</v>
      </c>
      <c r="J588" s="57" t="s">
        <v>1454</v>
      </c>
      <c r="K588" s="57" t="s">
        <v>654</v>
      </c>
      <c r="L588" s="57" t="s">
        <v>1972</v>
      </c>
      <c r="M588" s="4"/>
      <c r="N588" s="4"/>
      <c r="P588" s="330"/>
      <c r="Q588" s="331"/>
      <c r="R588" s="204"/>
      <c r="S588" s="129"/>
    </row>
    <row r="589" spans="1:26" ht="15" hidden="1" customHeight="1" x14ac:dyDescent="0.25">
      <c r="A589" s="325" t="s">
        <v>7534</v>
      </c>
      <c r="B589" s="325" t="s">
        <v>6092</v>
      </c>
      <c r="C589" s="325" t="s">
        <v>1507</v>
      </c>
      <c r="D589" s="325"/>
      <c r="E589" s="325"/>
      <c r="F589" s="325"/>
      <c r="G589" s="325">
        <v>2474</v>
      </c>
      <c r="H589" s="325">
        <v>1</v>
      </c>
      <c r="I589" s="325" t="s">
        <v>1454</v>
      </c>
      <c r="J589" s="325" t="s">
        <v>1454</v>
      </c>
      <c r="K589" s="325" t="s">
        <v>654</v>
      </c>
      <c r="L589" s="325" t="s">
        <v>1972</v>
      </c>
      <c r="M589" s="4"/>
      <c r="N589" s="4"/>
      <c r="P589" s="330"/>
      <c r="Q589" s="331"/>
      <c r="R589" s="204"/>
      <c r="S589" s="129"/>
    </row>
    <row r="590" spans="1:26" ht="15" hidden="1" customHeight="1" x14ac:dyDescent="0.25">
      <c r="A590" s="325" t="s">
        <v>7534</v>
      </c>
      <c r="B590" s="325" t="s">
        <v>249</v>
      </c>
      <c r="C590" s="325" t="s">
        <v>1507</v>
      </c>
      <c r="D590" s="325"/>
      <c r="E590" s="325"/>
      <c r="F590" s="325"/>
      <c r="G590" s="325">
        <v>2475</v>
      </c>
      <c r="H590" s="325">
        <v>1</v>
      </c>
      <c r="I590" s="325" t="s">
        <v>1454</v>
      </c>
      <c r="J590" s="325" t="s">
        <v>1454</v>
      </c>
      <c r="K590" s="325" t="s">
        <v>654</v>
      </c>
      <c r="L590" s="325" t="s">
        <v>1972</v>
      </c>
      <c r="M590" s="4"/>
      <c r="N590" s="4"/>
      <c r="P590" s="330"/>
      <c r="Q590" s="331"/>
      <c r="R590" s="204"/>
      <c r="S590" s="129"/>
    </row>
    <row r="591" spans="1:26" ht="15" hidden="1" customHeight="1" x14ac:dyDescent="0.25">
      <c r="A591" s="147" t="s">
        <v>5587</v>
      </c>
      <c r="B591" s="20" t="s">
        <v>597</v>
      </c>
      <c r="C591" s="20" t="s">
        <v>3476</v>
      </c>
      <c r="D591" s="20" t="s">
        <v>3378</v>
      </c>
      <c r="E591" s="20" t="s">
        <v>3379</v>
      </c>
      <c r="F591" s="20" t="s">
        <v>3380</v>
      </c>
      <c r="G591" s="20">
        <v>401</v>
      </c>
      <c r="H591" s="20">
        <v>5</v>
      </c>
      <c r="I591" s="20">
        <v>9198</v>
      </c>
      <c r="J591" s="36">
        <v>29355</v>
      </c>
      <c r="K591" s="20" t="s">
        <v>1691</v>
      </c>
      <c r="L591" s="20" t="s">
        <v>1974</v>
      </c>
      <c r="M591" s="4"/>
      <c r="N591" s="4"/>
      <c r="P591" s="347">
        <v>6</v>
      </c>
      <c r="Q591" s="348">
        <f>P591*100%/(1000)</f>
        <v>6.0000000000000001E-3</v>
      </c>
      <c r="R591" s="214" t="s">
        <v>6754</v>
      </c>
      <c r="S591" s="129"/>
    </row>
    <row r="592" spans="1:26" ht="15" hidden="1" customHeight="1" x14ac:dyDescent="0.25">
      <c r="A592" s="142" t="s">
        <v>5587</v>
      </c>
      <c r="B592" s="9" t="s">
        <v>249</v>
      </c>
      <c r="C592" s="9" t="s">
        <v>3477</v>
      </c>
      <c r="D592" s="9" t="s">
        <v>3381</v>
      </c>
      <c r="E592" s="9" t="s">
        <v>3382</v>
      </c>
      <c r="F592" s="9" t="s">
        <v>3383</v>
      </c>
      <c r="G592" s="9">
        <v>400</v>
      </c>
      <c r="H592" s="9">
        <v>1</v>
      </c>
      <c r="I592" s="9">
        <v>9198</v>
      </c>
      <c r="J592" s="37">
        <v>29355</v>
      </c>
      <c r="K592" s="9" t="s">
        <v>1691</v>
      </c>
      <c r="L592" s="9" t="s">
        <v>1974</v>
      </c>
      <c r="M592" s="4"/>
      <c r="N592" s="4"/>
      <c r="P592" s="347"/>
      <c r="Q592" s="347"/>
      <c r="R592" s="184" t="s">
        <v>6754</v>
      </c>
      <c r="S592" s="129"/>
    </row>
    <row r="593" spans="1:19" ht="15" hidden="1" customHeight="1" x14ac:dyDescent="0.25">
      <c r="A593" s="147" t="s">
        <v>5588</v>
      </c>
      <c r="B593" s="20" t="s">
        <v>597</v>
      </c>
      <c r="C593" s="20" t="s">
        <v>1507</v>
      </c>
      <c r="D593" s="20" t="s">
        <v>4556</v>
      </c>
      <c r="E593" s="20" t="s">
        <v>4557</v>
      </c>
      <c r="F593" s="20" t="s">
        <v>4558</v>
      </c>
      <c r="G593" s="20"/>
      <c r="H593" s="20">
        <v>4</v>
      </c>
      <c r="I593" s="20"/>
      <c r="J593" s="36">
        <v>29355</v>
      </c>
      <c r="K593" s="20" t="s">
        <v>1417</v>
      </c>
      <c r="L593" s="20" t="s">
        <v>1974</v>
      </c>
      <c r="M593" s="4"/>
      <c r="N593" s="4"/>
      <c r="P593" s="347">
        <v>6</v>
      </c>
      <c r="Q593" s="348">
        <f>P593*100%/(1000)</f>
        <v>6.0000000000000001E-3</v>
      </c>
      <c r="R593" s="214"/>
      <c r="S593" s="129"/>
    </row>
    <row r="594" spans="1:19" ht="15" hidden="1" customHeight="1" x14ac:dyDescent="0.25">
      <c r="A594" s="142" t="s">
        <v>5588</v>
      </c>
      <c r="B594" s="142" t="s">
        <v>249</v>
      </c>
      <c r="C594" s="142" t="s">
        <v>1507</v>
      </c>
      <c r="D594" s="142" t="s">
        <v>4559</v>
      </c>
      <c r="E594" s="142" t="s">
        <v>4560</v>
      </c>
      <c r="F594" s="142" t="s">
        <v>4561</v>
      </c>
      <c r="G594" s="142"/>
      <c r="H594" s="142">
        <v>1</v>
      </c>
      <c r="I594" s="142"/>
      <c r="J594" s="37">
        <v>29355</v>
      </c>
      <c r="K594" s="142" t="s">
        <v>1417</v>
      </c>
      <c r="L594" s="142" t="s">
        <v>1974</v>
      </c>
      <c r="M594" s="4"/>
      <c r="N594" s="4"/>
      <c r="P594" s="347"/>
      <c r="Q594" s="347"/>
      <c r="R594" s="184"/>
      <c r="S594" s="129"/>
    </row>
    <row r="595" spans="1:19" ht="15" hidden="1" customHeight="1" x14ac:dyDescent="0.25">
      <c r="A595" s="199" t="s">
        <v>5588</v>
      </c>
      <c r="B595" s="154" t="s">
        <v>3781</v>
      </c>
      <c r="C595" s="154" t="s">
        <v>1507</v>
      </c>
      <c r="D595" s="154" t="s">
        <v>4562</v>
      </c>
      <c r="E595" s="154" t="s">
        <v>4563</v>
      </c>
      <c r="F595" s="154" t="s">
        <v>4564</v>
      </c>
      <c r="G595" s="154"/>
      <c r="H595" s="154">
        <v>1</v>
      </c>
      <c r="I595" s="154"/>
      <c r="J595" s="155">
        <v>29355</v>
      </c>
      <c r="K595" s="154" t="s">
        <v>1417</v>
      </c>
      <c r="L595" s="154" t="s">
        <v>1974</v>
      </c>
      <c r="M595" s="4"/>
      <c r="N595" s="4"/>
      <c r="P595" s="347"/>
      <c r="Q595" s="347"/>
      <c r="R595" s="184"/>
      <c r="S595" s="129"/>
    </row>
    <row r="596" spans="1:19" ht="15" hidden="1" customHeight="1" x14ac:dyDescent="0.25">
      <c r="A596" s="152" t="s">
        <v>5589</v>
      </c>
      <c r="B596" s="57" t="s">
        <v>11</v>
      </c>
      <c r="C596" s="57" t="s">
        <v>3510</v>
      </c>
      <c r="D596" s="57" t="s">
        <v>3498</v>
      </c>
      <c r="E596" s="57" t="s">
        <v>3499</v>
      </c>
      <c r="F596" s="57" t="s">
        <v>3500</v>
      </c>
      <c r="G596" s="57">
        <v>301</v>
      </c>
      <c r="H596" s="57">
        <v>2215</v>
      </c>
      <c r="I596" s="57">
        <v>9198</v>
      </c>
      <c r="J596" s="58">
        <v>29355</v>
      </c>
      <c r="K596" s="57" t="s">
        <v>433</v>
      </c>
      <c r="L596" s="57" t="s">
        <v>1973</v>
      </c>
      <c r="M596" s="4"/>
      <c r="N596" s="4"/>
      <c r="P596" s="347">
        <v>3294</v>
      </c>
      <c r="Q596" s="348">
        <f>P596*100%/(10000)</f>
        <v>0.32940000000000003</v>
      </c>
      <c r="R596" s="184" t="s">
        <v>4330</v>
      </c>
      <c r="S596" s="129"/>
    </row>
    <row r="597" spans="1:19" ht="15" hidden="1" customHeight="1" x14ac:dyDescent="0.25">
      <c r="A597" s="142" t="s">
        <v>5589</v>
      </c>
      <c r="B597" s="142" t="s">
        <v>249</v>
      </c>
      <c r="C597" s="142" t="s">
        <v>3511</v>
      </c>
      <c r="D597" s="142" t="s">
        <v>3501</v>
      </c>
      <c r="E597" s="142" t="s">
        <v>3502</v>
      </c>
      <c r="F597" s="142" t="s">
        <v>3503</v>
      </c>
      <c r="G597" s="142">
        <v>300</v>
      </c>
      <c r="H597" s="142">
        <v>1</v>
      </c>
      <c r="I597" s="142">
        <v>9198</v>
      </c>
      <c r="J597" s="37">
        <v>29355</v>
      </c>
      <c r="K597" s="142" t="s">
        <v>433</v>
      </c>
      <c r="L597" s="142" t="s">
        <v>1973</v>
      </c>
      <c r="M597" s="4"/>
      <c r="N597" s="4"/>
      <c r="P597" s="347"/>
      <c r="Q597" s="347"/>
      <c r="R597" s="184"/>
      <c r="S597" s="129"/>
    </row>
    <row r="598" spans="1:19" ht="15" hidden="1" customHeight="1" x14ac:dyDescent="0.25">
      <c r="A598" s="141" t="s">
        <v>5589</v>
      </c>
      <c r="B598" s="61" t="s">
        <v>34</v>
      </c>
      <c r="C598" s="61" t="s">
        <v>3644</v>
      </c>
      <c r="D598" s="61" t="s">
        <v>3527</v>
      </c>
      <c r="E598" s="61" t="s">
        <v>3528</v>
      </c>
      <c r="F598" s="61" t="s">
        <v>3529</v>
      </c>
      <c r="G598" s="61">
        <v>302</v>
      </c>
      <c r="H598" s="61">
        <v>378</v>
      </c>
      <c r="I598" s="61">
        <v>9198</v>
      </c>
      <c r="J598" s="62">
        <v>29355</v>
      </c>
      <c r="K598" s="61" t="s">
        <v>433</v>
      </c>
      <c r="L598" s="61" t="s">
        <v>1973</v>
      </c>
      <c r="M598" s="4"/>
      <c r="N598" s="4"/>
      <c r="P598" s="347"/>
      <c r="Q598" s="347"/>
      <c r="R598" s="184" t="s">
        <v>4330</v>
      </c>
      <c r="S598" s="129"/>
    </row>
    <row r="599" spans="1:19" ht="15" hidden="1" customHeight="1" x14ac:dyDescent="0.25">
      <c r="A599" s="152" t="s">
        <v>5589</v>
      </c>
      <c r="B599" s="57" t="s">
        <v>2826</v>
      </c>
      <c r="C599" s="57" t="s">
        <v>1626</v>
      </c>
      <c r="D599" s="57" t="s">
        <v>4195</v>
      </c>
      <c r="E599" s="57" t="s">
        <v>4196</v>
      </c>
      <c r="F599" s="57" t="s">
        <v>4197</v>
      </c>
      <c r="G599" s="57">
        <v>303</v>
      </c>
      <c r="H599" s="57">
        <v>700</v>
      </c>
      <c r="I599" s="57">
        <v>9198</v>
      </c>
      <c r="J599" s="58">
        <v>29355</v>
      </c>
      <c r="K599" s="57" t="s">
        <v>433</v>
      </c>
      <c r="L599" s="57" t="s">
        <v>1973</v>
      </c>
      <c r="M599" s="4"/>
      <c r="N599" s="4"/>
      <c r="P599" s="347"/>
      <c r="Q599" s="347"/>
      <c r="R599" s="145" t="s">
        <v>4940</v>
      </c>
      <c r="S599" s="189" t="s">
        <v>4965</v>
      </c>
    </row>
    <row r="600" spans="1:19" ht="15" hidden="1" customHeight="1" x14ac:dyDescent="0.25">
      <c r="A600" s="147" t="s">
        <v>5590</v>
      </c>
      <c r="B600" s="20" t="s">
        <v>597</v>
      </c>
      <c r="C600" s="20" t="s">
        <v>3696</v>
      </c>
      <c r="D600" s="20" t="s">
        <v>3548</v>
      </c>
      <c r="E600" s="20" t="s">
        <v>3549</v>
      </c>
      <c r="F600" s="20" t="s">
        <v>3550</v>
      </c>
      <c r="G600" s="20">
        <v>200</v>
      </c>
      <c r="H600" s="20">
        <v>8</v>
      </c>
      <c r="I600" s="20">
        <v>9198</v>
      </c>
      <c r="J600" s="36">
        <v>29355</v>
      </c>
      <c r="K600" s="20" t="s">
        <v>1417</v>
      </c>
      <c r="L600" s="20" t="s">
        <v>1974</v>
      </c>
      <c r="M600" s="4"/>
      <c r="N600" s="4"/>
      <c r="P600" s="347">
        <v>270</v>
      </c>
      <c r="Q600" s="348">
        <f>P600*100%/(1000)</f>
        <v>0.27</v>
      </c>
      <c r="R600" s="184"/>
      <c r="S600" s="129"/>
    </row>
    <row r="601" spans="1:19" ht="15" hidden="1" customHeight="1" x14ac:dyDescent="0.25">
      <c r="A601" s="141" t="s">
        <v>5590</v>
      </c>
      <c r="B601" s="61" t="s">
        <v>34</v>
      </c>
      <c r="C601" s="61" t="s">
        <v>7341</v>
      </c>
      <c r="D601" s="61" t="s">
        <v>7097</v>
      </c>
      <c r="E601" s="61" t="s">
        <v>7098</v>
      </c>
      <c r="F601" s="61" t="s">
        <v>7099</v>
      </c>
      <c r="G601" s="61">
        <v>633</v>
      </c>
      <c r="H601" s="61">
        <v>60</v>
      </c>
      <c r="I601" s="61">
        <v>9198</v>
      </c>
      <c r="J601" s="62">
        <v>29355</v>
      </c>
      <c r="K601" s="61" t="s">
        <v>1417</v>
      </c>
      <c r="L601" s="61" t="s">
        <v>1974</v>
      </c>
      <c r="M601" s="4"/>
      <c r="N601" s="4"/>
      <c r="P601" s="347"/>
      <c r="Q601" s="347"/>
      <c r="R601" s="184"/>
      <c r="S601" s="129"/>
    </row>
    <row r="602" spans="1:19" ht="15" hidden="1" customHeight="1" x14ac:dyDescent="0.25">
      <c r="A602" s="142" t="s">
        <v>5590</v>
      </c>
      <c r="B602" s="142" t="s">
        <v>249</v>
      </c>
      <c r="C602" s="142" t="s">
        <v>3697</v>
      </c>
      <c r="D602" s="142" t="s">
        <v>3551</v>
      </c>
      <c r="E602" s="142" t="s">
        <v>3552</v>
      </c>
      <c r="F602" s="142" t="s">
        <v>3553</v>
      </c>
      <c r="G602" s="142">
        <v>201</v>
      </c>
      <c r="H602" s="142">
        <v>1</v>
      </c>
      <c r="I602" s="142">
        <v>9198</v>
      </c>
      <c r="J602" s="37">
        <v>29355</v>
      </c>
      <c r="K602" s="142" t="s">
        <v>1417</v>
      </c>
      <c r="L602" s="142" t="s">
        <v>1974</v>
      </c>
      <c r="M602" s="4"/>
      <c r="N602" s="4"/>
      <c r="P602" s="347"/>
      <c r="Q602" s="347"/>
      <c r="R602" s="184"/>
      <c r="S602" s="129"/>
    </row>
    <row r="603" spans="1:19" ht="15" hidden="1" customHeight="1" x14ac:dyDescent="0.25">
      <c r="A603" s="57" t="s">
        <v>5590</v>
      </c>
      <c r="B603" s="57" t="s">
        <v>11</v>
      </c>
      <c r="C603" s="57" t="s">
        <v>7342</v>
      </c>
      <c r="D603" s="57" t="s">
        <v>7100</v>
      </c>
      <c r="E603" s="57" t="s">
        <v>7101</v>
      </c>
      <c r="F603" s="57" t="s">
        <v>7102</v>
      </c>
      <c r="G603" s="57">
        <v>632</v>
      </c>
      <c r="H603" s="57">
        <v>200</v>
      </c>
      <c r="I603" s="57">
        <v>9198</v>
      </c>
      <c r="J603" s="57">
        <v>29355</v>
      </c>
      <c r="K603" s="57" t="s">
        <v>1417</v>
      </c>
      <c r="L603" s="57" t="s">
        <v>1974</v>
      </c>
      <c r="M603" s="4"/>
      <c r="N603" s="4"/>
      <c r="P603" s="347"/>
      <c r="Q603" s="347"/>
      <c r="R603" s="184"/>
      <c r="S603" s="129"/>
    </row>
    <row r="604" spans="1:19" ht="15" hidden="1" customHeight="1" x14ac:dyDescent="0.25">
      <c r="A604" s="199" t="s">
        <v>5590</v>
      </c>
      <c r="B604" s="154" t="s">
        <v>3781</v>
      </c>
      <c r="C604" s="154" t="s">
        <v>6785</v>
      </c>
      <c r="D604" s="154" t="s">
        <v>6732</v>
      </c>
      <c r="E604" s="154" t="s">
        <v>6733</v>
      </c>
      <c r="F604" s="154" t="s">
        <v>6734</v>
      </c>
      <c r="G604" s="154">
        <v>1250</v>
      </c>
      <c r="H604" s="154">
        <v>1</v>
      </c>
      <c r="I604" s="154">
        <v>9198</v>
      </c>
      <c r="J604" s="155">
        <v>29355</v>
      </c>
      <c r="K604" s="154" t="s">
        <v>1417</v>
      </c>
      <c r="L604" s="154" t="s">
        <v>1974</v>
      </c>
      <c r="M604" s="4"/>
      <c r="N604" s="4"/>
      <c r="P604" s="347"/>
      <c r="Q604" s="347"/>
      <c r="R604" s="184"/>
      <c r="S604" s="129"/>
    </row>
    <row r="605" spans="1:19" ht="15" hidden="1" customHeight="1" x14ac:dyDescent="0.25">
      <c r="A605" s="141" t="s">
        <v>5591</v>
      </c>
      <c r="B605" s="61" t="s">
        <v>34</v>
      </c>
      <c r="C605" s="61" t="s">
        <v>4382</v>
      </c>
      <c r="D605" s="61" t="s">
        <v>4033</v>
      </c>
      <c r="E605" s="61" t="s">
        <v>4034</v>
      </c>
      <c r="F605" s="61" t="s">
        <v>4035</v>
      </c>
      <c r="G605" s="61">
        <v>2021</v>
      </c>
      <c r="H605" s="61">
        <v>276</v>
      </c>
      <c r="I605" s="61">
        <v>9198</v>
      </c>
      <c r="J605" s="62">
        <v>29355</v>
      </c>
      <c r="K605" s="61" t="s">
        <v>522</v>
      </c>
      <c r="L605" s="61" t="s">
        <v>1974</v>
      </c>
      <c r="M605" s="4"/>
      <c r="N605" s="4"/>
      <c r="P605" s="347">
        <v>560</v>
      </c>
      <c r="Q605" s="348">
        <f>P605*100%/(1000)</f>
        <v>0.56000000000000005</v>
      </c>
      <c r="R605" s="184"/>
      <c r="S605" s="129"/>
    </row>
    <row r="606" spans="1:19" ht="15" hidden="1" customHeight="1" x14ac:dyDescent="0.25">
      <c r="A606" s="142" t="s">
        <v>5591</v>
      </c>
      <c r="B606" s="142" t="s">
        <v>249</v>
      </c>
      <c r="C606" s="142" t="s">
        <v>4383</v>
      </c>
      <c r="D606" s="142" t="s">
        <v>4036</v>
      </c>
      <c r="E606" s="142" t="s">
        <v>4037</v>
      </c>
      <c r="F606" s="142" t="s">
        <v>4038</v>
      </c>
      <c r="G606" s="142">
        <v>2020</v>
      </c>
      <c r="H606" s="142">
        <v>2</v>
      </c>
      <c r="I606" s="142">
        <v>9198</v>
      </c>
      <c r="J606" s="37">
        <v>29355</v>
      </c>
      <c r="K606" s="142" t="s">
        <v>522</v>
      </c>
      <c r="L606" s="142" t="s">
        <v>1974</v>
      </c>
      <c r="M606" s="4"/>
      <c r="N606" s="4"/>
      <c r="P606" s="347"/>
      <c r="Q606" s="347"/>
      <c r="R606" s="184"/>
      <c r="S606" s="129"/>
    </row>
    <row r="607" spans="1:19" ht="15" hidden="1" customHeight="1" x14ac:dyDescent="0.25">
      <c r="A607" s="57" t="s">
        <v>5591</v>
      </c>
      <c r="B607" s="57" t="s">
        <v>11</v>
      </c>
      <c r="C607" s="57" t="s">
        <v>6462</v>
      </c>
      <c r="D607" s="57" t="s">
        <v>6331</v>
      </c>
      <c r="E607" s="57" t="s">
        <v>6332</v>
      </c>
      <c r="F607" s="57" t="s">
        <v>6333</v>
      </c>
      <c r="G607" s="57">
        <v>2019</v>
      </c>
      <c r="H607" s="57">
        <v>272</v>
      </c>
      <c r="I607" s="57">
        <v>9198</v>
      </c>
      <c r="J607" s="57">
        <v>29355</v>
      </c>
      <c r="K607" s="57" t="s">
        <v>522</v>
      </c>
      <c r="L607" s="57" t="s">
        <v>1974</v>
      </c>
      <c r="M607" s="4"/>
      <c r="N607" s="4"/>
      <c r="P607" s="347"/>
      <c r="Q607" s="347"/>
      <c r="R607" s="184"/>
      <c r="S607" s="129"/>
    </row>
    <row r="608" spans="1:19" ht="15" hidden="1" customHeight="1" x14ac:dyDescent="0.25">
      <c r="A608" s="20" t="s">
        <v>5591</v>
      </c>
      <c r="B608" s="20" t="s">
        <v>597</v>
      </c>
      <c r="C608" s="20" t="s">
        <v>6461</v>
      </c>
      <c r="D608" s="20" t="s">
        <v>6334</v>
      </c>
      <c r="E608" s="20" t="s">
        <v>6335</v>
      </c>
      <c r="F608" s="20" t="s">
        <v>6336</v>
      </c>
      <c r="G608" s="20">
        <v>2018</v>
      </c>
      <c r="H608" s="20">
        <v>10</v>
      </c>
      <c r="I608" s="20">
        <v>9198</v>
      </c>
      <c r="J608" s="20">
        <v>29355</v>
      </c>
      <c r="K608" s="20" t="s">
        <v>522</v>
      </c>
      <c r="L608" s="20" t="s">
        <v>1974</v>
      </c>
      <c r="M608" s="4"/>
      <c r="N608" s="4"/>
      <c r="P608" s="347"/>
      <c r="Q608" s="347"/>
      <c r="R608" s="184"/>
      <c r="S608" s="129"/>
    </row>
    <row r="609" spans="1:19" ht="15" hidden="1" customHeight="1" x14ac:dyDescent="0.25">
      <c r="A609" s="147" t="s">
        <v>5592</v>
      </c>
      <c r="B609" s="20" t="s">
        <v>597</v>
      </c>
      <c r="C609" s="20" t="s">
        <v>4313</v>
      </c>
      <c r="D609" s="20" t="s">
        <v>3969</v>
      </c>
      <c r="E609" s="20" t="s">
        <v>3970</v>
      </c>
      <c r="F609" s="20" t="s">
        <v>3971</v>
      </c>
      <c r="G609" s="20">
        <v>2496</v>
      </c>
      <c r="H609" s="20">
        <v>2</v>
      </c>
      <c r="I609" s="20">
        <v>9198</v>
      </c>
      <c r="J609" s="36">
        <v>29355</v>
      </c>
      <c r="K609" s="20" t="s">
        <v>4002</v>
      </c>
      <c r="L609" s="20" t="s">
        <v>1974</v>
      </c>
      <c r="M609" s="4"/>
      <c r="N609" s="4"/>
      <c r="P609" s="347">
        <v>53</v>
      </c>
      <c r="Q609" s="348">
        <f>P609*100%/(1000)</f>
        <v>5.2999999999999999E-2</v>
      </c>
      <c r="R609" s="184"/>
      <c r="S609" s="129"/>
    </row>
    <row r="610" spans="1:19" ht="15" hidden="1" customHeight="1" x14ac:dyDescent="0.25">
      <c r="A610" s="141" t="s">
        <v>5592</v>
      </c>
      <c r="B610" s="61" t="s">
        <v>34</v>
      </c>
      <c r="C610" s="61" t="s">
        <v>4314</v>
      </c>
      <c r="D610" s="61" t="s">
        <v>3972</v>
      </c>
      <c r="E610" s="61" t="s">
        <v>3973</v>
      </c>
      <c r="F610" s="61" t="s">
        <v>3974</v>
      </c>
      <c r="G610" s="61">
        <v>2497</v>
      </c>
      <c r="H610" s="61">
        <v>66</v>
      </c>
      <c r="I610" s="61">
        <v>9198</v>
      </c>
      <c r="J610" s="62">
        <v>29355</v>
      </c>
      <c r="K610" s="61" t="s">
        <v>4002</v>
      </c>
      <c r="L610" s="61" t="s">
        <v>1974</v>
      </c>
      <c r="M610" s="4"/>
      <c r="N610" s="4"/>
      <c r="P610" s="347"/>
      <c r="Q610" s="347"/>
      <c r="R610" s="184"/>
      <c r="S610" s="129"/>
    </row>
    <row r="611" spans="1:19" ht="15" hidden="1" customHeight="1" x14ac:dyDescent="0.25">
      <c r="A611" s="142" t="s">
        <v>5592</v>
      </c>
      <c r="B611" s="142" t="s">
        <v>249</v>
      </c>
      <c r="C611" s="142" t="s">
        <v>4315</v>
      </c>
      <c r="D611" s="142" t="s">
        <v>3975</v>
      </c>
      <c r="E611" s="142" t="s">
        <v>3976</v>
      </c>
      <c r="F611" s="142" t="s">
        <v>3977</v>
      </c>
      <c r="G611" s="142">
        <v>2498</v>
      </c>
      <c r="H611" s="142">
        <v>1</v>
      </c>
      <c r="I611" s="142">
        <v>9198</v>
      </c>
      <c r="J611" s="37">
        <v>29355</v>
      </c>
      <c r="K611" s="142" t="s">
        <v>4002</v>
      </c>
      <c r="L611" s="142" t="s">
        <v>1974</v>
      </c>
      <c r="M611" s="4"/>
      <c r="N611" s="4"/>
      <c r="P611" s="347"/>
      <c r="Q611" s="347"/>
      <c r="R611" s="184"/>
      <c r="S611" s="129"/>
    </row>
    <row r="612" spans="1:19" ht="15" hidden="1" customHeight="1" x14ac:dyDescent="0.25">
      <c r="A612" s="199" t="s">
        <v>5592</v>
      </c>
      <c r="B612" s="154" t="s">
        <v>3781</v>
      </c>
      <c r="C612" s="154" t="s">
        <v>4316</v>
      </c>
      <c r="D612" s="154" t="s">
        <v>3978</v>
      </c>
      <c r="E612" s="154" t="s">
        <v>3979</v>
      </c>
      <c r="F612" s="154" t="s">
        <v>3980</v>
      </c>
      <c r="G612" s="154">
        <v>2495</v>
      </c>
      <c r="H612" s="154">
        <v>1</v>
      </c>
      <c r="I612" s="154">
        <v>9198</v>
      </c>
      <c r="J612" s="155">
        <v>29355</v>
      </c>
      <c r="K612" s="154" t="s">
        <v>4002</v>
      </c>
      <c r="L612" s="154" t="s">
        <v>1974</v>
      </c>
      <c r="M612" s="4"/>
      <c r="N612" s="4"/>
      <c r="P612" s="347"/>
      <c r="Q612" s="347"/>
      <c r="R612" s="184"/>
      <c r="S612" s="129"/>
    </row>
    <row r="613" spans="1:19" ht="15" hidden="1" customHeight="1" x14ac:dyDescent="0.25">
      <c r="A613" s="147" t="s">
        <v>5593</v>
      </c>
      <c r="B613" s="20" t="s">
        <v>597</v>
      </c>
      <c r="C613" s="20" t="s">
        <v>3043</v>
      </c>
      <c r="D613" s="20" t="s">
        <v>2982</v>
      </c>
      <c r="E613" s="20" t="s">
        <v>2983</v>
      </c>
      <c r="F613" s="20" t="s">
        <v>2984</v>
      </c>
      <c r="G613" s="20">
        <v>2355</v>
      </c>
      <c r="H613" s="20">
        <v>20</v>
      </c>
      <c r="I613" s="20">
        <v>9198</v>
      </c>
      <c r="J613" s="36">
        <v>29355</v>
      </c>
      <c r="K613" s="20" t="s">
        <v>654</v>
      </c>
      <c r="L613" s="20" t="s">
        <v>1974</v>
      </c>
      <c r="M613" s="4"/>
      <c r="N613" s="4"/>
      <c r="P613" s="347">
        <v>271</v>
      </c>
      <c r="Q613" s="348">
        <f>P613*100%/(1000)</f>
        <v>0.27100000000000002</v>
      </c>
      <c r="R613" s="213"/>
      <c r="S613" s="129"/>
    </row>
    <row r="614" spans="1:19" ht="15" hidden="1" customHeight="1" x14ac:dyDescent="0.25">
      <c r="A614" s="141" t="s">
        <v>5593</v>
      </c>
      <c r="B614" s="61" t="s">
        <v>34</v>
      </c>
      <c r="C614" s="61" t="s">
        <v>3042</v>
      </c>
      <c r="D614" s="61" t="s">
        <v>2985</v>
      </c>
      <c r="E614" s="61" t="s">
        <v>2986</v>
      </c>
      <c r="F614" s="61" t="s">
        <v>2987</v>
      </c>
      <c r="G614" s="61">
        <v>2352</v>
      </c>
      <c r="H614" s="61">
        <v>249</v>
      </c>
      <c r="I614" s="61">
        <v>9198</v>
      </c>
      <c r="J614" s="62">
        <v>29355</v>
      </c>
      <c r="K614" s="61" t="s">
        <v>654</v>
      </c>
      <c r="L614" s="61" t="s">
        <v>1974</v>
      </c>
      <c r="M614" s="4"/>
      <c r="N614" s="4"/>
      <c r="P614" s="347"/>
      <c r="Q614" s="347"/>
      <c r="R614" s="184"/>
      <c r="S614" s="129"/>
    </row>
    <row r="615" spans="1:19" ht="15" hidden="1" customHeight="1" x14ac:dyDescent="0.25">
      <c r="A615" s="199" t="s">
        <v>5593</v>
      </c>
      <c r="B615" s="154" t="s">
        <v>3781</v>
      </c>
      <c r="C615" s="154" t="s">
        <v>4022</v>
      </c>
      <c r="D615" s="154" t="s">
        <v>3806</v>
      </c>
      <c r="E615" s="154" t="s">
        <v>3807</v>
      </c>
      <c r="F615" s="154" t="s">
        <v>3808</v>
      </c>
      <c r="G615" s="154">
        <v>2346</v>
      </c>
      <c r="H615" s="154">
        <v>1</v>
      </c>
      <c r="I615" s="154">
        <v>9198</v>
      </c>
      <c r="J615" s="155">
        <v>29355</v>
      </c>
      <c r="K615" s="154" t="s">
        <v>654</v>
      </c>
      <c r="L615" s="154" t="s">
        <v>1974</v>
      </c>
      <c r="M615" s="4"/>
      <c r="N615" s="4"/>
      <c r="P615" s="347"/>
      <c r="Q615" s="347"/>
      <c r="R615" s="184"/>
      <c r="S615" s="129"/>
    </row>
    <row r="616" spans="1:19" ht="15" hidden="1" customHeight="1" x14ac:dyDescent="0.25">
      <c r="A616" s="142" t="s">
        <v>5593</v>
      </c>
      <c r="B616" s="142" t="s">
        <v>249</v>
      </c>
      <c r="C616" s="142" t="s">
        <v>6286</v>
      </c>
      <c r="D616" s="142" t="s">
        <v>6187</v>
      </c>
      <c r="E616" s="142" t="s">
        <v>6188</v>
      </c>
      <c r="F616" s="142" t="s">
        <v>6189</v>
      </c>
      <c r="G616" s="142">
        <v>2334</v>
      </c>
      <c r="H616" s="142">
        <v>1</v>
      </c>
      <c r="I616" s="142">
        <v>9198</v>
      </c>
      <c r="J616" s="37">
        <v>29355</v>
      </c>
      <c r="K616" s="142" t="s">
        <v>654</v>
      </c>
      <c r="L616" s="142" t="s">
        <v>1974</v>
      </c>
      <c r="M616" s="4"/>
      <c r="N616" s="4"/>
      <c r="P616" s="347"/>
      <c r="Q616" s="347"/>
      <c r="R616" s="184"/>
      <c r="S616" s="129"/>
    </row>
    <row r="617" spans="1:19" ht="15" hidden="1" customHeight="1" x14ac:dyDescent="0.25">
      <c r="A617" s="152" t="s">
        <v>6736</v>
      </c>
      <c r="B617" s="57" t="s">
        <v>11</v>
      </c>
      <c r="C617" s="57" t="s">
        <v>6843</v>
      </c>
      <c r="D617" s="57"/>
      <c r="E617" s="57"/>
      <c r="F617" s="57" t="s">
        <v>6864</v>
      </c>
      <c r="G617" s="57">
        <v>2394</v>
      </c>
      <c r="H617" s="57">
        <v>100</v>
      </c>
      <c r="I617" s="57" t="s">
        <v>1454</v>
      </c>
      <c r="J617" s="58" t="s">
        <v>1454</v>
      </c>
      <c r="K617" s="57" t="s">
        <v>433</v>
      </c>
      <c r="L617" s="57" t="s">
        <v>1979</v>
      </c>
      <c r="M617" s="4"/>
      <c r="N617" s="4"/>
      <c r="P617" s="347">
        <v>302</v>
      </c>
      <c r="Q617" s="348">
        <f>P617*100%/(1000)</f>
        <v>0.30199999999999999</v>
      </c>
      <c r="R617" s="146" t="s">
        <v>3691</v>
      </c>
      <c r="S617" s="146" t="s">
        <v>4107</v>
      </c>
    </row>
    <row r="618" spans="1:19" ht="15" hidden="1" customHeight="1" x14ac:dyDescent="0.25">
      <c r="A618" s="141" t="s">
        <v>6736</v>
      </c>
      <c r="B618" s="61" t="s">
        <v>34</v>
      </c>
      <c r="C618" s="61" t="s">
        <v>6844</v>
      </c>
      <c r="D618" s="61"/>
      <c r="E618" s="61"/>
      <c r="F618" s="61" t="s">
        <v>6865</v>
      </c>
      <c r="G618" s="61">
        <v>2395</v>
      </c>
      <c r="H618" s="61">
        <v>200</v>
      </c>
      <c r="I618" s="61" t="s">
        <v>1454</v>
      </c>
      <c r="J618" s="62" t="s">
        <v>1454</v>
      </c>
      <c r="K618" s="61" t="s">
        <v>433</v>
      </c>
      <c r="L618" s="61" t="s">
        <v>1974</v>
      </c>
      <c r="M618" s="4"/>
      <c r="N618" s="4"/>
      <c r="P618" s="347"/>
      <c r="Q618" s="347"/>
      <c r="R618" s="184"/>
      <c r="S618" s="129"/>
    </row>
    <row r="619" spans="1:19" ht="15" hidden="1" customHeight="1" x14ac:dyDescent="0.25">
      <c r="A619" s="142" t="s">
        <v>6736</v>
      </c>
      <c r="B619" s="142" t="s">
        <v>249</v>
      </c>
      <c r="C619" s="142" t="s">
        <v>6845</v>
      </c>
      <c r="D619" s="142"/>
      <c r="E619" s="142"/>
      <c r="F619" s="142" t="s">
        <v>6867</v>
      </c>
      <c r="G619" s="142">
        <v>2396</v>
      </c>
      <c r="H619" s="142">
        <v>1</v>
      </c>
      <c r="I619" s="142" t="s">
        <v>1454</v>
      </c>
      <c r="J619" s="37" t="s">
        <v>1454</v>
      </c>
      <c r="K619" s="142" t="s">
        <v>433</v>
      </c>
      <c r="L619" s="142" t="s">
        <v>1974</v>
      </c>
      <c r="M619" s="4"/>
      <c r="N619" s="4"/>
      <c r="P619" s="347"/>
      <c r="Q619" s="347"/>
      <c r="R619" s="184"/>
      <c r="S619" s="129"/>
    </row>
    <row r="620" spans="1:19" ht="15" hidden="1" customHeight="1" x14ac:dyDescent="0.25">
      <c r="A620" s="142" t="s">
        <v>6736</v>
      </c>
      <c r="B620" s="142" t="s">
        <v>6092</v>
      </c>
      <c r="C620" s="142" t="s">
        <v>6846</v>
      </c>
      <c r="D620" s="142"/>
      <c r="E620" s="142"/>
      <c r="F620" s="142" t="s">
        <v>6866</v>
      </c>
      <c r="G620" s="142">
        <v>2397</v>
      </c>
      <c r="H620" s="142">
        <v>1</v>
      </c>
      <c r="I620" s="142" t="s">
        <v>1454</v>
      </c>
      <c r="J620" s="37" t="s">
        <v>1454</v>
      </c>
      <c r="K620" s="142" t="s">
        <v>433</v>
      </c>
      <c r="L620" s="142" t="s">
        <v>1974</v>
      </c>
      <c r="M620" s="4"/>
      <c r="N620" s="4"/>
      <c r="P620" s="347"/>
      <c r="Q620" s="347"/>
      <c r="R620" s="184"/>
      <c r="S620" s="129"/>
    </row>
    <row r="621" spans="1:19" ht="14.25" hidden="1" customHeight="1" x14ac:dyDescent="0.25">
      <c r="A621" s="141" t="s">
        <v>5594</v>
      </c>
      <c r="B621" s="61" t="s">
        <v>34</v>
      </c>
      <c r="C621" s="61" t="s">
        <v>2814</v>
      </c>
      <c r="D621" s="61" t="s">
        <v>2792</v>
      </c>
      <c r="E621" s="61" t="s">
        <v>2793</v>
      </c>
      <c r="F621" s="61" t="s">
        <v>2794</v>
      </c>
      <c r="G621" s="61">
        <v>1688</v>
      </c>
      <c r="H621" s="61">
        <v>275</v>
      </c>
      <c r="I621" s="61">
        <v>9198</v>
      </c>
      <c r="J621" s="62">
        <v>29355</v>
      </c>
      <c r="K621" s="61" t="s">
        <v>429</v>
      </c>
      <c r="L621" s="61" t="s">
        <v>1974</v>
      </c>
      <c r="M621" s="4"/>
      <c r="N621" s="4"/>
      <c r="P621" s="347">
        <v>332</v>
      </c>
      <c r="Q621" s="348">
        <f>P621*100%/(1000)</f>
        <v>0.33200000000000002</v>
      </c>
      <c r="R621" s="184"/>
      <c r="S621" s="129"/>
    </row>
    <row r="622" spans="1:19" ht="15" hidden="1" customHeight="1" x14ac:dyDescent="0.25">
      <c r="A622" s="142" t="s">
        <v>5594</v>
      </c>
      <c r="B622" s="9" t="s">
        <v>249</v>
      </c>
      <c r="C622" s="9" t="s">
        <v>2815</v>
      </c>
      <c r="D622" s="9" t="s">
        <v>2795</v>
      </c>
      <c r="E622" s="9" t="s">
        <v>2796</v>
      </c>
      <c r="F622" s="9" t="s">
        <v>2797</v>
      </c>
      <c r="G622" s="9">
        <v>1689</v>
      </c>
      <c r="H622" s="9">
        <v>1</v>
      </c>
      <c r="I622" s="9">
        <v>9198</v>
      </c>
      <c r="J622" s="37">
        <v>29355</v>
      </c>
      <c r="K622" s="9" t="s">
        <v>429</v>
      </c>
      <c r="L622" s="9" t="s">
        <v>1974</v>
      </c>
      <c r="M622" s="4"/>
      <c r="N622" s="4"/>
      <c r="P622" s="347"/>
      <c r="Q622" s="347"/>
      <c r="R622" s="213"/>
      <c r="S622" s="129"/>
    </row>
    <row r="623" spans="1:19" ht="15" hidden="1" customHeight="1" x14ac:dyDescent="0.25">
      <c r="A623" s="57" t="s">
        <v>5594</v>
      </c>
      <c r="B623" s="57" t="s">
        <v>11</v>
      </c>
      <c r="C623" s="57" t="s">
        <v>6589</v>
      </c>
      <c r="D623" s="57" t="s">
        <v>6505</v>
      </c>
      <c r="E623" s="57" t="s">
        <v>6506</v>
      </c>
      <c r="F623" s="57" t="s">
        <v>6507</v>
      </c>
      <c r="G623" s="57">
        <v>2123</v>
      </c>
      <c r="H623" s="57">
        <v>50</v>
      </c>
      <c r="I623" s="57">
        <v>9198</v>
      </c>
      <c r="J623" s="57">
        <v>29355</v>
      </c>
      <c r="K623" s="57" t="s">
        <v>522</v>
      </c>
      <c r="L623" s="57" t="s">
        <v>1974</v>
      </c>
      <c r="M623" s="4"/>
      <c r="N623" s="4"/>
      <c r="P623" s="347"/>
      <c r="Q623" s="347"/>
      <c r="R623" s="213"/>
      <c r="S623" s="129"/>
    </row>
    <row r="624" spans="1:19" ht="15" hidden="1" customHeight="1" x14ac:dyDescent="0.25">
      <c r="A624" s="20" t="s">
        <v>5594</v>
      </c>
      <c r="B624" s="20" t="s">
        <v>597</v>
      </c>
      <c r="C624" s="20" t="s">
        <v>7169</v>
      </c>
      <c r="D624" s="20" t="s">
        <v>7039</v>
      </c>
      <c r="E624" s="20" t="s">
        <v>7040</v>
      </c>
      <c r="F624" s="20" t="s">
        <v>7041</v>
      </c>
      <c r="G624" s="20">
        <v>1212</v>
      </c>
      <c r="H624" s="20">
        <v>6</v>
      </c>
      <c r="I624" s="20">
        <v>9198</v>
      </c>
      <c r="J624" s="20">
        <v>29355</v>
      </c>
      <c r="K624" s="20" t="s">
        <v>429</v>
      </c>
      <c r="L624" s="20" t="s">
        <v>1974</v>
      </c>
      <c r="M624" s="4"/>
      <c r="N624" s="4"/>
      <c r="P624" s="347"/>
      <c r="Q624" s="347"/>
      <c r="R624" s="213"/>
      <c r="S624" s="129"/>
    </row>
    <row r="625" spans="1:21" ht="15" hidden="1" customHeight="1" x14ac:dyDescent="0.3">
      <c r="A625" s="147" t="s">
        <v>7211</v>
      </c>
      <c r="B625" s="20" t="s">
        <v>6365</v>
      </c>
      <c r="C625" s="20" t="s">
        <v>6593</v>
      </c>
      <c r="D625" s="20"/>
      <c r="E625" s="20"/>
      <c r="F625" s="20"/>
      <c r="G625" s="20">
        <v>2390</v>
      </c>
      <c r="H625" s="20">
        <v>242</v>
      </c>
      <c r="I625" s="20" t="s">
        <v>1454</v>
      </c>
      <c r="J625" s="36" t="s">
        <v>1454</v>
      </c>
      <c r="K625" s="20" t="s">
        <v>429</v>
      </c>
      <c r="L625" s="20" t="s">
        <v>1973</v>
      </c>
      <c r="M625" s="4"/>
      <c r="N625" s="4"/>
      <c r="P625">
        <v>242</v>
      </c>
      <c r="Q625" s="303">
        <f>P625*100%/(10000)</f>
        <v>2.4199999999999999E-2</v>
      </c>
      <c r="R625" s="213"/>
      <c r="S625" s="129"/>
    </row>
    <row r="626" spans="1:21" ht="15" hidden="1" customHeight="1" x14ac:dyDescent="0.25">
      <c r="A626" s="147" t="s">
        <v>5595</v>
      </c>
      <c r="B626" s="20" t="s">
        <v>597</v>
      </c>
      <c r="C626" s="20" t="s">
        <v>2813</v>
      </c>
      <c r="D626" s="20" t="s">
        <v>2789</v>
      </c>
      <c r="E626" s="20" t="s">
        <v>2790</v>
      </c>
      <c r="F626" s="20" t="s">
        <v>2791</v>
      </c>
      <c r="G626" s="20">
        <v>2056</v>
      </c>
      <c r="H626" s="20">
        <v>16</v>
      </c>
      <c r="I626" s="20">
        <v>9198</v>
      </c>
      <c r="J626" s="36">
        <v>29355</v>
      </c>
      <c r="K626" s="20" t="s">
        <v>654</v>
      </c>
      <c r="L626" s="20" t="s">
        <v>1979</v>
      </c>
      <c r="M626" s="4"/>
      <c r="N626" s="4"/>
      <c r="P626" s="347">
        <v>3144</v>
      </c>
      <c r="Q626" s="348">
        <f>P626*100%/(4000)</f>
        <v>0.78600000000000003</v>
      </c>
      <c r="R626" s="145" t="s">
        <v>2924</v>
      </c>
      <c r="S626" s="211" t="s">
        <v>2908</v>
      </c>
    </row>
    <row r="627" spans="1:21" ht="15" hidden="1" customHeight="1" x14ac:dyDescent="0.25">
      <c r="A627" s="152" t="s">
        <v>5595</v>
      </c>
      <c r="B627" s="57" t="s">
        <v>11</v>
      </c>
      <c r="C627" s="57" t="s">
        <v>1813</v>
      </c>
      <c r="D627" s="57" t="s">
        <v>1809</v>
      </c>
      <c r="E627" s="57" t="s">
        <v>1810</v>
      </c>
      <c r="F627" s="57" t="s">
        <v>1811</v>
      </c>
      <c r="G627" s="57">
        <v>1049</v>
      </c>
      <c r="H627" s="57">
        <v>2400</v>
      </c>
      <c r="I627" s="57">
        <v>9198</v>
      </c>
      <c r="J627" s="58">
        <v>29355</v>
      </c>
      <c r="K627" s="57" t="s">
        <v>654</v>
      </c>
      <c r="L627" s="57" t="s">
        <v>1979</v>
      </c>
      <c r="M627" s="4"/>
      <c r="N627" s="4"/>
      <c r="P627" s="347"/>
      <c r="Q627" s="347"/>
      <c r="R627" s="146" t="s">
        <v>3691</v>
      </c>
      <c r="S627" s="146" t="s">
        <v>4107</v>
      </c>
    </row>
    <row r="628" spans="1:21" ht="15" hidden="1" customHeight="1" x14ac:dyDescent="0.25">
      <c r="A628" s="141" t="s">
        <v>5595</v>
      </c>
      <c r="B628" s="61" t="s">
        <v>34</v>
      </c>
      <c r="C628" s="61" t="s">
        <v>1414</v>
      </c>
      <c r="D628" s="61" t="s">
        <v>1375</v>
      </c>
      <c r="E628" s="61" t="s">
        <v>1376</v>
      </c>
      <c r="F628" s="61" t="s">
        <v>1377</v>
      </c>
      <c r="G628" s="61">
        <v>2224</v>
      </c>
      <c r="H628" s="61">
        <v>723</v>
      </c>
      <c r="I628" s="61">
        <v>9198</v>
      </c>
      <c r="J628" s="62">
        <v>29355</v>
      </c>
      <c r="K628" s="61" t="s">
        <v>654</v>
      </c>
      <c r="L628" s="61" t="s">
        <v>1979</v>
      </c>
      <c r="M628" s="4"/>
      <c r="N628" s="4"/>
      <c r="O628" s="4"/>
      <c r="P628" s="347"/>
      <c r="Q628" s="347"/>
      <c r="R628" s="189" t="s">
        <v>4806</v>
      </c>
      <c r="S628" s="184"/>
    </row>
    <row r="629" spans="1:21" ht="15" hidden="1" customHeight="1" x14ac:dyDescent="0.25">
      <c r="A629" s="142" t="s">
        <v>5595</v>
      </c>
      <c r="B629" s="9" t="s">
        <v>249</v>
      </c>
      <c r="C629" s="9" t="s">
        <v>1812</v>
      </c>
      <c r="D629" s="9" t="s">
        <v>1806</v>
      </c>
      <c r="E629" s="9" t="s">
        <v>1807</v>
      </c>
      <c r="F629" s="9" t="s">
        <v>1808</v>
      </c>
      <c r="G629" s="9">
        <v>1037</v>
      </c>
      <c r="H629" s="9">
        <v>5</v>
      </c>
      <c r="I629" s="9">
        <v>9198</v>
      </c>
      <c r="J629" s="37">
        <v>29355</v>
      </c>
      <c r="K629" s="9" t="s">
        <v>654</v>
      </c>
      <c r="L629" s="9" t="s">
        <v>1979</v>
      </c>
      <c r="M629" s="4"/>
      <c r="N629" s="4"/>
      <c r="P629" s="347"/>
      <c r="Q629" s="347"/>
      <c r="R629" s="145" t="s">
        <v>4895</v>
      </c>
      <c r="S629" s="146" t="s">
        <v>4976</v>
      </c>
      <c r="T629" s="189" t="s">
        <v>5101</v>
      </c>
      <c r="U629" s="198" t="s">
        <v>6062</v>
      </c>
    </row>
    <row r="630" spans="1:21" ht="15" hidden="1" customHeight="1" x14ac:dyDescent="0.25">
      <c r="A630" s="147" t="s">
        <v>5596</v>
      </c>
      <c r="B630" s="20" t="s">
        <v>597</v>
      </c>
      <c r="C630" s="20" t="s">
        <v>4972</v>
      </c>
      <c r="D630" s="20" t="s">
        <v>4877</v>
      </c>
      <c r="E630" s="20" t="s">
        <v>4878</v>
      </c>
      <c r="F630" s="20" t="s">
        <v>4879</v>
      </c>
      <c r="G630" s="20">
        <v>1549</v>
      </c>
      <c r="H630" s="20">
        <v>6</v>
      </c>
      <c r="I630" s="20">
        <v>9198</v>
      </c>
      <c r="J630" s="36">
        <v>29355</v>
      </c>
      <c r="K630" s="20" t="s">
        <v>440</v>
      </c>
      <c r="L630" s="20" t="s">
        <v>1974</v>
      </c>
      <c r="M630" s="4"/>
      <c r="N630" s="4"/>
      <c r="P630" s="347">
        <v>119</v>
      </c>
      <c r="Q630" s="348">
        <f>P630*100%/(1000)</f>
        <v>0.11899999999999999</v>
      </c>
      <c r="R630" s="221"/>
      <c r="S630" s="3"/>
    </row>
    <row r="631" spans="1:21" ht="15" hidden="1" customHeight="1" x14ac:dyDescent="0.25">
      <c r="A631" s="141" t="s">
        <v>5596</v>
      </c>
      <c r="B631" s="61" t="s">
        <v>34</v>
      </c>
      <c r="C631" s="61" t="s">
        <v>4973</v>
      </c>
      <c r="D631" s="61" t="s">
        <v>4880</v>
      </c>
      <c r="E631" s="61" t="s">
        <v>4881</v>
      </c>
      <c r="F631" s="61" t="s">
        <v>4882</v>
      </c>
      <c r="G631" s="61">
        <v>1550</v>
      </c>
      <c r="H631" s="61">
        <v>111</v>
      </c>
      <c r="I631" s="61">
        <v>9198</v>
      </c>
      <c r="J631" s="62">
        <v>29355</v>
      </c>
      <c r="K631" s="61" t="s">
        <v>440</v>
      </c>
      <c r="L631" s="61" t="s">
        <v>1974</v>
      </c>
      <c r="M631" s="4"/>
      <c r="N631" s="4"/>
      <c r="P631" s="347"/>
      <c r="Q631" s="347"/>
      <c r="R631" s="221"/>
      <c r="S631" s="3"/>
    </row>
    <row r="632" spans="1:21" ht="15" hidden="1" customHeight="1" x14ac:dyDescent="0.25">
      <c r="A632" s="142" t="s">
        <v>5596</v>
      </c>
      <c r="B632" s="142" t="s">
        <v>249</v>
      </c>
      <c r="C632" s="142" t="s">
        <v>4974</v>
      </c>
      <c r="D632" s="142" t="s">
        <v>4883</v>
      </c>
      <c r="E632" s="142" t="s">
        <v>4884</v>
      </c>
      <c r="F632" s="142" t="s">
        <v>4885</v>
      </c>
      <c r="G632" s="142">
        <v>1551</v>
      </c>
      <c r="H632" s="142">
        <v>1</v>
      </c>
      <c r="I632" s="142">
        <v>9198</v>
      </c>
      <c r="J632" s="37">
        <v>29355</v>
      </c>
      <c r="K632" s="142" t="s">
        <v>440</v>
      </c>
      <c r="L632" s="142" t="s">
        <v>1974</v>
      </c>
      <c r="M632" s="4"/>
      <c r="N632" s="4"/>
      <c r="P632" s="347"/>
      <c r="Q632" s="347"/>
      <c r="R632" s="221"/>
      <c r="S632" s="3"/>
    </row>
    <row r="633" spans="1:21" ht="15" hidden="1" customHeight="1" x14ac:dyDescent="0.25">
      <c r="A633" s="199" t="s">
        <v>5596</v>
      </c>
      <c r="B633" s="154" t="s">
        <v>3781</v>
      </c>
      <c r="C633" s="154" t="s">
        <v>4975</v>
      </c>
      <c r="D633" s="154" t="s">
        <v>4886</v>
      </c>
      <c r="E633" s="154" t="s">
        <v>4887</v>
      </c>
      <c r="F633" s="154" t="s">
        <v>4888</v>
      </c>
      <c r="G633" s="154">
        <v>1552</v>
      </c>
      <c r="H633" s="154">
        <v>1</v>
      </c>
      <c r="I633" s="154">
        <v>9198</v>
      </c>
      <c r="J633" s="155">
        <v>29355</v>
      </c>
      <c r="K633" s="154" t="s">
        <v>440</v>
      </c>
      <c r="L633" s="154" t="s">
        <v>1974</v>
      </c>
      <c r="M633" s="4"/>
      <c r="N633" s="4"/>
      <c r="P633" s="347"/>
      <c r="Q633" s="347"/>
      <c r="R633" s="221"/>
      <c r="S633" s="3"/>
    </row>
    <row r="634" spans="1:21" ht="15" hidden="1" customHeight="1" x14ac:dyDescent="0.25">
      <c r="A634" s="147" t="s">
        <v>5597</v>
      </c>
      <c r="B634" s="20" t="s">
        <v>597</v>
      </c>
      <c r="C634" s="20" t="s">
        <v>2367</v>
      </c>
      <c r="D634" s="20" t="s">
        <v>2334</v>
      </c>
      <c r="E634" s="20" t="s">
        <v>2335</v>
      </c>
      <c r="F634" s="20" t="s">
        <v>2336</v>
      </c>
      <c r="G634" s="20">
        <v>3592</v>
      </c>
      <c r="H634" s="20">
        <v>4</v>
      </c>
      <c r="I634" s="20">
        <v>9198</v>
      </c>
      <c r="J634" s="36">
        <v>29355</v>
      </c>
      <c r="K634" s="20" t="s">
        <v>1691</v>
      </c>
      <c r="L634" s="20" t="s">
        <v>2333</v>
      </c>
      <c r="M634" s="4"/>
      <c r="N634" s="4"/>
      <c r="P634" s="347">
        <v>106</v>
      </c>
      <c r="Q634" s="348">
        <f>P634*100%/(1000)</f>
        <v>0.106</v>
      </c>
      <c r="R634" s="184"/>
    </row>
    <row r="635" spans="1:21" s="4" customFormat="1" ht="15" hidden="1" customHeight="1" x14ac:dyDescent="0.25">
      <c r="A635" s="141" t="s">
        <v>5597</v>
      </c>
      <c r="B635" s="61" t="s">
        <v>34</v>
      </c>
      <c r="C635" s="61" t="s">
        <v>2366</v>
      </c>
      <c r="D635" s="61" t="s">
        <v>2337</v>
      </c>
      <c r="E635" s="61" t="s">
        <v>2338</v>
      </c>
      <c r="F635" s="61" t="s">
        <v>2339</v>
      </c>
      <c r="G635" s="61">
        <v>3591</v>
      </c>
      <c r="H635" s="61">
        <v>102</v>
      </c>
      <c r="I635" s="61">
        <v>9198</v>
      </c>
      <c r="J635" s="62">
        <v>29355</v>
      </c>
      <c r="K635" s="61" t="s">
        <v>1691</v>
      </c>
      <c r="L635" s="61" t="s">
        <v>2333</v>
      </c>
      <c r="O635" s="1"/>
      <c r="P635" s="347"/>
      <c r="Q635" s="347"/>
      <c r="R635" s="183"/>
      <c r="S635" s="1"/>
    </row>
    <row r="636" spans="1:21" ht="15" hidden="1" customHeight="1" x14ac:dyDescent="0.25">
      <c r="A636" s="147" t="s">
        <v>5598</v>
      </c>
      <c r="B636" s="20" t="s">
        <v>597</v>
      </c>
      <c r="C636" s="20" t="s">
        <v>815</v>
      </c>
      <c r="D636" s="20" t="s">
        <v>649</v>
      </c>
      <c r="E636" s="20" t="s">
        <v>657</v>
      </c>
      <c r="F636" s="20" t="s">
        <v>658</v>
      </c>
      <c r="G636" s="20">
        <v>557</v>
      </c>
      <c r="H636" s="20">
        <v>8</v>
      </c>
      <c r="I636" s="20">
        <v>9198</v>
      </c>
      <c r="J636" s="36">
        <v>65008</v>
      </c>
      <c r="K636" s="20" t="s">
        <v>434</v>
      </c>
      <c r="L636" s="20" t="s">
        <v>1974</v>
      </c>
      <c r="M636" s="4"/>
      <c r="N636" s="4"/>
      <c r="P636" s="347">
        <v>209</v>
      </c>
      <c r="Q636" s="348">
        <f>P636*100%/(1000)</f>
        <v>0.20899999999999999</v>
      </c>
      <c r="R636" s="183"/>
    </row>
    <row r="637" spans="1:21" ht="15" hidden="1" customHeight="1" x14ac:dyDescent="0.25">
      <c r="A637" s="141" t="s">
        <v>5598</v>
      </c>
      <c r="B637" s="61" t="s">
        <v>34</v>
      </c>
      <c r="C637" s="61" t="s">
        <v>814</v>
      </c>
      <c r="D637" s="61" t="s">
        <v>650</v>
      </c>
      <c r="E637" s="61" t="s">
        <v>655</v>
      </c>
      <c r="F637" s="61" t="s">
        <v>656</v>
      </c>
      <c r="G637" s="61">
        <v>556</v>
      </c>
      <c r="H637" s="61">
        <v>181</v>
      </c>
      <c r="I637" s="61">
        <v>9198</v>
      </c>
      <c r="J637" s="62">
        <v>65008</v>
      </c>
      <c r="K637" s="61" t="s">
        <v>434</v>
      </c>
      <c r="L637" s="61" t="s">
        <v>1974</v>
      </c>
      <c r="M637" s="4"/>
      <c r="N637" s="4"/>
      <c r="P637" s="347"/>
      <c r="Q637" s="347"/>
      <c r="R637" s="183"/>
    </row>
    <row r="638" spans="1:21" ht="15" hidden="1" customHeight="1" x14ac:dyDescent="0.25">
      <c r="A638" s="149" t="s">
        <v>5598</v>
      </c>
      <c r="B638" s="46" t="s">
        <v>1014</v>
      </c>
      <c r="C638" s="46" t="s">
        <v>2521</v>
      </c>
      <c r="D638" s="46" t="s">
        <v>2489</v>
      </c>
      <c r="E638" s="46" t="s">
        <v>2490</v>
      </c>
      <c r="F638" s="46" t="s">
        <v>2491</v>
      </c>
      <c r="G638" s="46">
        <v>878</v>
      </c>
      <c r="H638" s="46">
        <v>20</v>
      </c>
      <c r="I638" s="46">
        <v>9198</v>
      </c>
      <c r="J638" s="47">
        <v>65008</v>
      </c>
      <c r="K638" s="46" t="s">
        <v>428</v>
      </c>
      <c r="L638" s="46" t="s">
        <v>1974</v>
      </c>
      <c r="M638" s="4"/>
      <c r="N638" s="4"/>
      <c r="P638" s="347"/>
      <c r="Q638" s="347"/>
    </row>
    <row r="639" spans="1:21" ht="15" hidden="1" customHeight="1" x14ac:dyDescent="0.25">
      <c r="A639" s="147" t="s">
        <v>6738</v>
      </c>
      <c r="B639" s="20" t="s">
        <v>597</v>
      </c>
      <c r="C639" s="20" t="s">
        <v>6838</v>
      </c>
      <c r="D639" s="20" t="s">
        <v>6739</v>
      </c>
      <c r="E639" s="20" t="s">
        <v>6740</v>
      </c>
      <c r="F639" s="20" t="s">
        <v>6741</v>
      </c>
      <c r="G639" s="20">
        <v>861</v>
      </c>
      <c r="H639" s="20">
        <v>20</v>
      </c>
      <c r="I639" s="20">
        <v>9198</v>
      </c>
      <c r="J639" s="36">
        <v>29355</v>
      </c>
      <c r="K639" s="20" t="s">
        <v>430</v>
      </c>
      <c r="L639" s="20" t="s">
        <v>1974</v>
      </c>
      <c r="M639" s="4"/>
      <c r="N639" s="4"/>
      <c r="P639" s="347">
        <v>422</v>
      </c>
      <c r="Q639" s="348">
        <f>P639*100%/(1000)</f>
        <v>0.42199999999999999</v>
      </c>
    </row>
    <row r="640" spans="1:21" ht="15" hidden="1" customHeight="1" x14ac:dyDescent="0.25">
      <c r="A640" s="57" t="s">
        <v>6738</v>
      </c>
      <c r="B640" s="57" t="s">
        <v>11</v>
      </c>
      <c r="C640" s="57" t="s">
        <v>6839</v>
      </c>
      <c r="D640" s="57" t="s">
        <v>6742</v>
      </c>
      <c r="E640" s="57" t="s">
        <v>6743</v>
      </c>
      <c r="F640" s="57" t="s">
        <v>6744</v>
      </c>
      <c r="G640" s="57">
        <v>864</v>
      </c>
      <c r="H640" s="57">
        <v>250</v>
      </c>
      <c r="I640" s="57">
        <v>9198</v>
      </c>
      <c r="J640" s="58">
        <v>29355</v>
      </c>
      <c r="K640" s="57" t="s">
        <v>430</v>
      </c>
      <c r="L640" s="57" t="s">
        <v>1974</v>
      </c>
      <c r="M640" s="4"/>
      <c r="N640" s="4"/>
      <c r="P640" s="347"/>
      <c r="Q640" s="347"/>
    </row>
    <row r="641" spans="1:17" ht="15" hidden="1" customHeight="1" x14ac:dyDescent="0.25">
      <c r="A641" s="141" t="s">
        <v>6738</v>
      </c>
      <c r="B641" s="61" t="s">
        <v>34</v>
      </c>
      <c r="C641" s="61" t="s">
        <v>6840</v>
      </c>
      <c r="D641" s="61" t="s">
        <v>6745</v>
      </c>
      <c r="E641" s="61" t="s">
        <v>6747</v>
      </c>
      <c r="F641" s="61" t="s">
        <v>6749</v>
      </c>
      <c r="G641" s="61">
        <v>862</v>
      </c>
      <c r="H641" s="61">
        <v>150</v>
      </c>
      <c r="I641" s="61">
        <v>9198</v>
      </c>
      <c r="J641" s="62">
        <v>29355</v>
      </c>
      <c r="K641" s="61" t="s">
        <v>430</v>
      </c>
      <c r="L641" s="61" t="s">
        <v>1974</v>
      </c>
      <c r="M641" s="4"/>
      <c r="N641" s="4"/>
      <c r="P641" s="347"/>
      <c r="Q641" s="347"/>
    </row>
    <row r="642" spans="1:17" ht="15" hidden="1" customHeight="1" x14ac:dyDescent="0.25">
      <c r="A642" s="142" t="s">
        <v>6738</v>
      </c>
      <c r="B642" s="142" t="s">
        <v>249</v>
      </c>
      <c r="C642" s="142" t="s">
        <v>6841</v>
      </c>
      <c r="D642" s="142" t="s">
        <v>6746</v>
      </c>
      <c r="E642" s="142" t="s">
        <v>6748</v>
      </c>
      <c r="F642" s="142" t="s">
        <v>6750</v>
      </c>
      <c r="G642" s="142">
        <v>863</v>
      </c>
      <c r="H642" s="142">
        <v>1</v>
      </c>
      <c r="I642" s="142">
        <v>9198</v>
      </c>
      <c r="J642" s="37">
        <v>29355</v>
      </c>
      <c r="K642" s="142" t="s">
        <v>430</v>
      </c>
      <c r="L642" s="142" t="s">
        <v>1974</v>
      </c>
      <c r="M642" s="4"/>
      <c r="N642" s="4"/>
      <c r="P642" s="347"/>
      <c r="Q642" s="347"/>
    </row>
    <row r="643" spans="1:17" ht="15" hidden="1" customHeight="1" x14ac:dyDescent="0.25">
      <c r="A643" s="199" t="s">
        <v>6738</v>
      </c>
      <c r="B643" s="154" t="s">
        <v>3781</v>
      </c>
      <c r="C643" s="154" t="s">
        <v>6842</v>
      </c>
      <c r="D643" s="154" t="s">
        <v>6753</v>
      </c>
      <c r="E643" s="154" t="s">
        <v>6751</v>
      </c>
      <c r="F643" s="154" t="s">
        <v>6752</v>
      </c>
      <c r="G643" s="154">
        <v>865</v>
      </c>
      <c r="H643" s="154">
        <v>1</v>
      </c>
      <c r="I643" s="154">
        <v>9198</v>
      </c>
      <c r="J643" s="155">
        <v>29355</v>
      </c>
      <c r="K643" s="154" t="s">
        <v>430</v>
      </c>
      <c r="L643" s="154" t="s">
        <v>1974</v>
      </c>
      <c r="M643" s="4"/>
      <c r="N643" s="4"/>
      <c r="P643" s="347"/>
      <c r="Q643" s="347"/>
    </row>
    <row r="644" spans="1:17" ht="15" hidden="1" customHeight="1" x14ac:dyDescent="0.25">
      <c r="A644" s="141" t="s">
        <v>5599</v>
      </c>
      <c r="B644" s="61" t="s">
        <v>34</v>
      </c>
      <c r="C644" s="61" t="s">
        <v>4598</v>
      </c>
      <c r="D644" s="61" t="s">
        <v>3993</v>
      </c>
      <c r="E644" s="61" t="s">
        <v>3994</v>
      </c>
      <c r="F644" s="61" t="s">
        <v>3995</v>
      </c>
      <c r="G644" s="61">
        <v>2025</v>
      </c>
      <c r="H644" s="61">
        <v>43</v>
      </c>
      <c r="I644" s="61">
        <v>9198</v>
      </c>
      <c r="J644" s="62">
        <v>29355</v>
      </c>
      <c r="K644" s="61" t="s">
        <v>4002</v>
      </c>
      <c r="L644" s="61" t="s">
        <v>1974</v>
      </c>
      <c r="M644" s="4"/>
      <c r="N644" s="4"/>
      <c r="P644" s="347">
        <v>45</v>
      </c>
      <c r="Q644" s="348">
        <f>P644*100%/(1000)</f>
        <v>4.4999999999999998E-2</v>
      </c>
    </row>
    <row r="645" spans="1:17" ht="15" hidden="1" customHeight="1" x14ac:dyDescent="0.25">
      <c r="A645" s="142" t="s">
        <v>5599</v>
      </c>
      <c r="B645" s="9" t="s">
        <v>249</v>
      </c>
      <c r="C645" s="9" t="s">
        <v>4599</v>
      </c>
      <c r="D645" s="9" t="s">
        <v>3996</v>
      </c>
      <c r="E645" s="9" t="s">
        <v>3997</v>
      </c>
      <c r="F645" s="9" t="s">
        <v>3998</v>
      </c>
      <c r="G645" s="9">
        <v>2026</v>
      </c>
      <c r="H645" s="9">
        <v>1</v>
      </c>
      <c r="I645" s="9">
        <v>9198</v>
      </c>
      <c r="J645" s="37">
        <v>29355</v>
      </c>
      <c r="K645" s="9" t="s">
        <v>4002</v>
      </c>
      <c r="L645" s="9" t="s">
        <v>1974</v>
      </c>
      <c r="M645" s="4"/>
      <c r="N645" s="4"/>
      <c r="P645" s="347"/>
      <c r="Q645" s="347"/>
    </row>
    <row r="646" spans="1:17" ht="15" hidden="1" customHeight="1" x14ac:dyDescent="0.25">
      <c r="A646" s="199" t="s">
        <v>5599</v>
      </c>
      <c r="B646" s="154" t="s">
        <v>3781</v>
      </c>
      <c r="C646" s="154" t="s">
        <v>4600</v>
      </c>
      <c r="D646" s="154" t="s">
        <v>3999</v>
      </c>
      <c r="E646" s="154" t="s">
        <v>4000</v>
      </c>
      <c r="F646" s="154" t="s">
        <v>4001</v>
      </c>
      <c r="G646" s="154">
        <v>2027</v>
      </c>
      <c r="H646" s="154">
        <v>1</v>
      </c>
      <c r="I646" s="154">
        <v>9198</v>
      </c>
      <c r="J646" s="155">
        <v>29355</v>
      </c>
      <c r="K646" s="154" t="s">
        <v>4002</v>
      </c>
      <c r="L646" s="154" t="s">
        <v>1974</v>
      </c>
      <c r="M646" s="4"/>
      <c r="N646" s="4"/>
      <c r="P646" s="347"/>
      <c r="Q646" s="347"/>
    </row>
    <row r="647" spans="1:17" ht="15" hidden="1" customHeight="1" x14ac:dyDescent="0.25">
      <c r="A647" s="141" t="s">
        <v>5151</v>
      </c>
      <c r="B647" s="61" t="s">
        <v>34</v>
      </c>
      <c r="C647" s="61" t="s">
        <v>6065</v>
      </c>
      <c r="D647" s="61"/>
      <c r="E647" s="61"/>
      <c r="F647" s="61" t="s">
        <v>7157</v>
      </c>
      <c r="G647" s="61">
        <v>2331</v>
      </c>
      <c r="H647" s="61">
        <v>40</v>
      </c>
      <c r="I647" s="61" t="s">
        <v>1454</v>
      </c>
      <c r="J647" s="62" t="s">
        <v>1454</v>
      </c>
      <c r="K647" s="61" t="s">
        <v>654</v>
      </c>
      <c r="L647" s="61" t="s">
        <v>2736</v>
      </c>
      <c r="M647" s="4"/>
      <c r="N647" s="4"/>
      <c r="P647" s="347">
        <v>193</v>
      </c>
      <c r="Q647" s="348">
        <f>P647*100%/(30000)</f>
        <v>6.4333333333333334E-3</v>
      </c>
    </row>
    <row r="648" spans="1:17" ht="15" hidden="1" customHeight="1" x14ac:dyDescent="0.25">
      <c r="A648" s="20" t="s">
        <v>5151</v>
      </c>
      <c r="B648" s="20" t="s">
        <v>597</v>
      </c>
      <c r="C648" s="20" t="s">
        <v>7158</v>
      </c>
      <c r="D648" s="20"/>
      <c r="E648" s="20"/>
      <c r="F648" s="20" t="s">
        <v>7162</v>
      </c>
      <c r="G648" s="20">
        <v>2411</v>
      </c>
      <c r="H648" s="20">
        <v>2</v>
      </c>
      <c r="I648" s="20" t="s">
        <v>1454</v>
      </c>
      <c r="J648" s="20" t="s">
        <v>1454</v>
      </c>
      <c r="K648" s="20" t="s">
        <v>654</v>
      </c>
      <c r="L648" s="20" t="s">
        <v>2736</v>
      </c>
      <c r="M648" s="4"/>
      <c r="N648" s="4"/>
      <c r="P648" s="347"/>
      <c r="Q648" s="347"/>
    </row>
    <row r="649" spans="1:17" ht="15" hidden="1" customHeight="1" x14ac:dyDescent="0.25">
      <c r="A649" s="57" t="s">
        <v>5151</v>
      </c>
      <c r="B649" s="57" t="s">
        <v>11</v>
      </c>
      <c r="C649" s="57" t="s">
        <v>7159</v>
      </c>
      <c r="D649" s="57"/>
      <c r="E649" s="57"/>
      <c r="F649" s="57" t="s">
        <v>7161</v>
      </c>
      <c r="G649" s="57">
        <v>2412</v>
      </c>
      <c r="H649" s="57">
        <v>150</v>
      </c>
      <c r="I649" s="57" t="s">
        <v>1454</v>
      </c>
      <c r="J649" s="57" t="s">
        <v>1454</v>
      </c>
      <c r="K649" s="57" t="s">
        <v>654</v>
      </c>
      <c r="L649" s="57" t="s">
        <v>2736</v>
      </c>
      <c r="M649" s="4"/>
      <c r="N649" s="4"/>
      <c r="P649" s="347"/>
      <c r="Q649" s="347"/>
    </row>
    <row r="650" spans="1:17" ht="15" hidden="1" customHeight="1" x14ac:dyDescent="0.25">
      <c r="A650" s="142" t="s">
        <v>5151</v>
      </c>
      <c r="B650" s="142" t="s">
        <v>6092</v>
      </c>
      <c r="C650" s="142" t="s">
        <v>7163</v>
      </c>
      <c r="D650" s="142"/>
      <c r="E650" s="142"/>
      <c r="F650" s="142" t="s">
        <v>7160</v>
      </c>
      <c r="G650" s="142">
        <v>2413</v>
      </c>
      <c r="H650" s="142">
        <v>1</v>
      </c>
      <c r="I650" s="142" t="s">
        <v>1454</v>
      </c>
      <c r="J650" s="142" t="s">
        <v>1454</v>
      </c>
      <c r="K650" s="142" t="s">
        <v>654</v>
      </c>
      <c r="L650" s="142" t="s">
        <v>2736</v>
      </c>
      <c r="M650" s="4"/>
      <c r="N650" s="4"/>
      <c r="P650" s="347"/>
      <c r="Q650" s="347"/>
    </row>
    <row r="651" spans="1:17" ht="15" hidden="1" customHeight="1" x14ac:dyDescent="0.25">
      <c r="A651" s="142" t="s">
        <v>5151</v>
      </c>
      <c r="B651" s="325" t="s">
        <v>249</v>
      </c>
      <c r="C651" s="325" t="s">
        <v>1507</v>
      </c>
      <c r="D651" s="325"/>
      <c r="E651" s="325"/>
      <c r="F651" s="325"/>
      <c r="G651" s="325">
        <v>2484</v>
      </c>
      <c r="H651" s="325">
        <v>1</v>
      </c>
      <c r="I651" s="142" t="s">
        <v>1454</v>
      </c>
      <c r="J651" s="142" t="s">
        <v>1454</v>
      </c>
      <c r="K651" s="142" t="s">
        <v>654</v>
      </c>
      <c r="L651" s="142" t="s">
        <v>2736</v>
      </c>
      <c r="M651" s="4"/>
      <c r="N651" s="4"/>
      <c r="P651" s="313"/>
      <c r="Q651" s="313"/>
    </row>
    <row r="652" spans="1:17" ht="15" hidden="1" customHeight="1" x14ac:dyDescent="0.3">
      <c r="A652" s="57" t="s">
        <v>5596</v>
      </c>
      <c r="B652" s="57" t="s">
        <v>11</v>
      </c>
      <c r="C652" s="57" t="s">
        <v>7436</v>
      </c>
      <c r="D652" s="57" t="s">
        <v>7198</v>
      </c>
      <c r="E652" s="57" t="s">
        <v>7199</v>
      </c>
      <c r="F652" s="57" t="s">
        <v>7200</v>
      </c>
      <c r="G652" s="57">
        <v>1554</v>
      </c>
      <c r="H652" s="57">
        <v>200</v>
      </c>
      <c r="I652" s="57">
        <v>9198</v>
      </c>
      <c r="J652" s="57">
        <v>29355</v>
      </c>
      <c r="K652" s="57" t="s">
        <v>440</v>
      </c>
      <c r="L652" s="57" t="s">
        <v>1974</v>
      </c>
      <c r="M652" s="4"/>
      <c r="N652" s="4"/>
      <c r="P652">
        <v>200</v>
      </c>
      <c r="Q652" s="303">
        <f>P652*100%/(1000)</f>
        <v>0.2</v>
      </c>
    </row>
    <row r="653" spans="1:17" ht="15" hidden="1" customHeight="1" x14ac:dyDescent="0.25">
      <c r="A653" s="147" t="s">
        <v>5600</v>
      </c>
      <c r="B653" s="20" t="s">
        <v>597</v>
      </c>
      <c r="C653" s="20" t="s">
        <v>3916</v>
      </c>
      <c r="D653" s="20" t="s">
        <v>3466</v>
      </c>
      <c r="E653" s="20" t="s">
        <v>3467</v>
      </c>
      <c r="F653" s="20" t="s">
        <v>3468</v>
      </c>
      <c r="G653" s="20">
        <v>200</v>
      </c>
      <c r="H653" s="20">
        <v>4</v>
      </c>
      <c r="I653" s="20">
        <v>9198</v>
      </c>
      <c r="J653" s="36">
        <v>29355</v>
      </c>
      <c r="K653" s="20" t="s">
        <v>440</v>
      </c>
      <c r="L653" s="20" t="s">
        <v>1974</v>
      </c>
      <c r="M653" s="4"/>
      <c r="N653" s="4"/>
      <c r="P653" s="347">
        <v>151</v>
      </c>
      <c r="Q653" s="347"/>
    </row>
    <row r="654" spans="1:17" ht="15" hidden="1" customHeight="1" x14ac:dyDescent="0.25">
      <c r="A654" s="141" t="s">
        <v>5600</v>
      </c>
      <c r="B654" s="61" t="s">
        <v>34</v>
      </c>
      <c r="C654" s="61" t="s">
        <v>3917</v>
      </c>
      <c r="D654" s="61" t="s">
        <v>3469</v>
      </c>
      <c r="E654" s="61" t="s">
        <v>3470</v>
      </c>
      <c r="F654" s="61" t="s">
        <v>3471</v>
      </c>
      <c r="G654" s="61">
        <v>201</v>
      </c>
      <c r="H654" s="61">
        <v>145</v>
      </c>
      <c r="I654" s="61">
        <v>9198</v>
      </c>
      <c r="J654" s="62">
        <v>29355</v>
      </c>
      <c r="K654" s="61" t="s">
        <v>440</v>
      </c>
      <c r="L654" s="61" t="s">
        <v>1974</v>
      </c>
      <c r="M654" s="4"/>
      <c r="N654" s="4"/>
      <c r="P654" s="347"/>
      <c r="Q654" s="347"/>
    </row>
    <row r="655" spans="1:17" ht="15" hidden="1" customHeight="1" x14ac:dyDescent="0.25">
      <c r="A655" s="142" t="s">
        <v>5600</v>
      </c>
      <c r="B655" s="9" t="s">
        <v>249</v>
      </c>
      <c r="C655" s="9" t="s">
        <v>3918</v>
      </c>
      <c r="D655" s="9" t="s">
        <v>3472</v>
      </c>
      <c r="E655" s="9" t="s">
        <v>3473</v>
      </c>
      <c r="F655" s="9" t="s">
        <v>3474</v>
      </c>
      <c r="G655" s="9">
        <v>202</v>
      </c>
      <c r="H655" s="9">
        <v>1</v>
      </c>
      <c r="I655" s="9">
        <v>9198</v>
      </c>
      <c r="J655" s="37">
        <v>29355</v>
      </c>
      <c r="K655" s="9" t="s">
        <v>440</v>
      </c>
      <c r="L655" s="9" t="s">
        <v>1974</v>
      </c>
      <c r="M655" s="4"/>
      <c r="N655" s="4"/>
      <c r="P655" s="347"/>
      <c r="Q655" s="347"/>
    </row>
    <row r="656" spans="1:17" ht="15" hidden="1" customHeight="1" x14ac:dyDescent="0.25">
      <c r="A656" s="199" t="s">
        <v>5600</v>
      </c>
      <c r="B656" s="154" t="s">
        <v>3781</v>
      </c>
      <c r="C656" s="154" t="s">
        <v>4684</v>
      </c>
      <c r="D656" s="154" t="s">
        <v>4653</v>
      </c>
      <c r="E656" s="154" t="s">
        <v>4654</v>
      </c>
      <c r="F656" s="154" t="s">
        <v>4655</v>
      </c>
      <c r="G656" s="154">
        <v>203</v>
      </c>
      <c r="H656" s="154">
        <v>1</v>
      </c>
      <c r="I656" s="154">
        <v>9198</v>
      </c>
      <c r="J656" s="155">
        <v>29355</v>
      </c>
      <c r="K656" s="154" t="s">
        <v>440</v>
      </c>
      <c r="L656" s="154" t="s">
        <v>4652</v>
      </c>
      <c r="M656" s="4"/>
      <c r="N656" s="4"/>
      <c r="P656" s="347"/>
      <c r="Q656" s="347"/>
    </row>
    <row r="657" spans="1:18" ht="15" hidden="1" customHeight="1" x14ac:dyDescent="0.25">
      <c r="A657" s="147" t="s">
        <v>5601</v>
      </c>
      <c r="B657" s="20" t="s">
        <v>597</v>
      </c>
      <c r="C657" s="20" t="s">
        <v>1507</v>
      </c>
      <c r="D657" s="20" t="s">
        <v>3731</v>
      </c>
      <c r="E657" s="20" t="s">
        <v>3732</v>
      </c>
      <c r="F657" s="20" t="s">
        <v>3733</v>
      </c>
      <c r="G657" s="20"/>
      <c r="H657" s="20">
        <v>3</v>
      </c>
      <c r="I657" s="20"/>
      <c r="J657" s="36">
        <v>29355</v>
      </c>
      <c r="K657" s="20" t="s">
        <v>654</v>
      </c>
      <c r="L657" s="20" t="s">
        <v>1974</v>
      </c>
      <c r="M657" s="4"/>
      <c r="N657" s="4"/>
      <c r="P657" s="347">
        <v>54</v>
      </c>
      <c r="Q657" s="348">
        <f>P657*100%/(1000)</f>
        <v>5.3999999999999999E-2</v>
      </c>
    </row>
    <row r="658" spans="1:18" ht="15" hidden="1" customHeight="1" x14ac:dyDescent="0.25">
      <c r="A658" s="141" t="s">
        <v>5601</v>
      </c>
      <c r="B658" s="61" t="s">
        <v>34</v>
      </c>
      <c r="C658" s="61" t="s">
        <v>1507</v>
      </c>
      <c r="D658" s="61" t="s">
        <v>3734</v>
      </c>
      <c r="E658" s="61" t="s">
        <v>3735</v>
      </c>
      <c r="F658" s="61" t="s">
        <v>3736</v>
      </c>
      <c r="G658" s="61"/>
      <c r="H658" s="61">
        <v>50</v>
      </c>
      <c r="I658" s="61"/>
      <c r="J658" s="62">
        <v>29355</v>
      </c>
      <c r="K658" s="61" t="s">
        <v>654</v>
      </c>
      <c r="L658" s="61" t="s">
        <v>1974</v>
      </c>
      <c r="M658" s="4"/>
      <c r="N658" s="4"/>
      <c r="P658" s="347"/>
      <c r="Q658" s="347"/>
    </row>
    <row r="659" spans="1:18" ht="15" hidden="1" customHeight="1" x14ac:dyDescent="0.25">
      <c r="A659" s="9" t="s">
        <v>5601</v>
      </c>
      <c r="B659" s="9" t="s">
        <v>249</v>
      </c>
      <c r="C659" s="9" t="s">
        <v>1507</v>
      </c>
      <c r="D659" s="9" t="s">
        <v>3737</v>
      </c>
      <c r="E659" s="9" t="s">
        <v>3738</v>
      </c>
      <c r="F659" s="9" t="s">
        <v>3739</v>
      </c>
      <c r="G659" s="9"/>
      <c r="H659" s="9">
        <v>1</v>
      </c>
      <c r="I659" s="9"/>
      <c r="J659" s="37">
        <v>29355</v>
      </c>
      <c r="K659" s="9" t="s">
        <v>654</v>
      </c>
      <c r="L659" s="9" t="s">
        <v>1974</v>
      </c>
      <c r="M659" s="4"/>
      <c r="N659" s="4"/>
      <c r="P659" s="347"/>
      <c r="Q659" s="347"/>
    </row>
    <row r="660" spans="1:18" ht="15" hidden="1" customHeight="1" x14ac:dyDescent="0.25">
      <c r="A660" s="20" t="s">
        <v>5602</v>
      </c>
      <c r="B660" s="20" t="s">
        <v>597</v>
      </c>
      <c r="C660" s="20" t="s">
        <v>3740</v>
      </c>
      <c r="D660" s="20" t="s">
        <v>3481</v>
      </c>
      <c r="E660" s="20" t="s">
        <v>3482</v>
      </c>
      <c r="F660" s="20" t="s">
        <v>3483</v>
      </c>
      <c r="G660" s="20">
        <v>200</v>
      </c>
      <c r="H660" s="20">
        <v>4</v>
      </c>
      <c r="I660" s="20">
        <v>9198</v>
      </c>
      <c r="J660" s="36">
        <v>29355</v>
      </c>
      <c r="K660" s="20" t="s">
        <v>1417</v>
      </c>
      <c r="L660" s="20" t="s">
        <v>1974</v>
      </c>
      <c r="M660" s="4"/>
      <c r="N660" s="4"/>
      <c r="P660" s="347">
        <v>54</v>
      </c>
      <c r="Q660" s="348">
        <f>P660*100%/(1000)</f>
        <v>5.3999999999999999E-2</v>
      </c>
    </row>
    <row r="661" spans="1:18" ht="15" hidden="1" customHeight="1" x14ac:dyDescent="0.25">
      <c r="A661" s="61" t="s">
        <v>5602</v>
      </c>
      <c r="B661" s="61" t="s">
        <v>34</v>
      </c>
      <c r="C661" s="61" t="s">
        <v>3741</v>
      </c>
      <c r="D661" s="61" t="s">
        <v>3484</v>
      </c>
      <c r="E661" s="61" t="s">
        <v>3485</v>
      </c>
      <c r="F661" s="61" t="s">
        <v>3486</v>
      </c>
      <c r="G661" s="61">
        <v>201</v>
      </c>
      <c r="H661" s="61">
        <v>50</v>
      </c>
      <c r="I661" s="61">
        <v>9198</v>
      </c>
      <c r="J661" s="62">
        <v>29355</v>
      </c>
      <c r="K661" s="61" t="s">
        <v>1417</v>
      </c>
      <c r="L661" s="61" t="s">
        <v>1974</v>
      </c>
      <c r="M661" s="4"/>
      <c r="N661" s="4"/>
      <c r="P661" s="347"/>
      <c r="Q661" s="347"/>
    </row>
    <row r="662" spans="1:18" ht="15" hidden="1" customHeight="1" x14ac:dyDescent="0.25">
      <c r="A662" s="57" t="s">
        <v>5602</v>
      </c>
      <c r="B662" s="57" t="s">
        <v>11</v>
      </c>
      <c r="C662" s="57" t="s">
        <v>1507</v>
      </c>
      <c r="D662" s="57" t="s">
        <v>7482</v>
      </c>
      <c r="E662" s="57" t="s">
        <v>7483</v>
      </c>
      <c r="F662" s="57" t="s">
        <v>7484</v>
      </c>
      <c r="G662" s="57"/>
      <c r="H662" s="57">
        <v>100</v>
      </c>
      <c r="I662" s="57">
        <v>9198</v>
      </c>
      <c r="J662" s="57">
        <v>29355</v>
      </c>
      <c r="K662" s="57" t="s">
        <v>1417</v>
      </c>
      <c r="L662" s="57" t="s">
        <v>1974</v>
      </c>
      <c r="M662" s="4"/>
      <c r="N662" s="4"/>
      <c r="P662" s="326"/>
      <c r="Q662" s="326"/>
    </row>
    <row r="663" spans="1:18" ht="15" hidden="1" customHeight="1" x14ac:dyDescent="0.25">
      <c r="A663" s="142" t="s">
        <v>5602</v>
      </c>
      <c r="B663" s="142" t="s">
        <v>249</v>
      </c>
      <c r="C663" s="142" t="s">
        <v>1507</v>
      </c>
      <c r="D663" s="142" t="s">
        <v>7486</v>
      </c>
      <c r="E663" s="142" t="s">
        <v>7485</v>
      </c>
      <c r="F663" s="142" t="s">
        <v>7487</v>
      </c>
      <c r="G663" s="142"/>
      <c r="H663" s="142">
        <v>1</v>
      </c>
      <c r="I663" s="142">
        <v>9198</v>
      </c>
      <c r="J663" s="142">
        <v>29355</v>
      </c>
      <c r="K663" s="142" t="s">
        <v>1417</v>
      </c>
      <c r="L663" s="142" t="s">
        <v>1974</v>
      </c>
      <c r="M663" s="4"/>
      <c r="N663" s="4"/>
      <c r="P663" s="326"/>
      <c r="Q663" s="326"/>
    </row>
    <row r="664" spans="1:18" ht="15" hidden="1" customHeight="1" x14ac:dyDescent="0.25">
      <c r="A664" s="154" t="s">
        <v>5602</v>
      </c>
      <c r="B664" s="154" t="s">
        <v>3781</v>
      </c>
      <c r="C664" s="154" t="s">
        <v>1507</v>
      </c>
      <c r="D664" s="154" t="s">
        <v>7488</v>
      </c>
      <c r="E664" s="154" t="s">
        <v>7489</v>
      </c>
      <c r="F664" s="154" t="s">
        <v>7490</v>
      </c>
      <c r="G664" s="154"/>
      <c r="H664" s="154">
        <v>1</v>
      </c>
      <c r="I664" s="154">
        <v>9198</v>
      </c>
      <c r="J664" s="154">
        <v>29355</v>
      </c>
      <c r="K664" s="154" t="s">
        <v>1417</v>
      </c>
      <c r="L664" s="154" t="s">
        <v>1974</v>
      </c>
      <c r="M664" s="4"/>
      <c r="N664" s="4"/>
      <c r="P664" s="326"/>
      <c r="Q664" s="326"/>
    </row>
    <row r="665" spans="1:18" ht="15" hidden="1" customHeight="1" x14ac:dyDescent="0.25">
      <c r="A665" s="20" t="s">
        <v>7462</v>
      </c>
      <c r="B665" s="20" t="s">
        <v>597</v>
      </c>
      <c r="C665" s="20" t="s">
        <v>1507</v>
      </c>
      <c r="D665" s="20"/>
      <c r="E665" s="20"/>
      <c r="F665" s="20"/>
      <c r="G665" s="20">
        <v>2441</v>
      </c>
      <c r="H665" s="20">
        <v>2</v>
      </c>
      <c r="I665" s="20" t="s">
        <v>1454</v>
      </c>
      <c r="J665" s="20" t="s">
        <v>1454</v>
      </c>
      <c r="K665" s="20" t="s">
        <v>430</v>
      </c>
      <c r="L665" s="20" t="s">
        <v>1972</v>
      </c>
      <c r="M665" s="4"/>
      <c r="N665" s="4"/>
      <c r="P665" s="324"/>
      <c r="Q665" s="324"/>
    </row>
    <row r="666" spans="1:18" ht="15" hidden="1" customHeight="1" x14ac:dyDescent="0.25">
      <c r="A666" s="317" t="s">
        <v>7462</v>
      </c>
      <c r="B666" s="317" t="s">
        <v>34</v>
      </c>
      <c r="C666" s="317" t="s">
        <v>1507</v>
      </c>
      <c r="D666" s="317"/>
      <c r="E666" s="317"/>
      <c r="F666" s="317"/>
      <c r="G666" s="317">
        <v>2442</v>
      </c>
      <c r="H666" s="317">
        <v>40</v>
      </c>
      <c r="I666" s="317" t="s">
        <v>1454</v>
      </c>
      <c r="J666" s="62" t="s">
        <v>1454</v>
      </c>
      <c r="K666" s="317" t="s">
        <v>430</v>
      </c>
      <c r="L666" s="317" t="s">
        <v>1972</v>
      </c>
      <c r="M666" s="4"/>
      <c r="N666" s="4"/>
      <c r="P666" s="324"/>
      <c r="Q666" s="324"/>
    </row>
    <row r="667" spans="1:18" ht="15" hidden="1" customHeight="1" x14ac:dyDescent="0.25">
      <c r="A667" s="154" t="s">
        <v>7462</v>
      </c>
      <c r="B667" s="154" t="s">
        <v>3781</v>
      </c>
      <c r="C667" s="154" t="s">
        <v>1507</v>
      </c>
      <c r="D667" s="154"/>
      <c r="E667" s="154"/>
      <c r="F667" s="154"/>
      <c r="G667" s="154">
        <v>2443</v>
      </c>
      <c r="H667" s="154">
        <v>1</v>
      </c>
      <c r="I667" s="154" t="s">
        <v>1454</v>
      </c>
      <c r="J667" s="154" t="s">
        <v>1454</v>
      </c>
      <c r="K667" s="154" t="s">
        <v>430</v>
      </c>
      <c r="L667" s="154" t="s">
        <v>1972</v>
      </c>
      <c r="M667" s="4"/>
      <c r="N667" s="4"/>
      <c r="P667" s="324"/>
      <c r="Q667" s="324"/>
    </row>
    <row r="668" spans="1:18" ht="15" hidden="1" customHeight="1" x14ac:dyDescent="0.25">
      <c r="A668" s="61" t="s">
        <v>5603</v>
      </c>
      <c r="B668" s="61" t="s">
        <v>34</v>
      </c>
      <c r="C668" s="61" t="s">
        <v>3863</v>
      </c>
      <c r="D668" s="61" t="s">
        <v>3384</v>
      </c>
      <c r="E668" s="61" t="s">
        <v>3385</v>
      </c>
      <c r="F668" s="61" t="s">
        <v>3386</v>
      </c>
      <c r="G668" s="61">
        <v>2569</v>
      </c>
      <c r="H668" s="61">
        <v>80</v>
      </c>
      <c r="I668" s="61">
        <v>9198</v>
      </c>
      <c r="J668" s="62">
        <v>29355</v>
      </c>
      <c r="K668" s="61" t="s">
        <v>654</v>
      </c>
      <c r="L668" s="61" t="s">
        <v>1974</v>
      </c>
      <c r="M668" s="4"/>
      <c r="N668" s="4"/>
      <c r="P668" s="347">
        <v>81</v>
      </c>
      <c r="Q668" s="348">
        <f>P668*100%/(1000)</f>
        <v>8.1000000000000003E-2</v>
      </c>
    </row>
    <row r="669" spans="1:18" ht="15" hidden="1" customHeight="1" x14ac:dyDescent="0.25">
      <c r="A669" s="9" t="s">
        <v>5603</v>
      </c>
      <c r="B669" s="9" t="s">
        <v>249</v>
      </c>
      <c r="C669" s="9" t="s">
        <v>3862</v>
      </c>
      <c r="D669" s="9" t="s">
        <v>3387</v>
      </c>
      <c r="E669" s="9" t="s">
        <v>3388</v>
      </c>
      <c r="F669" s="9" t="s">
        <v>3389</v>
      </c>
      <c r="G669" s="9">
        <v>2570</v>
      </c>
      <c r="H669" s="9">
        <v>1</v>
      </c>
      <c r="I669" s="9">
        <v>9198</v>
      </c>
      <c r="J669" s="37">
        <v>29355</v>
      </c>
      <c r="K669" s="9" t="s">
        <v>654</v>
      </c>
      <c r="L669" s="9" t="s">
        <v>1974</v>
      </c>
      <c r="M669" s="4"/>
      <c r="N669" s="4"/>
      <c r="P669" s="347"/>
      <c r="Q669" s="347"/>
      <c r="R669" s="183"/>
    </row>
    <row r="670" spans="1:18" ht="15" hidden="1" customHeight="1" x14ac:dyDescent="0.25">
      <c r="A670" s="20" t="s">
        <v>5198</v>
      </c>
      <c r="B670" s="20" t="s">
        <v>597</v>
      </c>
      <c r="C670" s="20" t="s">
        <v>1507</v>
      </c>
      <c r="D670" s="20"/>
      <c r="E670" s="20"/>
      <c r="F670" s="20" t="s">
        <v>5799</v>
      </c>
      <c r="G670" s="20">
        <v>2344</v>
      </c>
      <c r="H670" s="20">
        <v>4</v>
      </c>
      <c r="I670" s="20" t="s">
        <v>1454</v>
      </c>
      <c r="J670" s="36" t="s">
        <v>1454</v>
      </c>
      <c r="K670" s="20" t="s">
        <v>1417</v>
      </c>
      <c r="L670" s="20" t="s">
        <v>1972</v>
      </c>
      <c r="M670" s="4"/>
      <c r="N670" s="4"/>
      <c r="P670" s="347">
        <v>55</v>
      </c>
      <c r="Q670" s="348">
        <f>P670*100%/(20000)</f>
        <v>2.7499999999999998E-3</v>
      </c>
    </row>
    <row r="671" spans="1:18" ht="15" hidden="1" customHeight="1" x14ac:dyDescent="0.25">
      <c r="A671" s="61" t="s">
        <v>5198</v>
      </c>
      <c r="B671" s="61" t="s">
        <v>34</v>
      </c>
      <c r="C671" s="61" t="s">
        <v>1507</v>
      </c>
      <c r="D671" s="61"/>
      <c r="E671" s="61"/>
      <c r="F671" s="61" t="s">
        <v>5800</v>
      </c>
      <c r="G671" s="61">
        <v>2345</v>
      </c>
      <c r="H671" s="61">
        <v>50</v>
      </c>
      <c r="I671" s="61" t="s">
        <v>1454</v>
      </c>
      <c r="J671" s="62" t="s">
        <v>1454</v>
      </c>
      <c r="K671" s="61" t="s">
        <v>1417</v>
      </c>
      <c r="L671" s="61" t="s">
        <v>1972</v>
      </c>
      <c r="M671" s="4"/>
      <c r="N671" s="4"/>
      <c r="P671" s="347"/>
      <c r="Q671" s="347"/>
    </row>
    <row r="672" spans="1:18" ht="15" hidden="1" customHeight="1" x14ac:dyDescent="0.25">
      <c r="A672" s="154" t="s">
        <v>5198</v>
      </c>
      <c r="B672" s="154" t="s">
        <v>3781</v>
      </c>
      <c r="C672" s="154" t="s">
        <v>1507</v>
      </c>
      <c r="D672" s="154"/>
      <c r="E672" s="154"/>
      <c r="F672" s="154" t="s">
        <v>5801</v>
      </c>
      <c r="G672" s="154">
        <v>2346</v>
      </c>
      <c r="H672" s="154">
        <v>1</v>
      </c>
      <c r="I672" s="154" t="s">
        <v>1454</v>
      </c>
      <c r="J672" s="155" t="s">
        <v>1454</v>
      </c>
      <c r="K672" s="154" t="s">
        <v>1417</v>
      </c>
      <c r="L672" s="154" t="s">
        <v>1972</v>
      </c>
      <c r="M672" s="4"/>
      <c r="N672" s="4"/>
      <c r="P672" s="347"/>
      <c r="Q672" s="347"/>
    </row>
    <row r="673" spans="1:19" ht="15" hidden="1" customHeight="1" x14ac:dyDescent="0.25">
      <c r="A673" s="20" t="s">
        <v>5604</v>
      </c>
      <c r="B673" s="20" t="s">
        <v>597</v>
      </c>
      <c r="C673" s="20" t="s">
        <v>2208</v>
      </c>
      <c r="D673" s="20" t="s">
        <v>2149</v>
      </c>
      <c r="E673" s="20" t="s">
        <v>2150</v>
      </c>
      <c r="F673" s="20" t="s">
        <v>2151</v>
      </c>
      <c r="G673" s="20">
        <v>1967</v>
      </c>
      <c r="H673" s="20">
        <v>8</v>
      </c>
      <c r="I673" s="20">
        <v>9198</v>
      </c>
      <c r="J673" s="36">
        <v>29355</v>
      </c>
      <c r="K673" s="20" t="s">
        <v>522</v>
      </c>
      <c r="L673" s="20" t="s">
        <v>1975</v>
      </c>
      <c r="M673" s="4"/>
      <c r="N673" s="4"/>
      <c r="P673" s="347">
        <v>1508</v>
      </c>
      <c r="Q673" s="348">
        <f>P673*100%/(2000)</f>
        <v>0.754</v>
      </c>
      <c r="R673" s="145" t="s">
        <v>2904</v>
      </c>
      <c r="S673" s="130" t="s">
        <v>2903</v>
      </c>
    </row>
    <row r="674" spans="1:19" ht="15" hidden="1" customHeight="1" x14ac:dyDescent="0.25">
      <c r="A674" s="57" t="s">
        <v>5604</v>
      </c>
      <c r="B674" s="57" t="s">
        <v>11</v>
      </c>
      <c r="C674" s="57" t="s">
        <v>2260</v>
      </c>
      <c r="D674" s="57" t="s">
        <v>2215</v>
      </c>
      <c r="E674" s="57" t="s">
        <v>2216</v>
      </c>
      <c r="F674" s="57" t="s">
        <v>2217</v>
      </c>
      <c r="G674" s="57">
        <v>1454</v>
      </c>
      <c r="H674" s="57">
        <v>1019</v>
      </c>
      <c r="I674" s="57">
        <v>9198</v>
      </c>
      <c r="J674" s="58">
        <v>29355</v>
      </c>
      <c r="K674" s="57" t="s">
        <v>522</v>
      </c>
      <c r="L674" s="57" t="s">
        <v>1975</v>
      </c>
      <c r="M674" s="4"/>
      <c r="N674" s="4"/>
      <c r="P674" s="347"/>
      <c r="Q674" s="347"/>
    </row>
    <row r="675" spans="1:19" ht="15" hidden="1" customHeight="1" x14ac:dyDescent="0.25">
      <c r="A675" s="61" t="s">
        <v>5604</v>
      </c>
      <c r="B675" s="61" t="s">
        <v>34</v>
      </c>
      <c r="C675" s="61" t="s">
        <v>2147</v>
      </c>
      <c r="D675" s="61" t="s">
        <v>2097</v>
      </c>
      <c r="E675" s="61" t="s">
        <v>2098</v>
      </c>
      <c r="F675" s="61" t="s">
        <v>2099</v>
      </c>
      <c r="G675" s="61">
        <v>1963</v>
      </c>
      <c r="H675" s="61">
        <v>480</v>
      </c>
      <c r="I675" s="61">
        <v>9198</v>
      </c>
      <c r="J675" s="62">
        <v>29355</v>
      </c>
      <c r="K675" s="61" t="s">
        <v>522</v>
      </c>
      <c r="L675" s="61" t="s">
        <v>1975</v>
      </c>
      <c r="M675" s="4"/>
      <c r="N675" s="4"/>
      <c r="P675" s="347"/>
      <c r="Q675" s="347"/>
      <c r="R675" s="216" t="s">
        <v>2996</v>
      </c>
    </row>
    <row r="676" spans="1:19" ht="15" hidden="1" customHeight="1" x14ac:dyDescent="0.25">
      <c r="A676" s="9" t="s">
        <v>5604</v>
      </c>
      <c r="B676" s="9" t="s">
        <v>249</v>
      </c>
      <c r="C676" s="9" t="s">
        <v>2148</v>
      </c>
      <c r="D676" s="9" t="s">
        <v>2100</v>
      </c>
      <c r="E676" s="9" t="s">
        <v>2101</v>
      </c>
      <c r="F676" s="9" t="s">
        <v>2102</v>
      </c>
      <c r="G676" s="9">
        <v>1964</v>
      </c>
      <c r="H676" s="9">
        <v>1</v>
      </c>
      <c r="I676" s="9">
        <v>9198</v>
      </c>
      <c r="J676" s="37">
        <v>29355</v>
      </c>
      <c r="K676" s="9" t="s">
        <v>522</v>
      </c>
      <c r="L676" s="9" t="s">
        <v>1975</v>
      </c>
      <c r="M676" s="4"/>
      <c r="N676" s="4"/>
      <c r="P676" s="347"/>
      <c r="Q676" s="347"/>
      <c r="R676" s="145" t="s">
        <v>4895</v>
      </c>
    </row>
    <row r="677" spans="1:19" ht="15" hidden="1" customHeight="1" x14ac:dyDescent="0.25">
      <c r="A677" s="57" t="s">
        <v>5605</v>
      </c>
      <c r="B677" s="57" t="s">
        <v>11</v>
      </c>
      <c r="C677" s="57" t="s">
        <v>2819</v>
      </c>
      <c r="D677" s="57" t="s">
        <v>2778</v>
      </c>
      <c r="E677" s="57" t="s">
        <v>2779</v>
      </c>
      <c r="F677" s="57" t="s">
        <v>2780</v>
      </c>
      <c r="G677" s="57">
        <v>1650</v>
      </c>
      <c r="H677" s="57">
        <v>136</v>
      </c>
      <c r="I677" s="57">
        <v>9198</v>
      </c>
      <c r="J677" s="58">
        <v>29355</v>
      </c>
      <c r="K677" s="57" t="s">
        <v>433</v>
      </c>
      <c r="L677" s="57" t="s">
        <v>1974</v>
      </c>
      <c r="M677" s="4"/>
      <c r="N677" s="4"/>
      <c r="P677" s="347">
        <v>291</v>
      </c>
      <c r="Q677" s="348">
        <f>P677*100%/(1000)</f>
        <v>0.29099999999999998</v>
      </c>
    </row>
    <row r="678" spans="1:19" ht="15" hidden="1" customHeight="1" x14ac:dyDescent="0.25">
      <c r="A678" s="61" t="s">
        <v>5605</v>
      </c>
      <c r="B678" s="61" t="s">
        <v>34</v>
      </c>
      <c r="C678" s="61" t="s">
        <v>2817</v>
      </c>
      <c r="D678" s="61" t="s">
        <v>2772</v>
      </c>
      <c r="E678" s="61" t="s">
        <v>2773</v>
      </c>
      <c r="F678" s="61" t="s">
        <v>2774</v>
      </c>
      <c r="G678" s="61">
        <v>1642</v>
      </c>
      <c r="H678" s="61">
        <v>94</v>
      </c>
      <c r="I678" s="61">
        <v>9198</v>
      </c>
      <c r="J678" s="62">
        <v>29355</v>
      </c>
      <c r="K678" s="61" t="s">
        <v>435</v>
      </c>
      <c r="L678" s="61" t="s">
        <v>1974</v>
      </c>
      <c r="M678" s="4"/>
      <c r="N678" s="4"/>
      <c r="P678" s="347"/>
      <c r="Q678" s="347"/>
    </row>
    <row r="679" spans="1:19" ht="15" hidden="1" customHeight="1" x14ac:dyDescent="0.25">
      <c r="A679" s="9" t="s">
        <v>5605</v>
      </c>
      <c r="B679" s="9" t="s">
        <v>249</v>
      </c>
      <c r="C679" s="9" t="s">
        <v>2818</v>
      </c>
      <c r="D679" s="9" t="s">
        <v>2775</v>
      </c>
      <c r="E679" s="9" t="s">
        <v>2776</v>
      </c>
      <c r="F679" s="9" t="s">
        <v>2777</v>
      </c>
      <c r="G679" s="9">
        <v>1649</v>
      </c>
      <c r="H679" s="9">
        <v>1</v>
      </c>
      <c r="I679" s="9">
        <v>9198</v>
      </c>
      <c r="J679" s="37">
        <v>29355</v>
      </c>
      <c r="K679" s="9" t="s">
        <v>435</v>
      </c>
      <c r="L679" s="9" t="s">
        <v>1974</v>
      </c>
      <c r="M679" s="4"/>
      <c r="N679" s="4"/>
      <c r="P679" s="347"/>
      <c r="Q679" s="347"/>
    </row>
    <row r="680" spans="1:19" ht="15" hidden="1" customHeight="1" x14ac:dyDescent="0.25">
      <c r="A680" s="167" t="s">
        <v>5605</v>
      </c>
      <c r="B680" s="167" t="s">
        <v>3825</v>
      </c>
      <c r="C680" s="167" t="s">
        <v>4136</v>
      </c>
      <c r="D680" s="167" t="s">
        <v>4015</v>
      </c>
      <c r="E680" s="167" t="s">
        <v>4016</v>
      </c>
      <c r="F680" s="167" t="s">
        <v>4017</v>
      </c>
      <c r="G680" s="167">
        <v>1963</v>
      </c>
      <c r="H680" s="167">
        <v>25</v>
      </c>
      <c r="I680" s="167">
        <v>9198</v>
      </c>
      <c r="J680" s="166">
        <v>29355</v>
      </c>
      <c r="K680" s="167" t="s">
        <v>428</v>
      </c>
      <c r="L680" s="167" t="s">
        <v>1974</v>
      </c>
      <c r="M680" s="4"/>
      <c r="N680" s="4"/>
      <c r="P680" s="347"/>
      <c r="Q680" s="347"/>
    </row>
    <row r="681" spans="1:19" ht="15" hidden="1" customHeight="1" x14ac:dyDescent="0.25">
      <c r="A681" s="149" t="s">
        <v>5605</v>
      </c>
      <c r="B681" s="149" t="s">
        <v>4182</v>
      </c>
      <c r="C681" s="149" t="s">
        <v>4348</v>
      </c>
      <c r="D681" s="149" t="s">
        <v>4183</v>
      </c>
      <c r="E681" s="149" t="s">
        <v>4184</v>
      </c>
      <c r="F681" s="149" t="s">
        <v>4185</v>
      </c>
      <c r="G681" s="149">
        <v>1964</v>
      </c>
      <c r="H681" s="149">
        <v>20</v>
      </c>
      <c r="I681" s="149">
        <v>9198</v>
      </c>
      <c r="J681" s="47">
        <v>29355</v>
      </c>
      <c r="K681" s="149" t="s">
        <v>428</v>
      </c>
      <c r="L681" s="149" t="s">
        <v>1974</v>
      </c>
      <c r="M681" s="4"/>
      <c r="N681" s="4"/>
      <c r="P681" s="347"/>
      <c r="Q681" s="347"/>
    </row>
    <row r="682" spans="1:19" ht="15" hidden="1" customHeight="1" x14ac:dyDescent="0.25">
      <c r="A682" s="147" t="s">
        <v>5605</v>
      </c>
      <c r="B682" s="20" t="s">
        <v>597</v>
      </c>
      <c r="C682" s="20" t="s">
        <v>2816</v>
      </c>
      <c r="D682" s="20" t="s">
        <v>2781</v>
      </c>
      <c r="E682" s="20" t="s">
        <v>2782</v>
      </c>
      <c r="F682" s="20" t="s">
        <v>2783</v>
      </c>
      <c r="G682" s="20">
        <v>1641</v>
      </c>
      <c r="H682" s="20">
        <v>15</v>
      </c>
      <c r="I682" s="20">
        <v>9198</v>
      </c>
      <c r="J682" s="36">
        <v>29355</v>
      </c>
      <c r="K682" s="20" t="s">
        <v>435</v>
      </c>
      <c r="L682" s="147" t="s">
        <v>1974</v>
      </c>
      <c r="M682" s="4"/>
      <c r="N682" s="4"/>
      <c r="P682" s="347"/>
      <c r="Q682" s="347"/>
    </row>
    <row r="683" spans="1:19" ht="15" hidden="1" customHeight="1" x14ac:dyDescent="0.25">
      <c r="A683" s="61" t="s">
        <v>5606</v>
      </c>
      <c r="B683" s="61" t="s">
        <v>34</v>
      </c>
      <c r="C683" s="61" t="s">
        <v>4139</v>
      </c>
      <c r="D683" s="61" t="s">
        <v>3948</v>
      </c>
      <c r="E683" s="61" t="s">
        <v>3949</v>
      </c>
      <c r="F683" s="61" t="s">
        <v>3950</v>
      </c>
      <c r="G683" s="61">
        <v>2350</v>
      </c>
      <c r="H683" s="61">
        <v>53</v>
      </c>
      <c r="I683" s="61">
        <v>9198</v>
      </c>
      <c r="J683" s="62">
        <v>29355</v>
      </c>
      <c r="K683" s="61" t="s">
        <v>4002</v>
      </c>
      <c r="L683" s="61" t="s">
        <v>1974</v>
      </c>
      <c r="M683" s="4"/>
      <c r="N683" s="4"/>
      <c r="P683" s="347">
        <v>55</v>
      </c>
      <c r="Q683" s="348">
        <f>P683*100%/(1000)</f>
        <v>5.5E-2</v>
      </c>
    </row>
    <row r="684" spans="1:19" ht="15" hidden="1" customHeight="1" x14ac:dyDescent="0.25">
      <c r="A684" s="9" t="s">
        <v>5606</v>
      </c>
      <c r="B684" s="9" t="s">
        <v>249</v>
      </c>
      <c r="C684" s="9" t="s">
        <v>4140</v>
      </c>
      <c r="D684" s="9" t="s">
        <v>3951</v>
      </c>
      <c r="E684" s="9" t="s">
        <v>3952</v>
      </c>
      <c r="F684" s="9" t="s">
        <v>3953</v>
      </c>
      <c r="G684" s="9">
        <v>2351</v>
      </c>
      <c r="H684" s="9">
        <v>1</v>
      </c>
      <c r="I684" s="9">
        <v>9198</v>
      </c>
      <c r="J684" s="37">
        <v>29355</v>
      </c>
      <c r="K684" s="9" t="s">
        <v>4002</v>
      </c>
      <c r="L684" s="9" t="s">
        <v>1974</v>
      </c>
      <c r="M684" s="4"/>
      <c r="N684" s="4"/>
      <c r="P684" s="347"/>
      <c r="Q684" s="347"/>
    </row>
    <row r="685" spans="1:19" ht="15" hidden="1" customHeight="1" x14ac:dyDescent="0.25">
      <c r="A685" s="154" t="s">
        <v>5606</v>
      </c>
      <c r="B685" s="154" t="s">
        <v>3781</v>
      </c>
      <c r="C685" s="154" t="s">
        <v>4141</v>
      </c>
      <c r="D685" s="154" t="s">
        <v>3954</v>
      </c>
      <c r="E685" s="154" t="s">
        <v>3955</v>
      </c>
      <c r="F685" s="154" t="s">
        <v>3956</v>
      </c>
      <c r="G685" s="154">
        <v>2352</v>
      </c>
      <c r="H685" s="154">
        <v>1</v>
      </c>
      <c r="I685" s="154">
        <v>9198</v>
      </c>
      <c r="J685" s="155">
        <v>29355</v>
      </c>
      <c r="K685" s="154" t="s">
        <v>4002</v>
      </c>
      <c r="L685" s="154" t="s">
        <v>1974</v>
      </c>
      <c r="M685" s="4"/>
      <c r="N685" s="4"/>
      <c r="P685" s="347"/>
      <c r="Q685" s="347"/>
    </row>
    <row r="686" spans="1:19" ht="15" hidden="1" customHeight="1" x14ac:dyDescent="0.25">
      <c r="A686" s="20" t="s">
        <v>5607</v>
      </c>
      <c r="B686" s="20" t="s">
        <v>597</v>
      </c>
      <c r="C686" s="20" t="s">
        <v>1611</v>
      </c>
      <c r="D686" s="20" t="s">
        <v>1484</v>
      </c>
      <c r="E686" s="20" t="s">
        <v>1485</v>
      </c>
      <c r="F686" s="20" t="s">
        <v>1486</v>
      </c>
      <c r="G686" s="20">
        <v>2162</v>
      </c>
      <c r="H686" s="20">
        <v>15</v>
      </c>
      <c r="I686" s="20">
        <v>9198</v>
      </c>
      <c r="J686" s="36">
        <v>29355</v>
      </c>
      <c r="K686" s="20" t="s">
        <v>654</v>
      </c>
      <c r="L686" s="20" t="s">
        <v>1974</v>
      </c>
      <c r="M686" s="4"/>
      <c r="N686" s="4"/>
      <c r="P686" s="347">
        <v>748</v>
      </c>
      <c r="Q686" s="348">
        <f>P686*100%/(1000)</f>
        <v>0.748</v>
      </c>
      <c r="R686" s="145" t="s">
        <v>4895</v>
      </c>
    </row>
    <row r="687" spans="1:19" ht="15" hidden="1" customHeight="1" x14ac:dyDescent="0.25">
      <c r="A687" s="57" t="s">
        <v>5607</v>
      </c>
      <c r="B687" s="57" t="s">
        <v>11</v>
      </c>
      <c r="C687" s="57" t="s">
        <v>3056</v>
      </c>
      <c r="D687" s="57" t="s">
        <v>3033</v>
      </c>
      <c r="E687" s="57" t="s">
        <v>3034</v>
      </c>
      <c r="F687" s="57" t="s">
        <v>3035</v>
      </c>
      <c r="G687" s="57">
        <v>2156</v>
      </c>
      <c r="H687" s="57">
        <v>500</v>
      </c>
      <c r="I687" s="57">
        <v>9198</v>
      </c>
      <c r="J687" s="58">
        <v>29355</v>
      </c>
      <c r="K687" s="57" t="s">
        <v>654</v>
      </c>
      <c r="L687" s="57" t="s">
        <v>1974</v>
      </c>
      <c r="M687" s="4"/>
      <c r="N687" s="4"/>
      <c r="P687" s="347"/>
      <c r="Q687" s="347"/>
      <c r="R687" s="198" t="s">
        <v>6062</v>
      </c>
    </row>
    <row r="688" spans="1:19" ht="15" hidden="1" customHeight="1" x14ac:dyDescent="0.25">
      <c r="A688" s="61" t="s">
        <v>5607</v>
      </c>
      <c r="B688" s="61" t="s">
        <v>34</v>
      </c>
      <c r="C688" s="61" t="s">
        <v>1610</v>
      </c>
      <c r="D688" s="61" t="s">
        <v>1481</v>
      </c>
      <c r="E688" s="61" t="s">
        <v>1482</v>
      </c>
      <c r="F688" s="61" t="s">
        <v>1483</v>
      </c>
      <c r="G688" s="61">
        <v>2154</v>
      </c>
      <c r="H688" s="61">
        <v>220</v>
      </c>
      <c r="I688" s="61">
        <v>9198</v>
      </c>
      <c r="J688" s="62">
        <v>29355</v>
      </c>
      <c r="K688" s="61" t="s">
        <v>654</v>
      </c>
      <c r="L688" s="61" t="s">
        <v>1974</v>
      </c>
      <c r="M688" s="4"/>
      <c r="N688" s="4"/>
      <c r="P688" s="347"/>
      <c r="Q688" s="347"/>
      <c r="R688" s="262" t="s">
        <v>6221</v>
      </c>
    </row>
    <row r="689" spans="1:19" ht="15" hidden="1" customHeight="1" x14ac:dyDescent="0.25">
      <c r="A689" s="9" t="s">
        <v>5607</v>
      </c>
      <c r="B689" s="9" t="s">
        <v>249</v>
      </c>
      <c r="C689" s="9" t="s">
        <v>3278</v>
      </c>
      <c r="D689" s="9" t="s">
        <v>3221</v>
      </c>
      <c r="E689" s="9" t="s">
        <v>3222</v>
      </c>
      <c r="F689" s="9" t="s">
        <v>3223</v>
      </c>
      <c r="G689" s="9">
        <v>2163</v>
      </c>
      <c r="H689" s="9">
        <v>1</v>
      </c>
      <c r="I689" s="9">
        <v>9198</v>
      </c>
      <c r="J689" s="37">
        <v>29355</v>
      </c>
      <c r="K689" s="9" t="s">
        <v>654</v>
      </c>
      <c r="L689" s="9" t="s">
        <v>1974</v>
      </c>
      <c r="M689" s="4"/>
      <c r="N689" s="4"/>
      <c r="P689" s="347"/>
      <c r="Q689" s="347"/>
    </row>
    <row r="690" spans="1:19" ht="15" hidden="1" customHeight="1" x14ac:dyDescent="0.25">
      <c r="A690" s="20" t="s">
        <v>5608</v>
      </c>
      <c r="B690" s="20" t="s">
        <v>597</v>
      </c>
      <c r="C690" s="20" t="s">
        <v>1951</v>
      </c>
      <c r="D690" s="20" t="s">
        <v>1934</v>
      </c>
      <c r="E690" s="20" t="s">
        <v>1935</v>
      </c>
      <c r="F690" s="20" t="s">
        <v>1936</v>
      </c>
      <c r="G690" s="20">
        <v>2185</v>
      </c>
      <c r="H690" s="20">
        <v>6</v>
      </c>
      <c r="I690" s="20">
        <v>9198</v>
      </c>
      <c r="J690" s="36">
        <v>29355</v>
      </c>
      <c r="K690" s="20" t="s">
        <v>574</v>
      </c>
      <c r="L690" s="20" t="s">
        <v>1974</v>
      </c>
      <c r="M690" s="4"/>
      <c r="N690" s="4"/>
      <c r="O690" s="4"/>
      <c r="P690" s="347">
        <v>125</v>
      </c>
      <c r="Q690" s="348">
        <f>P690*100%/(1000)</f>
        <v>0.125</v>
      </c>
      <c r="R690" s="184"/>
      <c r="S690" s="4"/>
    </row>
    <row r="691" spans="1:19" ht="15" hidden="1" customHeight="1" x14ac:dyDescent="0.25">
      <c r="A691" s="61" t="s">
        <v>5608</v>
      </c>
      <c r="B691" s="61" t="s">
        <v>34</v>
      </c>
      <c r="C691" s="61" t="s">
        <v>1952</v>
      </c>
      <c r="D691" s="61" t="s">
        <v>1937</v>
      </c>
      <c r="E691" s="61" t="s">
        <v>1938</v>
      </c>
      <c r="F691" s="61" t="s">
        <v>1939</v>
      </c>
      <c r="G691" s="61">
        <v>2181</v>
      </c>
      <c r="H691" s="61">
        <v>119</v>
      </c>
      <c r="I691" s="61">
        <v>9198</v>
      </c>
      <c r="J691" s="62">
        <v>29355</v>
      </c>
      <c r="K691" s="61" t="s">
        <v>574</v>
      </c>
      <c r="L691" s="61" t="s">
        <v>1974</v>
      </c>
      <c r="M691" s="4"/>
      <c r="N691" s="4"/>
      <c r="O691" s="4"/>
      <c r="P691" s="347"/>
      <c r="Q691" s="347"/>
      <c r="R691" s="184"/>
      <c r="S691" s="4"/>
    </row>
    <row r="692" spans="1:19" ht="15" hidden="1" customHeight="1" x14ac:dyDescent="0.25">
      <c r="A692" s="20" t="s">
        <v>5609</v>
      </c>
      <c r="B692" s="20" t="s">
        <v>597</v>
      </c>
      <c r="C692" s="20" t="s">
        <v>2175</v>
      </c>
      <c r="D692" s="20" t="s">
        <v>2017</v>
      </c>
      <c r="E692" s="20" t="s">
        <v>2018</v>
      </c>
      <c r="F692" s="20" t="s">
        <v>2019</v>
      </c>
      <c r="G692" s="20">
        <v>2418</v>
      </c>
      <c r="H692" s="20">
        <v>6</v>
      </c>
      <c r="I692" s="20">
        <v>9198</v>
      </c>
      <c r="J692" s="36">
        <v>29355</v>
      </c>
      <c r="K692" s="20" t="s">
        <v>574</v>
      </c>
      <c r="L692" s="20" t="s">
        <v>1971</v>
      </c>
      <c r="M692" s="4"/>
      <c r="N692" s="4"/>
      <c r="O692" s="4"/>
      <c r="P692" s="347">
        <v>46</v>
      </c>
      <c r="Q692" s="348">
        <f>P692*100%*10/(1000)</f>
        <v>0.46</v>
      </c>
      <c r="R692" s="214"/>
      <c r="S692" s="4"/>
    </row>
    <row r="693" spans="1:19" ht="15" hidden="1" customHeight="1" x14ac:dyDescent="0.25">
      <c r="A693" s="61" t="s">
        <v>5609</v>
      </c>
      <c r="B693" s="61" t="s">
        <v>34</v>
      </c>
      <c r="C693" s="61" t="s">
        <v>2176</v>
      </c>
      <c r="D693" s="61" t="s">
        <v>2020</v>
      </c>
      <c r="E693" s="61" t="s">
        <v>2021</v>
      </c>
      <c r="F693" s="61" t="s">
        <v>2022</v>
      </c>
      <c r="G693" s="61">
        <v>2411</v>
      </c>
      <c r="H693" s="61">
        <v>40</v>
      </c>
      <c r="I693" s="61">
        <v>9198</v>
      </c>
      <c r="J693" s="62">
        <v>29355</v>
      </c>
      <c r="K693" s="61" t="s">
        <v>574</v>
      </c>
      <c r="L693" s="61" t="s">
        <v>1971</v>
      </c>
      <c r="M693" s="4"/>
      <c r="N693" s="4"/>
      <c r="P693" s="347"/>
      <c r="Q693" s="347"/>
      <c r="R693" s="183"/>
    </row>
    <row r="694" spans="1:19" s="4" customFormat="1" ht="15" hidden="1" customHeight="1" x14ac:dyDescent="0.25">
      <c r="A694" s="147" t="s">
        <v>5610</v>
      </c>
      <c r="B694" s="20" t="s">
        <v>597</v>
      </c>
      <c r="C694" s="20" t="s">
        <v>816</v>
      </c>
      <c r="D694" s="20" t="s">
        <v>556</v>
      </c>
      <c r="E694" s="20" t="s">
        <v>557</v>
      </c>
      <c r="F694" s="20" t="s">
        <v>558</v>
      </c>
      <c r="G694" s="20">
        <v>434</v>
      </c>
      <c r="H694" s="20">
        <v>15</v>
      </c>
      <c r="I694" s="20">
        <v>9198</v>
      </c>
      <c r="J694" s="36">
        <v>65008</v>
      </c>
      <c r="K694" s="20" t="s">
        <v>428</v>
      </c>
      <c r="L694" s="20" t="s">
        <v>1974</v>
      </c>
      <c r="P694" s="347">
        <v>298</v>
      </c>
      <c r="Q694" s="348">
        <f>P694*100%/(1000)</f>
        <v>0.29799999999999999</v>
      </c>
      <c r="R694" s="184"/>
    </row>
    <row r="695" spans="1:19" s="4" customFormat="1" ht="15" hidden="1" customHeight="1" x14ac:dyDescent="0.25">
      <c r="A695" s="141" t="s">
        <v>5610</v>
      </c>
      <c r="B695" s="61" t="s">
        <v>34</v>
      </c>
      <c r="C695" s="61" t="s">
        <v>817</v>
      </c>
      <c r="D695" s="61" t="s">
        <v>546</v>
      </c>
      <c r="E695" s="61" t="s">
        <v>542</v>
      </c>
      <c r="F695" s="61" t="s">
        <v>544</v>
      </c>
      <c r="G695" s="61">
        <v>487</v>
      </c>
      <c r="H695" s="61">
        <v>250</v>
      </c>
      <c r="I695" s="61">
        <v>9198</v>
      </c>
      <c r="J695" s="62">
        <v>65008</v>
      </c>
      <c r="K695" s="61" t="s">
        <v>1458</v>
      </c>
      <c r="L695" s="61" t="s">
        <v>1974</v>
      </c>
      <c r="O695" s="1"/>
      <c r="P695" s="347"/>
      <c r="Q695" s="347"/>
      <c r="R695" s="183"/>
      <c r="S695" s="1"/>
    </row>
    <row r="696" spans="1:19" s="4" customFormat="1" ht="15" hidden="1" customHeight="1" x14ac:dyDescent="0.25">
      <c r="A696" s="142" t="s">
        <v>5610</v>
      </c>
      <c r="B696" s="9" t="s">
        <v>249</v>
      </c>
      <c r="C696" s="9" t="s">
        <v>818</v>
      </c>
      <c r="D696" s="9" t="s">
        <v>547</v>
      </c>
      <c r="E696" s="9" t="s">
        <v>543</v>
      </c>
      <c r="F696" s="9" t="s">
        <v>545</v>
      </c>
      <c r="G696" s="9">
        <v>488</v>
      </c>
      <c r="H696" s="9">
        <v>1</v>
      </c>
      <c r="I696" s="9">
        <v>9198</v>
      </c>
      <c r="J696" s="37">
        <v>65008</v>
      </c>
      <c r="K696" s="9" t="s">
        <v>1458</v>
      </c>
      <c r="L696" s="9" t="s">
        <v>1974</v>
      </c>
      <c r="O696" s="1"/>
      <c r="P696" s="347"/>
      <c r="Q696" s="347"/>
      <c r="R696" s="3"/>
      <c r="S696" s="1"/>
    </row>
    <row r="697" spans="1:19" ht="15" hidden="1" customHeight="1" x14ac:dyDescent="0.25">
      <c r="A697" s="149" t="s">
        <v>5610</v>
      </c>
      <c r="B697" s="46" t="s">
        <v>1014</v>
      </c>
      <c r="C697" s="46" t="s">
        <v>2784</v>
      </c>
      <c r="D697" s="46" t="s">
        <v>2756</v>
      </c>
      <c r="E697" s="46" t="s">
        <v>2757</v>
      </c>
      <c r="F697" s="46" t="s">
        <v>2758</v>
      </c>
      <c r="G697" s="46">
        <v>874</v>
      </c>
      <c r="H697" s="46">
        <v>30</v>
      </c>
      <c r="I697" s="46">
        <v>9198</v>
      </c>
      <c r="J697" s="47">
        <v>65008</v>
      </c>
      <c r="K697" s="46" t="s">
        <v>428</v>
      </c>
      <c r="L697" s="46" t="s">
        <v>1974</v>
      </c>
      <c r="M697" s="4"/>
      <c r="N697" s="4"/>
      <c r="P697" s="347"/>
      <c r="Q697" s="347"/>
      <c r="R697" s="183"/>
    </row>
    <row r="698" spans="1:19" ht="15" hidden="1" customHeight="1" x14ac:dyDescent="0.25">
      <c r="A698" s="142" t="s">
        <v>5610</v>
      </c>
      <c r="B698" s="142" t="s">
        <v>249</v>
      </c>
      <c r="C698" s="142" t="s">
        <v>1507</v>
      </c>
      <c r="D698" s="142" t="s">
        <v>6607</v>
      </c>
      <c r="E698" s="142" t="s">
        <v>6608</v>
      </c>
      <c r="F698" s="142" t="s">
        <v>6609</v>
      </c>
      <c r="G698" s="142"/>
      <c r="H698" s="142">
        <v>1</v>
      </c>
      <c r="I698" s="142">
        <v>9198</v>
      </c>
      <c r="J698" s="142">
        <v>65008</v>
      </c>
      <c r="K698" s="142" t="s">
        <v>1458</v>
      </c>
      <c r="L698" s="142" t="s">
        <v>1974</v>
      </c>
      <c r="M698" s="4"/>
      <c r="N698" s="4"/>
      <c r="P698" s="347"/>
      <c r="Q698" s="347"/>
      <c r="R698" s="183"/>
    </row>
    <row r="699" spans="1:19" ht="15" hidden="1" customHeight="1" x14ac:dyDescent="0.25">
      <c r="A699" s="199" t="s">
        <v>5610</v>
      </c>
      <c r="B699" s="199" t="s">
        <v>3781</v>
      </c>
      <c r="C699" s="199" t="s">
        <v>6784</v>
      </c>
      <c r="D699" s="199" t="s">
        <v>6610</v>
      </c>
      <c r="E699" s="199" t="s">
        <v>6611</v>
      </c>
      <c r="F699" s="199" t="s">
        <v>6612</v>
      </c>
      <c r="G699" s="199">
        <v>387</v>
      </c>
      <c r="H699" s="199">
        <v>1</v>
      </c>
      <c r="I699" s="199">
        <v>9198</v>
      </c>
      <c r="J699" s="199">
        <v>65008</v>
      </c>
      <c r="K699" s="199" t="s">
        <v>428</v>
      </c>
      <c r="L699" s="199" t="s">
        <v>1974</v>
      </c>
      <c r="M699" s="4"/>
      <c r="N699" s="4"/>
      <c r="P699" s="347"/>
      <c r="Q699" s="347"/>
      <c r="R699" s="183"/>
    </row>
    <row r="700" spans="1:19" ht="15" hidden="1" customHeight="1" x14ac:dyDescent="0.25">
      <c r="A700" s="147" t="s">
        <v>5611</v>
      </c>
      <c r="B700" s="20" t="s">
        <v>597</v>
      </c>
      <c r="C700" s="20" t="s">
        <v>3104</v>
      </c>
      <c r="D700" s="20" t="s">
        <v>3061</v>
      </c>
      <c r="E700" s="20" t="s">
        <v>3062</v>
      </c>
      <c r="F700" s="20" t="s">
        <v>3063</v>
      </c>
      <c r="G700" s="20">
        <v>2205</v>
      </c>
      <c r="H700" s="20">
        <v>20</v>
      </c>
      <c r="I700" s="20">
        <v>9198</v>
      </c>
      <c r="J700" s="36">
        <v>29355</v>
      </c>
      <c r="K700" s="20" t="s">
        <v>654</v>
      </c>
      <c r="L700" s="20" t="s">
        <v>1974</v>
      </c>
      <c r="M700" s="4"/>
      <c r="N700" s="4"/>
      <c r="P700" s="347">
        <v>1134</v>
      </c>
      <c r="Q700" s="348">
        <f>P700*100%/(1000)</f>
        <v>1.1339999999999999</v>
      </c>
      <c r="R700" s="146" t="s">
        <v>2924</v>
      </c>
      <c r="S700" s="129" t="s">
        <v>2908</v>
      </c>
    </row>
    <row r="701" spans="1:19" ht="15" hidden="1" customHeight="1" x14ac:dyDescent="0.25">
      <c r="A701" s="152" t="s">
        <v>5611</v>
      </c>
      <c r="B701" s="57" t="s">
        <v>11</v>
      </c>
      <c r="C701" s="57" t="s">
        <v>1949</v>
      </c>
      <c r="D701" s="57" t="s">
        <v>1899</v>
      </c>
      <c r="E701" s="57" t="s">
        <v>1900</v>
      </c>
      <c r="F701" s="57" t="s">
        <v>1901</v>
      </c>
      <c r="G701" s="57">
        <v>2203</v>
      </c>
      <c r="H701" s="57">
        <v>850</v>
      </c>
      <c r="I701" s="57">
        <v>9198</v>
      </c>
      <c r="J701" s="58">
        <v>29355</v>
      </c>
      <c r="K701" s="57" t="s">
        <v>654</v>
      </c>
      <c r="L701" s="57" t="s">
        <v>1974</v>
      </c>
      <c r="M701" s="4"/>
      <c r="N701" s="4"/>
      <c r="P701" s="347"/>
      <c r="Q701" s="347"/>
      <c r="R701" s="146" t="s">
        <v>3691</v>
      </c>
      <c r="S701" s="146" t="s">
        <v>4107</v>
      </c>
    </row>
    <row r="702" spans="1:19" ht="15" hidden="1" customHeight="1" x14ac:dyDescent="0.25">
      <c r="A702" s="141" t="s">
        <v>5611</v>
      </c>
      <c r="B702" s="61" t="s">
        <v>34</v>
      </c>
      <c r="C702" s="61" t="s">
        <v>1144</v>
      </c>
      <c r="D702" s="61" t="s">
        <v>1113</v>
      </c>
      <c r="E702" s="61" t="s">
        <v>1114</v>
      </c>
      <c r="F702" s="61" t="s">
        <v>1115</v>
      </c>
      <c r="G702" s="61">
        <v>2202</v>
      </c>
      <c r="H702" s="61">
        <v>259</v>
      </c>
      <c r="I702" s="61">
        <v>9198</v>
      </c>
      <c r="J702" s="62">
        <v>29355</v>
      </c>
      <c r="K702" s="61" t="s">
        <v>654</v>
      </c>
      <c r="L702" s="61" t="s">
        <v>1974</v>
      </c>
      <c r="M702" s="4"/>
      <c r="N702" s="4"/>
      <c r="P702" s="347"/>
      <c r="Q702" s="347"/>
      <c r="R702" s="198" t="s">
        <v>6062</v>
      </c>
    </row>
    <row r="703" spans="1:19" ht="15" hidden="1" customHeight="1" x14ac:dyDescent="0.25">
      <c r="A703" s="142" t="s">
        <v>5611</v>
      </c>
      <c r="B703" s="9" t="s">
        <v>249</v>
      </c>
      <c r="C703" s="9" t="s">
        <v>1950</v>
      </c>
      <c r="D703" s="9" t="s">
        <v>1896</v>
      </c>
      <c r="E703" s="9" t="s">
        <v>1897</v>
      </c>
      <c r="F703" s="9" t="s">
        <v>1898</v>
      </c>
      <c r="G703" s="9">
        <v>2204</v>
      </c>
      <c r="H703" s="9">
        <v>5</v>
      </c>
      <c r="I703" s="9">
        <v>9198</v>
      </c>
      <c r="J703" s="37">
        <v>29355</v>
      </c>
      <c r="K703" s="9" t="s">
        <v>654</v>
      </c>
      <c r="L703" s="9" t="s">
        <v>1974</v>
      </c>
      <c r="M703" s="4"/>
      <c r="N703" s="4"/>
      <c r="P703" s="347"/>
      <c r="Q703" s="347"/>
      <c r="R703" s="262" t="s">
        <v>6221</v>
      </c>
    </row>
    <row r="704" spans="1:19" ht="15" hidden="1" customHeight="1" x14ac:dyDescent="0.25">
      <c r="A704" s="141" t="s">
        <v>5612</v>
      </c>
      <c r="B704" s="61" t="s">
        <v>34</v>
      </c>
      <c r="C704" s="61" t="s">
        <v>2265</v>
      </c>
      <c r="D704" s="61" t="s">
        <v>2243</v>
      </c>
      <c r="E704" s="61" t="s">
        <v>2244</v>
      </c>
      <c r="F704" s="61" t="s">
        <v>2245</v>
      </c>
      <c r="G704" s="61">
        <v>1136</v>
      </c>
      <c r="H704" s="61">
        <v>87</v>
      </c>
      <c r="I704" s="61">
        <v>9198</v>
      </c>
      <c r="J704" s="62">
        <v>29355</v>
      </c>
      <c r="K704" s="61" t="s">
        <v>433</v>
      </c>
      <c r="L704" s="61" t="s">
        <v>1974</v>
      </c>
      <c r="M704" s="4"/>
      <c r="N704" s="4"/>
      <c r="P704" s="347">
        <v>303</v>
      </c>
      <c r="Q704" s="348">
        <f>P704*100%/(1000)</f>
        <v>0.30299999999999999</v>
      </c>
    </row>
    <row r="705" spans="1:25" ht="15" hidden="1" customHeight="1" x14ac:dyDescent="0.25">
      <c r="A705" s="142" t="s">
        <v>5612</v>
      </c>
      <c r="B705" s="9" t="s">
        <v>249</v>
      </c>
      <c r="C705" s="9" t="s">
        <v>2266</v>
      </c>
      <c r="D705" s="9" t="s">
        <v>2246</v>
      </c>
      <c r="E705" s="9" t="s">
        <v>2247</v>
      </c>
      <c r="F705" s="9" t="s">
        <v>2248</v>
      </c>
      <c r="G705" s="9">
        <v>1137</v>
      </c>
      <c r="H705" s="9">
        <v>1</v>
      </c>
      <c r="I705" s="9">
        <v>9198</v>
      </c>
      <c r="J705" s="37">
        <v>29355</v>
      </c>
      <c r="K705" s="9" t="s">
        <v>433</v>
      </c>
      <c r="L705" s="9" t="s">
        <v>1974</v>
      </c>
      <c r="M705" s="4"/>
      <c r="N705" s="4"/>
      <c r="P705" s="347"/>
      <c r="Q705" s="347"/>
    </row>
    <row r="706" spans="1:25" ht="15" hidden="1" customHeight="1" x14ac:dyDescent="0.25">
      <c r="A706" s="152" t="s">
        <v>5612</v>
      </c>
      <c r="B706" s="57" t="s">
        <v>11</v>
      </c>
      <c r="C706" s="57" t="s">
        <v>5784</v>
      </c>
      <c r="D706" s="57" t="s">
        <v>5140</v>
      </c>
      <c r="E706" s="57" t="s">
        <v>5141</v>
      </c>
      <c r="F706" s="57" t="s">
        <v>5142</v>
      </c>
      <c r="G706" s="57">
        <v>2021</v>
      </c>
      <c r="H706" s="57">
        <v>215</v>
      </c>
      <c r="I706" s="57">
        <v>9198</v>
      </c>
      <c r="J706" s="58">
        <v>29355</v>
      </c>
      <c r="K706" s="57" t="s">
        <v>433</v>
      </c>
      <c r="L706" s="57" t="s">
        <v>1974</v>
      </c>
      <c r="M706" s="4"/>
      <c r="N706" s="4"/>
      <c r="P706" s="347"/>
      <c r="Q706" s="347"/>
    </row>
    <row r="707" spans="1:25" ht="15" hidden="1" customHeight="1" x14ac:dyDescent="0.25">
      <c r="A707" s="147" t="s">
        <v>5613</v>
      </c>
      <c r="B707" s="20" t="s">
        <v>597</v>
      </c>
      <c r="C707" s="20" t="s">
        <v>2353</v>
      </c>
      <c r="D707" s="20" t="s">
        <v>2306</v>
      </c>
      <c r="E707" s="20" t="s">
        <v>2307</v>
      </c>
      <c r="F707" s="20" t="s">
        <v>2308</v>
      </c>
      <c r="G707" s="20">
        <v>1213</v>
      </c>
      <c r="H707" s="20">
        <v>20</v>
      </c>
      <c r="I707" s="20">
        <v>9198</v>
      </c>
      <c r="J707" s="36">
        <v>29355</v>
      </c>
      <c r="K707" s="20" t="s">
        <v>430</v>
      </c>
      <c r="L707" s="20" t="s">
        <v>1973</v>
      </c>
      <c r="P707" s="347">
        <v>4019</v>
      </c>
      <c r="Q707" s="348">
        <f>P707*100%/(10000)</f>
        <v>0.40189999999999998</v>
      </c>
      <c r="R707" s="145" t="s">
        <v>2924</v>
      </c>
      <c r="S707" s="129" t="s">
        <v>2908</v>
      </c>
    </row>
    <row r="708" spans="1:25" ht="15" hidden="1" customHeight="1" x14ac:dyDescent="0.25">
      <c r="A708" s="152" t="s">
        <v>5613</v>
      </c>
      <c r="B708" s="57" t="s">
        <v>11</v>
      </c>
      <c r="C708" s="57" t="s">
        <v>2352</v>
      </c>
      <c r="D708" s="57" t="s">
        <v>2315</v>
      </c>
      <c r="E708" s="57" t="s">
        <v>2316</v>
      </c>
      <c r="F708" s="57" t="s">
        <v>2317</v>
      </c>
      <c r="G708" s="57">
        <v>1210</v>
      </c>
      <c r="H708" s="57">
        <v>3100</v>
      </c>
      <c r="I708" s="57">
        <v>9198</v>
      </c>
      <c r="J708" s="58">
        <v>29355</v>
      </c>
      <c r="K708" s="57" t="s">
        <v>654</v>
      </c>
      <c r="L708" s="57" t="s">
        <v>1973</v>
      </c>
      <c r="P708" s="347"/>
      <c r="Q708" s="347"/>
      <c r="R708" s="146" t="s">
        <v>3691</v>
      </c>
      <c r="S708" s="146" t="s">
        <v>4107</v>
      </c>
    </row>
    <row r="709" spans="1:25" s="4" customFormat="1" ht="15" hidden="1" customHeight="1" x14ac:dyDescent="0.25">
      <c r="A709" s="141" t="s">
        <v>5613</v>
      </c>
      <c r="B709" s="61" t="s">
        <v>34</v>
      </c>
      <c r="C709" s="61" t="s">
        <v>2350</v>
      </c>
      <c r="D709" s="61" t="s">
        <v>2309</v>
      </c>
      <c r="E709" s="61" t="s">
        <v>2310</v>
      </c>
      <c r="F709" s="61" t="s">
        <v>2311</v>
      </c>
      <c r="G709" s="61">
        <v>1208</v>
      </c>
      <c r="H709" s="61">
        <v>893</v>
      </c>
      <c r="I709" s="61">
        <v>9198</v>
      </c>
      <c r="J709" s="62">
        <v>29355</v>
      </c>
      <c r="K709" s="61" t="s">
        <v>430</v>
      </c>
      <c r="L709" s="61" t="s">
        <v>1973</v>
      </c>
      <c r="M709" s="1"/>
      <c r="N709" s="1"/>
      <c r="O709" s="1"/>
      <c r="P709" s="347"/>
      <c r="Q709" s="347"/>
      <c r="R709" s="146" t="s">
        <v>4360</v>
      </c>
      <c r="S709" s="1"/>
    </row>
    <row r="710" spans="1:25" ht="15" hidden="1" customHeight="1" x14ac:dyDescent="0.25">
      <c r="A710" s="142" t="s">
        <v>5613</v>
      </c>
      <c r="B710" s="9" t="s">
        <v>249</v>
      </c>
      <c r="C710" s="9" t="s">
        <v>2351</v>
      </c>
      <c r="D710" s="9" t="s">
        <v>2312</v>
      </c>
      <c r="E710" s="9" t="s">
        <v>2313</v>
      </c>
      <c r="F710" s="9" t="s">
        <v>2314</v>
      </c>
      <c r="G710" s="9">
        <v>1209</v>
      </c>
      <c r="H710" s="9">
        <v>5</v>
      </c>
      <c r="I710" s="9">
        <v>9198</v>
      </c>
      <c r="J710" s="37">
        <v>29355</v>
      </c>
      <c r="K710" s="9" t="s">
        <v>430</v>
      </c>
      <c r="L710" s="9" t="s">
        <v>1973</v>
      </c>
      <c r="P710" s="347"/>
      <c r="Q710" s="347"/>
      <c r="R710" s="146" t="s">
        <v>4359</v>
      </c>
      <c r="W710" s="144" t="s">
        <v>4495</v>
      </c>
      <c r="Y710" s="131" t="s">
        <v>4664</v>
      </c>
    </row>
    <row r="711" spans="1:25" ht="15" hidden="1" customHeight="1" x14ac:dyDescent="0.25">
      <c r="A711" s="199" t="s">
        <v>5613</v>
      </c>
      <c r="B711" s="154" t="s">
        <v>3781</v>
      </c>
      <c r="C711" s="154" t="s">
        <v>5219</v>
      </c>
      <c r="D711" s="154" t="s">
        <v>5022</v>
      </c>
      <c r="E711" s="154" t="s">
        <v>5023</v>
      </c>
      <c r="F711" s="154" t="s">
        <v>5024</v>
      </c>
      <c r="G711" s="154">
        <v>2522</v>
      </c>
      <c r="H711" s="154">
        <v>1</v>
      </c>
      <c r="I711" s="154">
        <v>9198</v>
      </c>
      <c r="J711" s="155">
        <v>29355</v>
      </c>
      <c r="K711" s="154" t="s">
        <v>654</v>
      </c>
      <c r="L711" s="154" t="s">
        <v>1973</v>
      </c>
      <c r="P711" s="347"/>
      <c r="Q711" s="347"/>
      <c r="R711" s="145"/>
      <c r="W711" s="144"/>
      <c r="Y711" s="248"/>
    </row>
    <row r="712" spans="1:25" ht="15" hidden="1" customHeight="1" x14ac:dyDescent="0.3">
      <c r="A712" s="57" t="s">
        <v>5600</v>
      </c>
      <c r="B712" s="57" t="s">
        <v>11</v>
      </c>
      <c r="C712" s="57" t="s">
        <v>7432</v>
      </c>
      <c r="D712" s="57" t="s">
        <v>7189</v>
      </c>
      <c r="E712" s="57" t="s">
        <v>7190</v>
      </c>
      <c r="F712" s="57" t="s">
        <v>7191</v>
      </c>
      <c r="G712" s="57">
        <v>210</v>
      </c>
      <c r="H712" s="57">
        <v>300</v>
      </c>
      <c r="I712" s="57">
        <v>9198</v>
      </c>
      <c r="J712" s="57">
        <v>29355</v>
      </c>
      <c r="K712" s="57" t="s">
        <v>440</v>
      </c>
      <c r="L712" s="57" t="s">
        <v>4652</v>
      </c>
      <c r="P712">
        <v>300</v>
      </c>
      <c r="Q712" s="303"/>
      <c r="R712" s="145"/>
      <c r="W712" s="144"/>
      <c r="Y712" s="248"/>
    </row>
    <row r="713" spans="1:25" ht="14.25" hidden="1" customHeight="1" x14ac:dyDescent="0.25">
      <c r="A713" s="142" t="s">
        <v>5614</v>
      </c>
      <c r="B713" s="9" t="s">
        <v>249</v>
      </c>
      <c r="C713" s="9" t="s">
        <v>6174</v>
      </c>
      <c r="D713" s="9" t="s">
        <v>5749</v>
      </c>
      <c r="E713" s="9" t="s">
        <v>5750</v>
      </c>
      <c r="F713" s="9" t="s">
        <v>5751</v>
      </c>
      <c r="G713" s="9">
        <v>1511</v>
      </c>
      <c r="H713" s="9">
        <v>1</v>
      </c>
      <c r="I713" s="9">
        <v>9198</v>
      </c>
      <c r="J713" s="37">
        <v>29355</v>
      </c>
      <c r="K713" s="9" t="s">
        <v>440</v>
      </c>
      <c r="L713" s="9" t="s">
        <v>1974</v>
      </c>
      <c r="M713" s="4"/>
      <c r="N713" s="4"/>
      <c r="P713" s="347">
        <v>243</v>
      </c>
      <c r="Q713" s="348">
        <f>P713*100%/(1000)</f>
        <v>0.24299999999999999</v>
      </c>
      <c r="R713" s="213"/>
    </row>
    <row r="714" spans="1:25" ht="14.25" hidden="1" customHeight="1" x14ac:dyDescent="0.25">
      <c r="A714" s="199" t="s">
        <v>5614</v>
      </c>
      <c r="B714" s="154" t="s">
        <v>3781</v>
      </c>
      <c r="C714" s="154" t="s">
        <v>6175</v>
      </c>
      <c r="D714" s="154" t="s">
        <v>5746</v>
      </c>
      <c r="E714" s="154" t="s">
        <v>5747</v>
      </c>
      <c r="F714" s="154" t="s">
        <v>5748</v>
      </c>
      <c r="G714" s="154">
        <v>1512</v>
      </c>
      <c r="H714" s="154">
        <v>1</v>
      </c>
      <c r="I714" s="154">
        <v>9198</v>
      </c>
      <c r="J714" s="155">
        <v>29355</v>
      </c>
      <c r="K714" s="154" t="s">
        <v>654</v>
      </c>
      <c r="L714" s="154" t="s">
        <v>1974</v>
      </c>
      <c r="M714" s="4"/>
      <c r="N714" s="4"/>
      <c r="P714" s="347"/>
      <c r="Q714" s="347"/>
      <c r="R714" s="213"/>
    </row>
    <row r="715" spans="1:25" ht="14.25" hidden="1" customHeight="1" x14ac:dyDescent="0.25">
      <c r="A715" s="147" t="s">
        <v>5614</v>
      </c>
      <c r="B715" s="20" t="s">
        <v>597</v>
      </c>
      <c r="C715" s="20" t="s">
        <v>2469</v>
      </c>
      <c r="D715" s="20" t="s">
        <v>2457</v>
      </c>
      <c r="E715" s="20" t="s">
        <v>2458</v>
      </c>
      <c r="F715" s="20" t="s">
        <v>2459</v>
      </c>
      <c r="G715" s="20">
        <v>1509</v>
      </c>
      <c r="H715" s="20">
        <v>6</v>
      </c>
      <c r="I715" s="20">
        <v>9198</v>
      </c>
      <c r="J715" s="36">
        <v>29355</v>
      </c>
      <c r="K715" s="20" t="s">
        <v>440</v>
      </c>
      <c r="L715" s="20" t="s">
        <v>1974</v>
      </c>
      <c r="M715" s="4"/>
      <c r="N715" s="4"/>
      <c r="P715" s="347"/>
      <c r="Q715" s="347"/>
      <c r="R715" s="213"/>
    </row>
    <row r="716" spans="1:25" ht="14.25" hidden="1" customHeight="1" x14ac:dyDescent="0.25">
      <c r="A716" s="141" t="s">
        <v>5614</v>
      </c>
      <c r="B716" s="61" t="s">
        <v>34</v>
      </c>
      <c r="C716" s="61" t="s">
        <v>2470</v>
      </c>
      <c r="D716" s="61" t="s">
        <v>2454</v>
      </c>
      <c r="E716" s="61" t="s">
        <v>2455</v>
      </c>
      <c r="F716" s="61" t="s">
        <v>2456</v>
      </c>
      <c r="G716" s="61">
        <v>1510</v>
      </c>
      <c r="H716" s="61">
        <v>235</v>
      </c>
      <c r="I716" s="61">
        <v>9198</v>
      </c>
      <c r="J716" s="62">
        <v>29355</v>
      </c>
      <c r="K716" s="61" t="s">
        <v>440</v>
      </c>
      <c r="L716" s="61" t="s">
        <v>1974</v>
      </c>
      <c r="M716" s="4"/>
      <c r="N716" s="4"/>
      <c r="P716" s="347"/>
      <c r="Q716" s="347"/>
      <c r="R716" s="213"/>
    </row>
    <row r="717" spans="1:25" ht="14.25" hidden="1" customHeight="1" x14ac:dyDescent="0.25">
      <c r="A717" s="141" t="s">
        <v>5615</v>
      </c>
      <c r="B717" s="141" t="s">
        <v>34</v>
      </c>
      <c r="C717" s="141" t="s">
        <v>3891</v>
      </c>
      <c r="D717" s="141" t="s">
        <v>3504</v>
      </c>
      <c r="E717" s="141" t="s">
        <v>3505</v>
      </c>
      <c r="F717" s="141" t="s">
        <v>3506</v>
      </c>
      <c r="G717" s="141">
        <v>300</v>
      </c>
      <c r="H717" s="141">
        <v>141</v>
      </c>
      <c r="I717" s="141">
        <v>9198</v>
      </c>
      <c r="J717" s="62">
        <v>29355</v>
      </c>
      <c r="K717" s="141" t="s">
        <v>428</v>
      </c>
      <c r="L717" s="141" t="s">
        <v>1974</v>
      </c>
      <c r="M717" s="4"/>
      <c r="N717" s="4"/>
      <c r="P717" s="347">
        <v>128</v>
      </c>
      <c r="Q717" s="348">
        <f>P717*100%/(1000)</f>
        <v>0.128</v>
      </c>
      <c r="R717" s="213"/>
    </row>
    <row r="718" spans="1:25" ht="14.25" hidden="1" customHeight="1" x14ac:dyDescent="0.25">
      <c r="A718" s="142" t="s">
        <v>5615</v>
      </c>
      <c r="B718" s="9" t="s">
        <v>249</v>
      </c>
      <c r="C718" s="9" t="s">
        <v>3892</v>
      </c>
      <c r="D718" s="9" t="s">
        <v>3507</v>
      </c>
      <c r="E718" s="9" t="s">
        <v>3508</v>
      </c>
      <c r="F718" s="9" t="s">
        <v>3509</v>
      </c>
      <c r="G718" s="9">
        <v>301</v>
      </c>
      <c r="H718" s="9">
        <v>1</v>
      </c>
      <c r="I718" s="9">
        <v>9198</v>
      </c>
      <c r="J718" s="37">
        <v>29355</v>
      </c>
      <c r="K718" s="9" t="s">
        <v>428</v>
      </c>
      <c r="L718" s="9" t="s">
        <v>1974</v>
      </c>
      <c r="M718" s="4"/>
      <c r="N718" s="4"/>
      <c r="P718" s="347"/>
      <c r="Q718" s="347"/>
      <c r="R718" s="213"/>
    </row>
    <row r="719" spans="1:25" ht="14.25" hidden="1" customHeight="1" x14ac:dyDescent="0.25">
      <c r="A719" s="147" t="s">
        <v>5616</v>
      </c>
      <c r="B719" s="20" t="s">
        <v>597</v>
      </c>
      <c r="C719" s="20" t="s">
        <v>7416</v>
      </c>
      <c r="D719" s="20" t="s">
        <v>7124</v>
      </c>
      <c r="E719" s="20" t="s">
        <v>7125</v>
      </c>
      <c r="F719" s="20" t="s">
        <v>7126</v>
      </c>
      <c r="G719" s="20">
        <v>2638</v>
      </c>
      <c r="H719" s="20">
        <v>6</v>
      </c>
      <c r="I719" s="20">
        <v>9198</v>
      </c>
      <c r="J719" s="36">
        <v>29355</v>
      </c>
      <c r="K719" s="20" t="s">
        <v>1417</v>
      </c>
      <c r="L719" s="20" t="s">
        <v>1974</v>
      </c>
      <c r="M719" s="4"/>
      <c r="N719" s="4"/>
      <c r="P719" s="347">
        <v>132</v>
      </c>
      <c r="Q719" s="348">
        <f>P719*100%/(1000)</f>
        <v>0.13200000000000001</v>
      </c>
      <c r="R719" s="213"/>
    </row>
    <row r="720" spans="1:25" ht="14.25" hidden="1" customHeight="1" x14ac:dyDescent="0.25">
      <c r="A720" s="141" t="s">
        <v>5616</v>
      </c>
      <c r="B720" s="141" t="s">
        <v>34</v>
      </c>
      <c r="C720" s="141" t="s">
        <v>4263</v>
      </c>
      <c r="D720" s="141" t="s">
        <v>4119</v>
      </c>
      <c r="E720" s="141" t="s">
        <v>4120</v>
      </c>
      <c r="F720" s="141" t="s">
        <v>4121</v>
      </c>
      <c r="G720" s="141">
        <v>2246</v>
      </c>
      <c r="H720" s="141">
        <v>124</v>
      </c>
      <c r="I720" s="141">
        <v>9198</v>
      </c>
      <c r="J720" s="62">
        <v>29355</v>
      </c>
      <c r="K720" s="141" t="s">
        <v>1417</v>
      </c>
      <c r="L720" s="141" t="s">
        <v>1974</v>
      </c>
      <c r="M720" s="4"/>
      <c r="N720" s="4"/>
      <c r="P720" s="347"/>
      <c r="Q720" s="347"/>
      <c r="R720" s="213"/>
    </row>
    <row r="721" spans="1:19" ht="14.25" hidden="1" customHeight="1" x14ac:dyDescent="0.25">
      <c r="A721" s="142" t="s">
        <v>5616</v>
      </c>
      <c r="B721" s="9" t="s">
        <v>249</v>
      </c>
      <c r="C721" s="9" t="s">
        <v>4264</v>
      </c>
      <c r="D721" s="9" t="s">
        <v>4122</v>
      </c>
      <c r="E721" s="9" t="s">
        <v>4123</v>
      </c>
      <c r="F721" s="9" t="s">
        <v>4124</v>
      </c>
      <c r="G721" s="9">
        <v>1991</v>
      </c>
      <c r="H721" s="9">
        <v>1</v>
      </c>
      <c r="I721" s="9">
        <v>9198</v>
      </c>
      <c r="J721" s="37">
        <v>29355</v>
      </c>
      <c r="K721" s="9" t="s">
        <v>1417</v>
      </c>
      <c r="L721" s="9" t="s">
        <v>1974</v>
      </c>
      <c r="M721" s="4"/>
      <c r="N721" s="4"/>
      <c r="P721" s="347"/>
      <c r="Q721" s="347"/>
      <c r="R721" s="213"/>
    </row>
    <row r="722" spans="1:19" ht="14.25" hidden="1" customHeight="1" x14ac:dyDescent="0.25">
      <c r="A722" s="199" t="s">
        <v>5616</v>
      </c>
      <c r="B722" s="154" t="s">
        <v>3781</v>
      </c>
      <c r="C722" s="154" t="s">
        <v>4622</v>
      </c>
      <c r="D722" s="154" t="s">
        <v>4486</v>
      </c>
      <c r="E722" s="154" t="s">
        <v>4487</v>
      </c>
      <c r="F722" s="154" t="s">
        <v>4488</v>
      </c>
      <c r="G722" s="154">
        <v>2634</v>
      </c>
      <c r="H722" s="154">
        <v>1</v>
      </c>
      <c r="I722" s="154">
        <v>9198</v>
      </c>
      <c r="J722" s="155">
        <v>29355</v>
      </c>
      <c r="K722" s="154" t="s">
        <v>1417</v>
      </c>
      <c r="L722" s="154" t="s">
        <v>1974</v>
      </c>
      <c r="M722" s="4"/>
      <c r="N722" s="4"/>
      <c r="P722" s="347"/>
      <c r="Q722" s="347"/>
      <c r="R722" s="213"/>
    </row>
    <row r="723" spans="1:19" ht="14.25" hidden="1" customHeight="1" x14ac:dyDescent="0.25">
      <c r="A723" s="152" t="s">
        <v>5617</v>
      </c>
      <c r="B723" s="57" t="s">
        <v>11</v>
      </c>
      <c r="C723" s="57" t="s">
        <v>1997</v>
      </c>
      <c r="D723" s="57" t="s">
        <v>1980</v>
      </c>
      <c r="E723" s="57" t="s">
        <v>1981</v>
      </c>
      <c r="F723" s="57" t="s">
        <v>1982</v>
      </c>
      <c r="G723" s="57">
        <v>955</v>
      </c>
      <c r="H723" s="57">
        <v>194</v>
      </c>
      <c r="I723" s="57">
        <v>64726</v>
      </c>
      <c r="J723" s="58">
        <v>65233</v>
      </c>
      <c r="K723" s="57" t="s">
        <v>522</v>
      </c>
      <c r="L723" s="57" t="s">
        <v>1974</v>
      </c>
      <c r="M723" s="4"/>
      <c r="N723" s="4"/>
      <c r="P723" s="347">
        <v>804</v>
      </c>
      <c r="Q723" s="348">
        <f>P723*100%/(1000)</f>
        <v>0.80400000000000005</v>
      </c>
      <c r="R723" s="145" t="s">
        <v>2906</v>
      </c>
      <c r="S723" s="129" t="s">
        <v>2905</v>
      </c>
    </row>
    <row r="724" spans="1:19" ht="14.25" hidden="1" customHeight="1" x14ac:dyDescent="0.25">
      <c r="A724" s="141" t="s">
        <v>5617</v>
      </c>
      <c r="B724" s="61" t="s">
        <v>34</v>
      </c>
      <c r="C724" s="61" t="s">
        <v>819</v>
      </c>
      <c r="D724" s="61" t="s">
        <v>253</v>
      </c>
      <c r="E724" s="61" t="s">
        <v>254</v>
      </c>
      <c r="F724" s="61" t="s">
        <v>255</v>
      </c>
      <c r="G724" s="61">
        <v>453</v>
      </c>
      <c r="H724" s="61">
        <v>610</v>
      </c>
      <c r="I724" s="61">
        <v>64726</v>
      </c>
      <c r="J724" s="62">
        <v>65233</v>
      </c>
      <c r="K724" s="61" t="s">
        <v>429</v>
      </c>
      <c r="L724" s="61" t="s">
        <v>1974</v>
      </c>
      <c r="M724" s="4"/>
      <c r="N724" s="4"/>
      <c r="P724" s="347"/>
      <c r="Q724" s="347"/>
      <c r="R724" s="145" t="s">
        <v>3692</v>
      </c>
      <c r="S724" s="145"/>
    </row>
    <row r="725" spans="1:19" ht="14.25" hidden="1" customHeight="1" x14ac:dyDescent="0.3">
      <c r="A725" s="20" t="s">
        <v>6711</v>
      </c>
      <c r="B725" s="20" t="s">
        <v>597</v>
      </c>
      <c r="C725" s="20" t="s">
        <v>6592</v>
      </c>
      <c r="D725" s="20"/>
      <c r="E725" s="20"/>
      <c r="F725" s="20"/>
      <c r="G725" s="20">
        <v>2388</v>
      </c>
      <c r="H725" s="20">
        <v>200</v>
      </c>
      <c r="I725" s="20" t="s">
        <v>1454</v>
      </c>
      <c r="J725" s="20" t="s">
        <v>1454</v>
      </c>
      <c r="K725" s="20" t="s">
        <v>429</v>
      </c>
      <c r="L725" s="20" t="s">
        <v>1974</v>
      </c>
      <c r="M725" s="4"/>
      <c r="N725" s="4"/>
      <c r="P725">
        <v>200</v>
      </c>
      <c r="Q725" s="303">
        <f>P725*100%/(1000)</f>
        <v>0.2</v>
      </c>
      <c r="R725" s="145"/>
      <c r="S725" s="145"/>
    </row>
    <row r="726" spans="1:19" ht="14.25" hidden="1" customHeight="1" x14ac:dyDescent="0.25">
      <c r="A726" s="147" t="s">
        <v>5617</v>
      </c>
      <c r="B726" s="20" t="s">
        <v>597</v>
      </c>
      <c r="C726" s="20" t="s">
        <v>4689</v>
      </c>
      <c r="D726" s="20" t="s">
        <v>4626</v>
      </c>
      <c r="E726" s="20" t="s">
        <v>4627</v>
      </c>
      <c r="F726" s="20" t="s">
        <v>4628</v>
      </c>
      <c r="G726" s="20">
        <v>631</v>
      </c>
      <c r="H726" s="20">
        <v>4</v>
      </c>
      <c r="I726" s="20">
        <v>64726</v>
      </c>
      <c r="J726" s="36">
        <v>65233</v>
      </c>
      <c r="K726" s="20" t="s">
        <v>428</v>
      </c>
      <c r="L726" s="20" t="s">
        <v>1974</v>
      </c>
      <c r="M726" s="4"/>
      <c r="N726" s="4"/>
      <c r="P726" s="347">
        <v>3</v>
      </c>
      <c r="Q726" s="348">
        <f>P726*100%/(1000)</f>
        <v>3.0000000000000001E-3</v>
      </c>
      <c r="R726" s="145" t="s">
        <v>4107</v>
      </c>
      <c r="S726" s="145"/>
    </row>
    <row r="727" spans="1:19" ht="14.25" hidden="1" customHeight="1" x14ac:dyDescent="0.25">
      <c r="A727" s="142" t="s">
        <v>5617</v>
      </c>
      <c r="B727" s="9" t="s">
        <v>249</v>
      </c>
      <c r="C727" s="9" t="s">
        <v>820</v>
      </c>
      <c r="D727" s="9" t="s">
        <v>256</v>
      </c>
      <c r="E727" s="9" t="s">
        <v>257</v>
      </c>
      <c r="F727" s="9" t="s">
        <v>258</v>
      </c>
      <c r="G727" s="9">
        <v>452</v>
      </c>
      <c r="H727" s="9">
        <v>1</v>
      </c>
      <c r="I727" s="9">
        <v>64726</v>
      </c>
      <c r="J727" s="37">
        <v>65233</v>
      </c>
      <c r="K727" s="9" t="s">
        <v>429</v>
      </c>
      <c r="L727" s="9" t="s">
        <v>1974</v>
      </c>
      <c r="M727" s="4"/>
      <c r="N727" s="4"/>
      <c r="P727" s="347"/>
      <c r="Q727" s="347"/>
      <c r="R727" s="198" t="s">
        <v>6062</v>
      </c>
      <c r="S727" s="262" t="s">
        <v>6221</v>
      </c>
    </row>
    <row r="728" spans="1:19" ht="14.25" hidden="1" customHeight="1" x14ac:dyDescent="0.25">
      <c r="A728" s="147" t="s">
        <v>5618</v>
      </c>
      <c r="B728" s="20" t="s">
        <v>597</v>
      </c>
      <c r="C728" s="20" t="s">
        <v>1405</v>
      </c>
      <c r="D728" s="20" t="s">
        <v>1402</v>
      </c>
      <c r="E728" s="20" t="s">
        <v>1403</v>
      </c>
      <c r="F728" s="20" t="s">
        <v>1404</v>
      </c>
      <c r="G728" s="20">
        <v>2223</v>
      </c>
      <c r="H728" s="20">
        <v>9</v>
      </c>
      <c r="I728" s="20">
        <v>9198</v>
      </c>
      <c r="J728" s="36">
        <v>29355</v>
      </c>
      <c r="K728" s="20" t="s">
        <v>654</v>
      </c>
      <c r="L728" s="20" t="s">
        <v>1974</v>
      </c>
      <c r="M728" s="4"/>
      <c r="N728" s="4"/>
      <c r="P728" s="347">
        <v>487</v>
      </c>
      <c r="Q728" s="348">
        <f>P728*100%/(1000)</f>
        <v>0.48699999999999999</v>
      </c>
      <c r="R728" s="213"/>
      <c r="S728" s="129"/>
    </row>
    <row r="729" spans="1:19" ht="15" hidden="1" customHeight="1" x14ac:dyDescent="0.25">
      <c r="A729" s="152" t="s">
        <v>5618</v>
      </c>
      <c r="B729" s="57" t="s">
        <v>11</v>
      </c>
      <c r="C729" s="57" t="s">
        <v>3184</v>
      </c>
      <c r="D729" s="57" t="s">
        <v>3109</v>
      </c>
      <c r="E729" s="57" t="s">
        <v>3110</v>
      </c>
      <c r="F729" s="57" t="s">
        <v>3111</v>
      </c>
      <c r="G729" s="57">
        <v>1924</v>
      </c>
      <c r="H729" s="57">
        <v>348</v>
      </c>
      <c r="I729" s="57">
        <v>9198</v>
      </c>
      <c r="J729" s="58">
        <v>29355</v>
      </c>
      <c r="K729" s="57" t="s">
        <v>654</v>
      </c>
      <c r="L729" s="57" t="s">
        <v>1974</v>
      </c>
      <c r="M729" s="4"/>
      <c r="P729" s="347"/>
      <c r="Q729" s="347"/>
      <c r="R729" s="213"/>
    </row>
    <row r="730" spans="1:19" ht="15" hidden="1" customHeight="1" x14ac:dyDescent="0.25">
      <c r="A730" s="141" t="s">
        <v>5618</v>
      </c>
      <c r="B730" s="61" t="s">
        <v>34</v>
      </c>
      <c r="C730" s="61" t="s">
        <v>1294</v>
      </c>
      <c r="D730" s="61" t="s">
        <v>651</v>
      </c>
      <c r="E730" s="61" t="s">
        <v>652</v>
      </c>
      <c r="F730" s="61" t="s">
        <v>653</v>
      </c>
      <c r="G730" s="61">
        <v>2222</v>
      </c>
      <c r="H730" s="61">
        <v>128</v>
      </c>
      <c r="I730" s="61">
        <v>9198</v>
      </c>
      <c r="J730" s="62">
        <v>29355</v>
      </c>
      <c r="K730" s="61" t="s">
        <v>654</v>
      </c>
      <c r="L730" s="61" t="s">
        <v>1974</v>
      </c>
      <c r="M730" s="4"/>
      <c r="P730" s="347"/>
      <c r="Q730" s="347"/>
      <c r="R730" s="213"/>
    </row>
    <row r="731" spans="1:19" ht="15" hidden="1" customHeight="1" x14ac:dyDescent="0.25">
      <c r="A731" s="142" t="s">
        <v>5618</v>
      </c>
      <c r="B731" s="9" t="s">
        <v>249</v>
      </c>
      <c r="C731" s="9" t="s">
        <v>1879</v>
      </c>
      <c r="D731" s="9" t="s">
        <v>1855</v>
      </c>
      <c r="E731" s="9" t="s">
        <v>1856</v>
      </c>
      <c r="F731" s="9" t="s">
        <v>1857</v>
      </c>
      <c r="G731" s="9">
        <v>2227</v>
      </c>
      <c r="H731" s="9">
        <v>1</v>
      </c>
      <c r="I731" s="9">
        <v>9198</v>
      </c>
      <c r="J731" s="37">
        <v>29355</v>
      </c>
      <c r="K731" s="9" t="s">
        <v>654</v>
      </c>
      <c r="L731" s="9" t="s">
        <v>1974</v>
      </c>
      <c r="M731" s="4"/>
      <c r="P731" s="347"/>
      <c r="Q731" s="347"/>
      <c r="R731" s="213"/>
    </row>
    <row r="732" spans="1:19" ht="15" hidden="1" customHeight="1" x14ac:dyDescent="0.25">
      <c r="A732" s="199" t="s">
        <v>5618</v>
      </c>
      <c r="B732" s="154" t="s">
        <v>3781</v>
      </c>
      <c r="C732" s="154" t="s">
        <v>4856</v>
      </c>
      <c r="D732" s="154" t="s">
        <v>4796</v>
      </c>
      <c r="E732" s="154" t="s">
        <v>4797</v>
      </c>
      <c r="F732" s="154" t="s">
        <v>4798</v>
      </c>
      <c r="G732" s="154">
        <v>3311</v>
      </c>
      <c r="H732" s="154">
        <v>1</v>
      </c>
      <c r="I732" s="154">
        <v>9198</v>
      </c>
      <c r="J732" s="155">
        <v>29355</v>
      </c>
      <c r="K732" s="154" t="s">
        <v>654</v>
      </c>
      <c r="L732" s="154" t="s">
        <v>1974</v>
      </c>
      <c r="M732" s="4"/>
      <c r="P732" s="347"/>
      <c r="Q732" s="347"/>
      <c r="R732" s="213"/>
    </row>
    <row r="733" spans="1:19" ht="15" hidden="1" customHeight="1" x14ac:dyDescent="0.25">
      <c r="A733" s="141" t="s">
        <v>5619</v>
      </c>
      <c r="B733" s="61" t="s">
        <v>34</v>
      </c>
      <c r="C733" s="61"/>
      <c r="D733" s="61" t="s">
        <v>3419</v>
      </c>
      <c r="E733" s="61" t="s">
        <v>3420</v>
      </c>
      <c r="F733" s="61" t="s">
        <v>3421</v>
      </c>
      <c r="G733" s="61">
        <v>2887</v>
      </c>
      <c r="H733" s="61">
        <v>50</v>
      </c>
      <c r="I733" s="61">
        <v>64727</v>
      </c>
      <c r="J733" s="62">
        <v>29355</v>
      </c>
      <c r="K733" s="61" t="s">
        <v>428</v>
      </c>
      <c r="L733" s="61" t="s">
        <v>1974</v>
      </c>
      <c r="M733" s="4"/>
      <c r="P733" s="347">
        <v>51</v>
      </c>
      <c r="Q733" s="348">
        <f>P733*100%/(1000)</f>
        <v>5.0999999999999997E-2</v>
      </c>
      <c r="R733" s="213" t="s">
        <v>6754</v>
      </c>
    </row>
    <row r="734" spans="1:19" ht="15" hidden="1" customHeight="1" x14ac:dyDescent="0.25">
      <c r="A734" s="142" t="s">
        <v>5619</v>
      </c>
      <c r="B734" s="142" t="s">
        <v>249</v>
      </c>
      <c r="C734" s="142"/>
      <c r="D734" s="142" t="s">
        <v>3422</v>
      </c>
      <c r="E734" s="142" t="s">
        <v>3423</v>
      </c>
      <c r="F734" s="142" t="s">
        <v>3424</v>
      </c>
      <c r="G734" s="142">
        <v>2888</v>
      </c>
      <c r="H734" s="142">
        <v>1</v>
      </c>
      <c r="I734" s="142">
        <v>64727</v>
      </c>
      <c r="J734" s="37">
        <v>29355</v>
      </c>
      <c r="K734" s="142" t="s">
        <v>428</v>
      </c>
      <c r="L734" s="142" t="s">
        <v>1974</v>
      </c>
      <c r="M734" s="4"/>
      <c r="P734" s="347"/>
      <c r="Q734" s="347"/>
      <c r="R734" s="213" t="s">
        <v>6754</v>
      </c>
    </row>
    <row r="735" spans="1:19" ht="15" hidden="1" customHeight="1" x14ac:dyDescent="0.25">
      <c r="A735" s="152" t="s">
        <v>5620</v>
      </c>
      <c r="B735" s="57" t="s">
        <v>11</v>
      </c>
      <c r="C735" s="57" t="s">
        <v>3249</v>
      </c>
      <c r="D735" s="57" t="s">
        <v>3171</v>
      </c>
      <c r="E735" s="57" t="s">
        <v>3172</v>
      </c>
      <c r="F735" s="57" t="s">
        <v>3173</v>
      </c>
      <c r="G735" s="57">
        <v>887</v>
      </c>
      <c r="H735" s="57">
        <v>500</v>
      </c>
      <c r="I735" s="57">
        <v>64726</v>
      </c>
      <c r="J735" s="58">
        <v>29355</v>
      </c>
      <c r="K735" s="57" t="s">
        <v>522</v>
      </c>
      <c r="L735" s="57" t="s">
        <v>1974</v>
      </c>
      <c r="M735" s="4"/>
      <c r="N735" s="4"/>
      <c r="P735" s="347">
        <v>697</v>
      </c>
      <c r="Q735" s="348">
        <f>P735*100%/(1000)</f>
        <v>0.69699999999999995</v>
      </c>
      <c r="R735" s="145" t="s">
        <v>4895</v>
      </c>
    </row>
    <row r="736" spans="1:19" ht="15" hidden="1" customHeight="1" x14ac:dyDescent="0.25">
      <c r="A736" s="141" t="s">
        <v>5620</v>
      </c>
      <c r="B736" s="61" t="s">
        <v>34</v>
      </c>
      <c r="C736" s="61" t="s">
        <v>2415</v>
      </c>
      <c r="D736" s="61" t="s">
        <v>2391</v>
      </c>
      <c r="E736" s="61" t="s">
        <v>2392</v>
      </c>
      <c r="F736" s="61" t="s">
        <v>2393</v>
      </c>
      <c r="G736" s="61">
        <v>872</v>
      </c>
      <c r="H736" s="61">
        <v>192</v>
      </c>
      <c r="I736" s="61">
        <v>64726</v>
      </c>
      <c r="J736" s="62">
        <v>29355</v>
      </c>
      <c r="K736" s="61" t="s">
        <v>429</v>
      </c>
      <c r="L736" s="61" t="s">
        <v>1974</v>
      </c>
      <c r="M736" s="4"/>
      <c r="N736" s="4"/>
      <c r="P736" s="347"/>
      <c r="Q736" s="347"/>
      <c r="R736" s="183"/>
    </row>
    <row r="737" spans="1:19" ht="15" hidden="1" customHeight="1" x14ac:dyDescent="0.25">
      <c r="A737" s="147" t="s">
        <v>5620</v>
      </c>
      <c r="B737" s="20" t="s">
        <v>597</v>
      </c>
      <c r="C737" s="20" t="s">
        <v>4690</v>
      </c>
      <c r="D737" s="20" t="s">
        <v>4629</v>
      </c>
      <c r="E737" s="20" t="s">
        <v>4630</v>
      </c>
      <c r="F737" s="20" t="s">
        <v>4631</v>
      </c>
      <c r="G737" s="20">
        <v>870</v>
      </c>
      <c r="H737" s="20">
        <v>4</v>
      </c>
      <c r="I737" s="20">
        <v>64726</v>
      </c>
      <c r="J737" s="36">
        <v>29355</v>
      </c>
      <c r="K737" s="20" t="s">
        <v>428</v>
      </c>
      <c r="L737" s="20" t="s">
        <v>1974</v>
      </c>
      <c r="M737" s="4"/>
      <c r="N737" s="4"/>
      <c r="P737" s="347"/>
      <c r="Q737" s="347"/>
    </row>
    <row r="738" spans="1:19" ht="15" hidden="1" customHeight="1" x14ac:dyDescent="0.25">
      <c r="A738" s="142" t="s">
        <v>5620</v>
      </c>
      <c r="B738" s="9" t="s">
        <v>249</v>
      </c>
      <c r="C738" s="9" t="s">
        <v>2414</v>
      </c>
      <c r="D738" s="9" t="s">
        <v>2394</v>
      </c>
      <c r="E738" s="9" t="s">
        <v>2395</v>
      </c>
      <c r="F738" s="9" t="s">
        <v>2396</v>
      </c>
      <c r="G738" s="9">
        <v>845</v>
      </c>
      <c r="H738" s="9">
        <v>1</v>
      </c>
      <c r="I738" s="9">
        <v>64726</v>
      </c>
      <c r="J738" s="37">
        <v>29355</v>
      </c>
      <c r="K738" s="9" t="s">
        <v>429</v>
      </c>
      <c r="L738" s="9" t="s">
        <v>1974</v>
      </c>
      <c r="M738" s="4"/>
      <c r="N738" s="4"/>
      <c r="P738" s="347"/>
      <c r="Q738" s="347"/>
    </row>
    <row r="739" spans="1:19" ht="15" hidden="1" customHeight="1" x14ac:dyDescent="0.25">
      <c r="A739" s="141" t="s">
        <v>5621</v>
      </c>
      <c r="B739" s="61" t="s">
        <v>34</v>
      </c>
      <c r="C739" s="61" t="s">
        <v>5113</v>
      </c>
      <c r="D739" s="61" t="s">
        <v>5046</v>
      </c>
      <c r="E739" s="61" t="s">
        <v>5047</v>
      </c>
      <c r="F739" s="61" t="s">
        <v>5048</v>
      </c>
      <c r="G739" s="61">
        <v>200</v>
      </c>
      <c r="H739" s="61">
        <v>165</v>
      </c>
      <c r="I739" s="61">
        <v>9198</v>
      </c>
      <c r="J739" s="62">
        <v>29355</v>
      </c>
      <c r="K739" s="61" t="s">
        <v>429</v>
      </c>
      <c r="L739" s="61" t="s">
        <v>1974</v>
      </c>
      <c r="M739" s="4"/>
      <c r="N739" s="4"/>
      <c r="P739" s="347">
        <v>263</v>
      </c>
      <c r="Q739" s="348">
        <f>P739*100%/(1000)</f>
        <v>0.26300000000000001</v>
      </c>
    </row>
    <row r="740" spans="1:19" ht="15" hidden="1" customHeight="1" x14ac:dyDescent="0.25">
      <c r="A740" s="142" t="s">
        <v>5621</v>
      </c>
      <c r="B740" s="142" t="s">
        <v>249</v>
      </c>
      <c r="C740" s="142" t="s">
        <v>5114</v>
      </c>
      <c r="D740" s="142" t="s">
        <v>5049</v>
      </c>
      <c r="E740" s="142" t="s">
        <v>5050</v>
      </c>
      <c r="F740" s="142" t="s">
        <v>5051</v>
      </c>
      <c r="G740" s="142">
        <v>201</v>
      </c>
      <c r="H740" s="142">
        <v>1</v>
      </c>
      <c r="I740" s="142">
        <v>9198</v>
      </c>
      <c r="J740" s="37">
        <v>29355</v>
      </c>
      <c r="K740" s="142" t="s">
        <v>429</v>
      </c>
      <c r="L740" s="142" t="s">
        <v>1974</v>
      </c>
      <c r="M740" s="4"/>
      <c r="N740" s="4"/>
      <c r="P740" s="347"/>
      <c r="Q740" s="347"/>
    </row>
    <row r="741" spans="1:19" ht="15" hidden="1" customHeight="1" x14ac:dyDescent="0.25">
      <c r="A741" s="199" t="s">
        <v>5621</v>
      </c>
      <c r="B741" s="154" t="s">
        <v>3781</v>
      </c>
      <c r="C741" s="154" t="s">
        <v>5115</v>
      </c>
      <c r="D741" s="154" t="s">
        <v>5052</v>
      </c>
      <c r="E741" s="154" t="s">
        <v>5053</v>
      </c>
      <c r="F741" s="154" t="s">
        <v>5054</v>
      </c>
      <c r="G741" s="154">
        <v>202</v>
      </c>
      <c r="H741" s="154">
        <v>1</v>
      </c>
      <c r="I741" s="154">
        <v>9198</v>
      </c>
      <c r="J741" s="155">
        <v>29355</v>
      </c>
      <c r="K741" s="154" t="s">
        <v>429</v>
      </c>
      <c r="L741" s="154" t="s">
        <v>1974</v>
      </c>
      <c r="M741" s="4"/>
      <c r="N741" s="4"/>
      <c r="P741" s="347"/>
      <c r="Q741" s="347"/>
    </row>
    <row r="742" spans="1:19" ht="15" hidden="1" customHeight="1" x14ac:dyDescent="0.25">
      <c r="A742" s="152" t="s">
        <v>5621</v>
      </c>
      <c r="B742" s="57" t="s">
        <v>11</v>
      </c>
      <c r="C742" s="57" t="s">
        <v>6026</v>
      </c>
      <c r="D742" s="57" t="s">
        <v>5189</v>
      </c>
      <c r="E742" s="57" t="s">
        <v>5190</v>
      </c>
      <c r="F742" s="57" t="s">
        <v>5191</v>
      </c>
      <c r="G742" s="57">
        <v>2412</v>
      </c>
      <c r="H742" s="57">
        <v>90</v>
      </c>
      <c r="I742" s="57">
        <v>9198</v>
      </c>
      <c r="J742" s="58">
        <v>29355</v>
      </c>
      <c r="K742" s="57" t="s">
        <v>429</v>
      </c>
      <c r="L742" s="57" t="s">
        <v>1974</v>
      </c>
      <c r="M742" s="4"/>
      <c r="N742" s="4"/>
      <c r="P742" s="347"/>
      <c r="Q742" s="347"/>
    </row>
    <row r="743" spans="1:19" ht="15" hidden="1" customHeight="1" x14ac:dyDescent="0.25">
      <c r="A743" s="20" t="s">
        <v>5621</v>
      </c>
      <c r="B743" s="20" t="s">
        <v>597</v>
      </c>
      <c r="C743" s="20" t="s">
        <v>7170</v>
      </c>
      <c r="D743" s="20" t="s">
        <v>7036</v>
      </c>
      <c r="E743" s="20" t="s">
        <v>7037</v>
      </c>
      <c r="F743" s="20" t="s">
        <v>7038</v>
      </c>
      <c r="G743" s="20">
        <v>1212</v>
      </c>
      <c r="H743" s="20">
        <v>6</v>
      </c>
      <c r="I743" s="20">
        <v>9198</v>
      </c>
      <c r="J743" s="20">
        <v>29355</v>
      </c>
      <c r="K743" s="20" t="s">
        <v>429</v>
      </c>
      <c r="L743" s="20" t="s">
        <v>1974</v>
      </c>
      <c r="M743" s="4"/>
      <c r="N743" s="4"/>
      <c r="P743" s="347"/>
      <c r="Q743" s="347"/>
    </row>
    <row r="744" spans="1:19" ht="15" hidden="1" customHeight="1" x14ac:dyDescent="0.25">
      <c r="A744" s="147" t="s">
        <v>6298</v>
      </c>
      <c r="B744" s="20" t="s">
        <v>597</v>
      </c>
      <c r="C744" s="20" t="s">
        <v>6565</v>
      </c>
      <c r="D744" s="20" t="s">
        <v>6299</v>
      </c>
      <c r="E744" s="20" t="s">
        <v>6300</v>
      </c>
      <c r="F744" s="20" t="s">
        <v>6301</v>
      </c>
      <c r="G744" s="20">
        <v>1233</v>
      </c>
      <c r="H744" s="20">
        <v>10</v>
      </c>
      <c r="I744" s="20">
        <v>9198</v>
      </c>
      <c r="J744" s="36">
        <v>29355</v>
      </c>
      <c r="K744" s="20" t="s">
        <v>5666</v>
      </c>
      <c r="L744" s="20" t="s">
        <v>1974</v>
      </c>
      <c r="M744" s="4"/>
      <c r="N744" s="4"/>
      <c r="P744" s="347">
        <v>275</v>
      </c>
      <c r="Q744" s="348">
        <f>P744*100%/(1000)</f>
        <v>0.27500000000000002</v>
      </c>
    </row>
    <row r="745" spans="1:19" ht="15" hidden="1" customHeight="1" x14ac:dyDescent="0.25">
      <c r="A745" s="152" t="s">
        <v>6298</v>
      </c>
      <c r="B745" s="152" t="s">
        <v>11</v>
      </c>
      <c r="C745" s="152" t="s">
        <v>6566</v>
      </c>
      <c r="D745" s="152" t="s">
        <v>6302</v>
      </c>
      <c r="E745" s="152" t="s">
        <v>6303</v>
      </c>
      <c r="F745" s="152" t="s">
        <v>6304</v>
      </c>
      <c r="G745" s="152" t="s">
        <v>6465</v>
      </c>
      <c r="H745" s="152">
        <v>237</v>
      </c>
      <c r="I745" s="152">
        <v>9198</v>
      </c>
      <c r="J745" s="58">
        <v>29355</v>
      </c>
      <c r="K745" s="152" t="s">
        <v>5666</v>
      </c>
      <c r="L745" s="152" t="s">
        <v>1974</v>
      </c>
      <c r="M745" s="4"/>
      <c r="N745" s="4"/>
      <c r="P745" s="347"/>
      <c r="Q745" s="347"/>
    </row>
    <row r="746" spans="1:19" ht="15" hidden="1" customHeight="1" x14ac:dyDescent="0.25">
      <c r="A746" s="141" t="s">
        <v>6298</v>
      </c>
      <c r="B746" s="61" t="s">
        <v>34</v>
      </c>
      <c r="C746" s="61" t="s">
        <v>6568</v>
      </c>
      <c r="D746" s="61" t="s">
        <v>6305</v>
      </c>
      <c r="E746" s="61" t="s">
        <v>6306</v>
      </c>
      <c r="F746" s="61" t="s">
        <v>6307</v>
      </c>
      <c r="G746" s="61">
        <v>1236</v>
      </c>
      <c r="H746" s="61">
        <v>100</v>
      </c>
      <c r="I746" s="61">
        <v>9198</v>
      </c>
      <c r="J746" s="62">
        <v>29355</v>
      </c>
      <c r="K746" s="61" t="s">
        <v>5666</v>
      </c>
      <c r="L746" s="61" t="s">
        <v>1974</v>
      </c>
      <c r="M746" s="4"/>
      <c r="N746" s="4"/>
      <c r="P746" s="347"/>
      <c r="Q746" s="347"/>
    </row>
    <row r="747" spans="1:19" ht="15" hidden="1" customHeight="1" x14ac:dyDescent="0.25">
      <c r="A747" s="142" t="s">
        <v>6298</v>
      </c>
      <c r="B747" s="142" t="s">
        <v>249</v>
      </c>
      <c r="C747" s="142" t="s">
        <v>6567</v>
      </c>
      <c r="D747" s="142" t="s">
        <v>6308</v>
      </c>
      <c r="E747" s="142" t="s">
        <v>6309</v>
      </c>
      <c r="F747" s="142" t="s">
        <v>6310</v>
      </c>
      <c r="G747" s="142">
        <v>1235</v>
      </c>
      <c r="H747" s="142">
        <v>1</v>
      </c>
      <c r="I747" s="142">
        <v>9198</v>
      </c>
      <c r="J747" s="37">
        <v>29355</v>
      </c>
      <c r="K747" s="142" t="s">
        <v>5666</v>
      </c>
      <c r="L747" s="142" t="s">
        <v>1974</v>
      </c>
      <c r="M747" s="4"/>
      <c r="N747" s="4"/>
      <c r="P747" s="347"/>
      <c r="Q747" s="347"/>
    </row>
    <row r="748" spans="1:19" ht="15" hidden="1" customHeight="1" x14ac:dyDescent="0.25">
      <c r="A748" s="199" t="s">
        <v>6298</v>
      </c>
      <c r="B748" s="154" t="s">
        <v>3781</v>
      </c>
      <c r="C748" s="154" t="s">
        <v>6569</v>
      </c>
      <c r="D748" s="154" t="s">
        <v>6311</v>
      </c>
      <c r="E748" s="154" t="s">
        <v>6312</v>
      </c>
      <c r="F748" s="154" t="s">
        <v>6313</v>
      </c>
      <c r="G748" s="154" t="s">
        <v>6466</v>
      </c>
      <c r="H748" s="154">
        <v>2</v>
      </c>
      <c r="I748" s="154">
        <v>9198</v>
      </c>
      <c r="J748" s="155">
        <v>29355</v>
      </c>
      <c r="K748" s="154" t="s">
        <v>5666</v>
      </c>
      <c r="L748" s="154" t="s">
        <v>1974</v>
      </c>
      <c r="M748" s="4"/>
      <c r="N748" s="4"/>
      <c r="P748" s="347"/>
      <c r="Q748" s="347"/>
    </row>
    <row r="749" spans="1:19" ht="14.25" hidden="1" customHeight="1" x14ac:dyDescent="0.25">
      <c r="A749" s="147" t="s">
        <v>5622</v>
      </c>
      <c r="B749" s="20" t="s">
        <v>597</v>
      </c>
      <c r="C749" s="20" t="s">
        <v>4361</v>
      </c>
      <c r="D749" s="20" t="s">
        <v>4269</v>
      </c>
      <c r="E749" s="20" t="s">
        <v>4270</v>
      </c>
      <c r="F749" s="20" t="s">
        <v>4271</v>
      </c>
      <c r="G749" s="20">
        <v>338</v>
      </c>
      <c r="H749" s="20">
        <v>2</v>
      </c>
      <c r="I749" s="20">
        <v>9198</v>
      </c>
      <c r="J749" s="36">
        <v>29355</v>
      </c>
      <c r="K749" s="20" t="s">
        <v>428</v>
      </c>
      <c r="L749" s="20" t="s">
        <v>1974</v>
      </c>
      <c r="M749" s="4"/>
      <c r="N749" s="4"/>
      <c r="P749" s="347">
        <v>91</v>
      </c>
      <c r="Q749" s="348">
        <f>P749*100%/(1000)</f>
        <v>9.0999999999999998E-2</v>
      </c>
      <c r="R749" s="213"/>
      <c r="S749" s="129"/>
    </row>
    <row r="750" spans="1:19" ht="15" hidden="1" customHeight="1" x14ac:dyDescent="0.25">
      <c r="A750" s="141" t="s">
        <v>5622</v>
      </c>
      <c r="B750" s="61" t="s">
        <v>34</v>
      </c>
      <c r="C750" s="61" t="s">
        <v>4362</v>
      </c>
      <c r="D750" s="61" t="s">
        <v>4272</v>
      </c>
      <c r="E750" s="61" t="s">
        <v>4273</v>
      </c>
      <c r="F750" s="61" t="s">
        <v>4274</v>
      </c>
      <c r="G750" s="61">
        <v>339</v>
      </c>
      <c r="H750" s="61">
        <v>22</v>
      </c>
      <c r="I750" s="61">
        <v>9198</v>
      </c>
      <c r="J750" s="62">
        <v>29355</v>
      </c>
      <c r="K750" s="61" t="s">
        <v>428</v>
      </c>
      <c r="L750" s="61" t="s">
        <v>1974</v>
      </c>
      <c r="M750" s="4"/>
      <c r="P750" s="347"/>
      <c r="Q750" s="347"/>
      <c r="R750" s="213"/>
    </row>
    <row r="751" spans="1:19" ht="15" hidden="1" customHeight="1" x14ac:dyDescent="0.25">
      <c r="A751" s="142" t="s">
        <v>5622</v>
      </c>
      <c r="B751" s="9" t="s">
        <v>249</v>
      </c>
      <c r="C751" s="9" t="s">
        <v>4363</v>
      </c>
      <c r="D751" s="9" t="s">
        <v>4275</v>
      </c>
      <c r="E751" s="9" t="s">
        <v>4276</v>
      </c>
      <c r="F751" s="9" t="s">
        <v>4277</v>
      </c>
      <c r="G751" s="9">
        <v>337</v>
      </c>
      <c r="H751" s="9">
        <v>1</v>
      </c>
      <c r="I751" s="9">
        <v>9198</v>
      </c>
      <c r="J751" s="37">
        <v>29355</v>
      </c>
      <c r="K751" s="9" t="s">
        <v>428</v>
      </c>
      <c r="L751" s="9" t="s">
        <v>1974</v>
      </c>
      <c r="M751" s="4"/>
      <c r="P751" s="347"/>
      <c r="Q751" s="347"/>
      <c r="R751" s="213"/>
    </row>
    <row r="752" spans="1:19" ht="15" hidden="1" customHeight="1" x14ac:dyDescent="0.25">
      <c r="A752" s="199" t="s">
        <v>5622</v>
      </c>
      <c r="B752" s="154" t="s">
        <v>3781</v>
      </c>
      <c r="C752" s="154" t="s">
        <v>4364</v>
      </c>
      <c r="D752" s="154" t="s">
        <v>4284</v>
      </c>
      <c r="E752" s="154" t="s">
        <v>4285</v>
      </c>
      <c r="F752" s="154" t="s">
        <v>4286</v>
      </c>
      <c r="G752" s="154">
        <v>340</v>
      </c>
      <c r="H752" s="154">
        <v>1</v>
      </c>
      <c r="I752" s="154">
        <v>9198</v>
      </c>
      <c r="J752" s="155">
        <v>29355</v>
      </c>
      <c r="K752" s="154" t="s">
        <v>428</v>
      </c>
      <c r="L752" s="154" t="s">
        <v>1974</v>
      </c>
      <c r="M752" s="4"/>
      <c r="N752" s="4"/>
      <c r="P752" s="347"/>
      <c r="Q752" s="347"/>
      <c r="R752" s="183"/>
      <c r="S752" s="44"/>
    </row>
    <row r="753" spans="1:19" ht="15" hidden="1" customHeight="1" x14ac:dyDescent="0.25">
      <c r="A753" s="152" t="s">
        <v>5622</v>
      </c>
      <c r="B753" s="57" t="s">
        <v>11</v>
      </c>
      <c r="C753" s="57" t="s">
        <v>4448</v>
      </c>
      <c r="D753" s="57" t="s">
        <v>4373</v>
      </c>
      <c r="E753" s="57" t="s">
        <v>4374</v>
      </c>
      <c r="F753" s="57" t="s">
        <v>4375</v>
      </c>
      <c r="G753" s="57">
        <v>501</v>
      </c>
      <c r="H753" s="57">
        <v>65</v>
      </c>
      <c r="I753" s="57">
        <v>9198</v>
      </c>
      <c r="J753" s="58">
        <v>29355</v>
      </c>
      <c r="K753" s="57" t="s">
        <v>428</v>
      </c>
      <c r="L753" s="57" t="s">
        <v>1974</v>
      </c>
      <c r="M753" s="4"/>
      <c r="N753" s="4"/>
      <c r="P753" s="347"/>
      <c r="Q753" s="347"/>
    </row>
    <row r="754" spans="1:19" ht="15" hidden="1" customHeight="1" x14ac:dyDescent="0.25">
      <c r="A754" s="141" t="s">
        <v>5623</v>
      </c>
      <c r="B754" s="61" t="s">
        <v>34</v>
      </c>
      <c r="C754" s="61" t="s">
        <v>4350</v>
      </c>
      <c r="D754" s="61" t="s">
        <v>3771</v>
      </c>
      <c r="E754" s="61" t="s">
        <v>3772</v>
      </c>
      <c r="F754" s="61" t="s">
        <v>3773</v>
      </c>
      <c r="G754" s="61">
        <v>3185</v>
      </c>
      <c r="H754" s="61">
        <v>31</v>
      </c>
      <c r="I754" s="61">
        <v>9198</v>
      </c>
      <c r="J754" s="62">
        <v>29355</v>
      </c>
      <c r="K754" s="61" t="s">
        <v>430</v>
      </c>
      <c r="L754" s="61" t="s">
        <v>1974</v>
      </c>
      <c r="M754" s="4"/>
      <c r="N754" s="4"/>
      <c r="P754" s="347">
        <v>32</v>
      </c>
      <c r="Q754" s="348">
        <f>P754*100%/(1000)</f>
        <v>3.2000000000000001E-2</v>
      </c>
    </row>
    <row r="755" spans="1:19" ht="15" hidden="1" customHeight="1" x14ac:dyDescent="0.25">
      <c r="A755" s="142" t="s">
        <v>5623</v>
      </c>
      <c r="B755" s="9" t="s">
        <v>249</v>
      </c>
      <c r="C755" s="9" t="s">
        <v>4351</v>
      </c>
      <c r="D755" s="9" t="s">
        <v>4027</v>
      </c>
      <c r="E755" s="9" t="s">
        <v>4028</v>
      </c>
      <c r="F755" s="9" t="s">
        <v>4029</v>
      </c>
      <c r="G755" s="9">
        <v>2315</v>
      </c>
      <c r="H755" s="9">
        <v>1</v>
      </c>
      <c r="I755" s="9">
        <v>9198</v>
      </c>
      <c r="J755" s="37">
        <v>29355</v>
      </c>
      <c r="K755" s="9" t="s">
        <v>430</v>
      </c>
      <c r="L755" s="9" t="s">
        <v>1974</v>
      </c>
      <c r="M755" s="4"/>
      <c r="N755" s="4"/>
      <c r="P755" s="347"/>
      <c r="Q755" s="347"/>
    </row>
    <row r="756" spans="1:19" ht="15" hidden="1" customHeight="1" x14ac:dyDescent="0.25">
      <c r="A756" s="147" t="s">
        <v>5624</v>
      </c>
      <c r="B756" s="20" t="s">
        <v>597</v>
      </c>
      <c r="C756" s="20" t="s">
        <v>1644</v>
      </c>
      <c r="D756" s="20" t="s">
        <v>2498</v>
      </c>
      <c r="E756" s="20" t="s">
        <v>2501</v>
      </c>
      <c r="F756" s="20" t="s">
        <v>2504</v>
      </c>
      <c r="G756" s="20">
        <v>3236</v>
      </c>
      <c r="H756" s="20">
        <v>20</v>
      </c>
      <c r="I756" s="20">
        <v>9198</v>
      </c>
      <c r="J756" s="36">
        <v>65232</v>
      </c>
      <c r="K756" s="20" t="s">
        <v>432</v>
      </c>
      <c r="L756" s="20" t="s">
        <v>1974</v>
      </c>
      <c r="M756" s="4"/>
      <c r="N756" s="4"/>
      <c r="O756" s="4"/>
      <c r="P756" s="347">
        <v>376</v>
      </c>
      <c r="Q756" s="348">
        <f>P756*100%/(1000)</f>
        <v>0.376</v>
      </c>
      <c r="R756" s="184"/>
      <c r="S756" s="4"/>
    </row>
    <row r="757" spans="1:19" ht="15" hidden="1" customHeight="1" x14ac:dyDescent="0.25">
      <c r="A757" s="141" t="s">
        <v>5624</v>
      </c>
      <c r="B757" s="61" t="s">
        <v>34</v>
      </c>
      <c r="C757" s="61" t="s">
        <v>821</v>
      </c>
      <c r="D757" s="61" t="s">
        <v>2499</v>
      </c>
      <c r="E757" s="61" t="s">
        <v>2502</v>
      </c>
      <c r="F757" s="61" t="s">
        <v>2505</v>
      </c>
      <c r="G757" s="61">
        <v>3237</v>
      </c>
      <c r="H757" s="61">
        <v>236</v>
      </c>
      <c r="I757" s="61">
        <v>9198</v>
      </c>
      <c r="J757" s="62">
        <v>65232</v>
      </c>
      <c r="K757" s="61" t="s">
        <v>432</v>
      </c>
      <c r="L757" s="61" t="s">
        <v>1974</v>
      </c>
      <c r="M757" s="4"/>
      <c r="N757" s="4"/>
      <c r="P757" s="347"/>
      <c r="Q757" s="347"/>
    </row>
    <row r="758" spans="1:19" ht="15" hidden="1" customHeight="1" x14ac:dyDescent="0.25">
      <c r="A758" s="149" t="s">
        <v>5624</v>
      </c>
      <c r="B758" s="46" t="s">
        <v>1014</v>
      </c>
      <c r="C758" s="46" t="s">
        <v>1845</v>
      </c>
      <c r="D758" s="46" t="s">
        <v>2500</v>
      </c>
      <c r="E758" s="46" t="s">
        <v>2503</v>
      </c>
      <c r="F758" s="46" t="s">
        <v>2506</v>
      </c>
      <c r="G758" s="46">
        <v>3238</v>
      </c>
      <c r="H758" s="46">
        <v>20</v>
      </c>
      <c r="I758" s="46">
        <v>9198</v>
      </c>
      <c r="J758" s="47">
        <v>65232</v>
      </c>
      <c r="K758" s="46" t="s">
        <v>428</v>
      </c>
      <c r="L758" s="46" t="s">
        <v>1974</v>
      </c>
      <c r="M758" s="4"/>
      <c r="N758" s="4"/>
      <c r="P758" s="347"/>
      <c r="Q758" s="347"/>
    </row>
    <row r="759" spans="1:19" ht="15" hidden="1" customHeight="1" x14ac:dyDescent="0.25">
      <c r="A759" s="165" t="s">
        <v>5624</v>
      </c>
      <c r="B759" s="167" t="s">
        <v>3825</v>
      </c>
      <c r="C759" s="167" t="s">
        <v>4349</v>
      </c>
      <c r="D759" s="168" t="s">
        <v>4161</v>
      </c>
      <c r="E759" s="168" t="s">
        <v>4162</v>
      </c>
      <c r="F759" s="168" t="s">
        <v>4163</v>
      </c>
      <c r="G759" s="168">
        <v>3718</v>
      </c>
      <c r="H759" s="168">
        <v>100</v>
      </c>
      <c r="I759" s="168">
        <v>9198</v>
      </c>
      <c r="J759" s="166">
        <v>65232</v>
      </c>
      <c r="K759" s="168" t="s">
        <v>428</v>
      </c>
      <c r="L759" s="168" t="s">
        <v>1974</v>
      </c>
      <c r="M759" s="4"/>
      <c r="N759" s="4"/>
      <c r="P759" s="347"/>
      <c r="Q759" s="347"/>
    </row>
    <row r="760" spans="1:19" ht="15" hidden="1" customHeight="1" x14ac:dyDescent="0.25">
      <c r="A760" s="147" t="s">
        <v>5625</v>
      </c>
      <c r="B760" s="20" t="s">
        <v>597</v>
      </c>
      <c r="C760" s="20" t="s">
        <v>822</v>
      </c>
      <c r="D760" s="20" t="s">
        <v>586</v>
      </c>
      <c r="E760" s="20" t="s">
        <v>587</v>
      </c>
      <c r="F760" s="20" t="s">
        <v>585</v>
      </c>
      <c r="G760" s="20">
        <v>723</v>
      </c>
      <c r="H760" s="20">
        <v>6</v>
      </c>
      <c r="I760" s="20">
        <v>9198</v>
      </c>
      <c r="J760" s="36">
        <v>65008</v>
      </c>
      <c r="K760" s="20" t="s">
        <v>434</v>
      </c>
      <c r="L760" s="20" t="s">
        <v>1974</v>
      </c>
      <c r="M760" s="4"/>
      <c r="N760" s="4"/>
      <c r="P760" s="347">
        <v>16</v>
      </c>
      <c r="Q760" s="348">
        <f>P760*100%/(1000)</f>
        <v>1.6E-2</v>
      </c>
    </row>
    <row r="761" spans="1:19" s="4" customFormat="1" ht="15" hidden="1" customHeight="1" x14ac:dyDescent="0.25">
      <c r="A761" s="141" t="s">
        <v>5625</v>
      </c>
      <c r="B761" s="61" t="s">
        <v>34</v>
      </c>
      <c r="C761" s="61" t="s">
        <v>1830</v>
      </c>
      <c r="D761" s="61" t="s">
        <v>1789</v>
      </c>
      <c r="E761" s="61" t="s">
        <v>1790</v>
      </c>
      <c r="F761" s="61" t="s">
        <v>1791</v>
      </c>
      <c r="G761" s="61">
        <v>1225</v>
      </c>
      <c r="H761" s="61">
        <v>15</v>
      </c>
      <c r="I761" s="61">
        <v>9198</v>
      </c>
      <c r="J761" s="62">
        <v>65008</v>
      </c>
      <c r="K761" s="61" t="s">
        <v>434</v>
      </c>
      <c r="L761" s="61" t="s">
        <v>1974</v>
      </c>
      <c r="O761" s="1"/>
      <c r="P761" s="347"/>
      <c r="Q761" s="347"/>
      <c r="R761" s="3"/>
      <c r="S761" s="1"/>
    </row>
    <row r="762" spans="1:19" ht="15" hidden="1" customHeight="1" x14ac:dyDescent="0.25">
      <c r="A762" s="147" t="s">
        <v>5626</v>
      </c>
      <c r="B762" s="20" t="s">
        <v>597</v>
      </c>
      <c r="C762" s="20" t="s">
        <v>1676</v>
      </c>
      <c r="D762" s="20" t="s">
        <v>1638</v>
      </c>
      <c r="E762" s="20" t="s">
        <v>1639</v>
      </c>
      <c r="F762" s="20" t="s">
        <v>1640</v>
      </c>
      <c r="G762" s="20">
        <v>2814</v>
      </c>
      <c r="H762" s="20">
        <v>15</v>
      </c>
      <c r="I762" s="20">
        <v>9198</v>
      </c>
      <c r="J762" s="36">
        <v>29355</v>
      </c>
      <c r="K762" s="20" t="s">
        <v>430</v>
      </c>
      <c r="L762" s="20" t="s">
        <v>1974</v>
      </c>
      <c r="M762" s="4"/>
      <c r="N762" s="4"/>
      <c r="O762" s="4"/>
      <c r="P762" s="347">
        <v>152</v>
      </c>
      <c r="Q762" s="348">
        <f>P762*100%/(1000)</f>
        <v>0.152</v>
      </c>
      <c r="R762" s="214"/>
      <c r="S762" s="4"/>
    </row>
    <row r="763" spans="1:19" ht="15" hidden="1" customHeight="1" x14ac:dyDescent="0.25">
      <c r="A763" s="141" t="s">
        <v>5626</v>
      </c>
      <c r="B763" s="61" t="s">
        <v>34</v>
      </c>
      <c r="C763" s="61" t="s">
        <v>1395</v>
      </c>
      <c r="D763" s="61" t="s">
        <v>1243</v>
      </c>
      <c r="E763" s="61" t="s">
        <v>1244</v>
      </c>
      <c r="F763" s="61" t="s">
        <v>1245</v>
      </c>
      <c r="G763" s="61">
        <v>1516</v>
      </c>
      <c r="H763" s="61">
        <v>120</v>
      </c>
      <c r="I763" s="61">
        <v>9198</v>
      </c>
      <c r="J763" s="62">
        <v>29355</v>
      </c>
      <c r="K763" s="61" t="s">
        <v>430</v>
      </c>
      <c r="L763" s="61" t="s">
        <v>1974</v>
      </c>
      <c r="M763" s="4"/>
      <c r="N763" s="4"/>
      <c r="P763" s="347"/>
      <c r="Q763" s="347"/>
    </row>
    <row r="764" spans="1:19" ht="15" hidden="1" customHeight="1" x14ac:dyDescent="0.25">
      <c r="A764" s="149" t="s">
        <v>5626</v>
      </c>
      <c r="B764" s="46" t="s">
        <v>1014</v>
      </c>
      <c r="C764" s="46" t="s">
        <v>1396</v>
      </c>
      <c r="D764" s="46" t="s">
        <v>1317</v>
      </c>
      <c r="E764" s="46" t="s">
        <v>1318</v>
      </c>
      <c r="F764" s="46" t="s">
        <v>1319</v>
      </c>
      <c r="G764" s="46">
        <v>1503</v>
      </c>
      <c r="H764" s="46">
        <v>15</v>
      </c>
      <c r="I764" s="46">
        <v>9198</v>
      </c>
      <c r="J764" s="47">
        <v>29355</v>
      </c>
      <c r="K764" s="46" t="s">
        <v>428</v>
      </c>
      <c r="L764" s="46" t="s">
        <v>1974</v>
      </c>
      <c r="M764" s="4"/>
      <c r="N764" s="4"/>
      <c r="P764" s="347"/>
      <c r="Q764" s="347"/>
    </row>
    <row r="765" spans="1:19" ht="15" hidden="1" customHeight="1" x14ac:dyDescent="0.25">
      <c r="A765" s="199" t="s">
        <v>5626</v>
      </c>
      <c r="B765" s="154" t="s">
        <v>3781</v>
      </c>
      <c r="C765" s="154" t="s">
        <v>4852</v>
      </c>
      <c r="D765" s="154" t="s">
        <v>4813</v>
      </c>
      <c r="E765" s="154" t="s">
        <v>4814</v>
      </c>
      <c r="F765" s="154" t="s">
        <v>4815</v>
      </c>
      <c r="G765" s="154">
        <v>2502</v>
      </c>
      <c r="H765" s="154">
        <v>1</v>
      </c>
      <c r="I765" s="154">
        <v>9198</v>
      </c>
      <c r="J765" s="155">
        <v>29355</v>
      </c>
      <c r="K765" s="154" t="s">
        <v>654</v>
      </c>
      <c r="L765" s="154" t="s">
        <v>1974</v>
      </c>
      <c r="M765" s="4"/>
      <c r="N765" s="4"/>
      <c r="P765" s="347"/>
      <c r="Q765" s="347"/>
    </row>
    <row r="766" spans="1:19" ht="15" hidden="1" customHeight="1" x14ac:dyDescent="0.25">
      <c r="A766" s="142" t="s">
        <v>5626</v>
      </c>
      <c r="B766" s="142" t="s">
        <v>249</v>
      </c>
      <c r="C766" s="142" t="s">
        <v>6498</v>
      </c>
      <c r="D766" s="142" t="s">
        <v>6317</v>
      </c>
      <c r="E766" s="142" t="s">
        <v>6318</v>
      </c>
      <c r="F766" s="142" t="s">
        <v>6319</v>
      </c>
      <c r="G766" s="142">
        <v>2678</v>
      </c>
      <c r="H766" s="142">
        <v>1</v>
      </c>
      <c r="I766" s="142">
        <v>9198</v>
      </c>
      <c r="J766" s="142">
        <v>29355</v>
      </c>
      <c r="K766" s="142" t="s">
        <v>654</v>
      </c>
      <c r="L766" s="142" t="s">
        <v>1974</v>
      </c>
      <c r="M766" s="4"/>
      <c r="N766" s="4"/>
      <c r="P766" s="347"/>
      <c r="Q766" s="347"/>
    </row>
    <row r="767" spans="1:19" ht="15" hidden="1" customHeight="1" x14ac:dyDescent="0.25">
      <c r="A767" s="147" t="s">
        <v>5627</v>
      </c>
      <c r="B767" s="20" t="s">
        <v>597</v>
      </c>
      <c r="C767" s="20" t="s">
        <v>4956</v>
      </c>
      <c r="D767" s="20" t="s">
        <v>4544</v>
      </c>
      <c r="E767" s="20" t="s">
        <v>4545</v>
      </c>
      <c r="F767" s="20" t="s">
        <v>4546</v>
      </c>
      <c r="G767" s="20">
        <v>221</v>
      </c>
      <c r="H767" s="20">
        <v>4</v>
      </c>
      <c r="I767" s="20">
        <v>9198</v>
      </c>
      <c r="J767" s="36">
        <v>29355</v>
      </c>
      <c r="K767" s="20" t="s">
        <v>1417</v>
      </c>
      <c r="L767" s="20" t="s">
        <v>1974</v>
      </c>
      <c r="M767" s="4"/>
      <c r="N767" s="4"/>
      <c r="P767" s="347">
        <v>206</v>
      </c>
      <c r="Q767" s="348">
        <f>P767*100%/(1000)</f>
        <v>0.20599999999999999</v>
      </c>
      <c r="R767" s="183"/>
    </row>
    <row r="768" spans="1:19" ht="15" hidden="1" customHeight="1" x14ac:dyDescent="0.25">
      <c r="A768" s="141" t="s">
        <v>5627</v>
      </c>
      <c r="B768" s="61" t="s">
        <v>34</v>
      </c>
      <c r="C768" s="61" t="s">
        <v>4957</v>
      </c>
      <c r="D768" s="61" t="s">
        <v>4547</v>
      </c>
      <c r="E768" s="61" t="s">
        <v>4548</v>
      </c>
      <c r="F768" s="61" t="s">
        <v>4549</v>
      </c>
      <c r="G768" s="61">
        <v>222</v>
      </c>
      <c r="H768" s="61">
        <v>50</v>
      </c>
      <c r="I768" s="61">
        <v>9198</v>
      </c>
      <c r="J768" s="62">
        <v>29355</v>
      </c>
      <c r="K768" s="61" t="s">
        <v>1417</v>
      </c>
      <c r="L768" s="61" t="s">
        <v>1974</v>
      </c>
      <c r="M768" s="4"/>
      <c r="N768" s="4"/>
      <c r="P768" s="347"/>
      <c r="Q768" s="347"/>
    </row>
    <row r="769" spans="1:19" ht="15" hidden="1" customHeight="1" x14ac:dyDescent="0.25">
      <c r="A769" s="142" t="s">
        <v>5627</v>
      </c>
      <c r="B769" s="9" t="s">
        <v>249</v>
      </c>
      <c r="C769" s="9" t="s">
        <v>4958</v>
      </c>
      <c r="D769" s="9" t="s">
        <v>4550</v>
      </c>
      <c r="E769" s="9" t="s">
        <v>4551</v>
      </c>
      <c r="F769" s="9" t="s">
        <v>4552</v>
      </c>
      <c r="G769" s="9">
        <v>223</v>
      </c>
      <c r="H769" s="9">
        <v>1</v>
      </c>
      <c r="I769" s="9">
        <v>9198</v>
      </c>
      <c r="J769" s="37">
        <v>29355</v>
      </c>
      <c r="K769" s="9" t="s">
        <v>1417</v>
      </c>
      <c r="L769" s="9" t="s">
        <v>1974</v>
      </c>
      <c r="M769" s="4"/>
      <c r="N769" s="4"/>
      <c r="P769" s="347"/>
      <c r="Q769" s="347"/>
    </row>
    <row r="770" spans="1:19" ht="15" hidden="1" customHeight="1" x14ac:dyDescent="0.25">
      <c r="A770" s="152" t="s">
        <v>5627</v>
      </c>
      <c r="B770" s="57" t="s">
        <v>11</v>
      </c>
      <c r="C770" s="57" t="s">
        <v>7417</v>
      </c>
      <c r="D770" s="57" t="s">
        <v>7136</v>
      </c>
      <c r="E770" s="57" t="s">
        <v>7137</v>
      </c>
      <c r="F770" s="57" t="s">
        <v>7138</v>
      </c>
      <c r="G770" s="57">
        <v>653</v>
      </c>
      <c r="H770" s="57">
        <v>150</v>
      </c>
      <c r="I770" s="57">
        <v>9198</v>
      </c>
      <c r="J770" s="58">
        <v>29355</v>
      </c>
      <c r="K770" s="57" t="s">
        <v>1417</v>
      </c>
      <c r="L770" s="57" t="s">
        <v>1974</v>
      </c>
      <c r="M770" s="4"/>
      <c r="N770" s="4"/>
      <c r="P770" s="347"/>
      <c r="Q770" s="347"/>
    </row>
    <row r="771" spans="1:19" ht="15" hidden="1" customHeight="1" x14ac:dyDescent="0.25">
      <c r="A771" s="199" t="s">
        <v>5627</v>
      </c>
      <c r="B771" s="154" t="s">
        <v>3781</v>
      </c>
      <c r="C771" s="154" t="s">
        <v>4959</v>
      </c>
      <c r="D771" s="154" t="s">
        <v>4553</v>
      </c>
      <c r="E771" s="154" t="s">
        <v>4554</v>
      </c>
      <c r="F771" s="154" t="s">
        <v>4555</v>
      </c>
      <c r="G771" s="154">
        <v>224</v>
      </c>
      <c r="H771" s="154">
        <v>1</v>
      </c>
      <c r="I771" s="154">
        <v>9198</v>
      </c>
      <c r="J771" s="155">
        <v>29355</v>
      </c>
      <c r="K771" s="154" t="s">
        <v>1417</v>
      </c>
      <c r="L771" s="154" t="s">
        <v>1974</v>
      </c>
      <c r="M771" s="4"/>
      <c r="N771" s="4"/>
      <c r="P771" s="347"/>
      <c r="Q771" s="347"/>
      <c r="R771" s="183"/>
      <c r="S771" s="44"/>
    </row>
    <row r="772" spans="1:19" ht="15" hidden="1" customHeight="1" x14ac:dyDescent="0.25">
      <c r="A772" s="147" t="s">
        <v>5628</v>
      </c>
      <c r="B772" s="20" t="s">
        <v>597</v>
      </c>
      <c r="C772" s="20" t="s">
        <v>4309</v>
      </c>
      <c r="D772" s="20" t="s">
        <v>3957</v>
      </c>
      <c r="E772" s="20" t="s">
        <v>3958</v>
      </c>
      <c r="F772" s="20" t="s">
        <v>3959</v>
      </c>
      <c r="G772" s="20">
        <v>300</v>
      </c>
      <c r="H772" s="20">
        <v>2</v>
      </c>
      <c r="I772" s="20">
        <v>9198</v>
      </c>
      <c r="J772" s="36">
        <v>29355</v>
      </c>
      <c r="K772" s="20" t="s">
        <v>4002</v>
      </c>
      <c r="L772" s="20" t="s">
        <v>1974</v>
      </c>
      <c r="M772" s="4"/>
      <c r="N772" s="4"/>
      <c r="P772" s="347">
        <v>57</v>
      </c>
      <c r="Q772" s="348">
        <f>P772*100%/(1000)</f>
        <v>5.7000000000000002E-2</v>
      </c>
    </row>
    <row r="773" spans="1:19" ht="15" hidden="1" customHeight="1" x14ac:dyDescent="0.25">
      <c r="A773" s="141" t="s">
        <v>5628</v>
      </c>
      <c r="B773" s="61" t="s">
        <v>34</v>
      </c>
      <c r="C773" s="61" t="s">
        <v>4310</v>
      </c>
      <c r="D773" s="61" t="s">
        <v>3960</v>
      </c>
      <c r="E773" s="61" t="s">
        <v>3961</v>
      </c>
      <c r="F773" s="61" t="s">
        <v>3962</v>
      </c>
      <c r="G773" s="61">
        <v>301</v>
      </c>
      <c r="H773" s="61">
        <v>53</v>
      </c>
      <c r="I773" s="61">
        <v>9198</v>
      </c>
      <c r="J773" s="62">
        <v>29355</v>
      </c>
      <c r="K773" s="61" t="s">
        <v>4002</v>
      </c>
      <c r="L773" s="61" t="s">
        <v>1974</v>
      </c>
      <c r="M773" s="4"/>
      <c r="N773" s="4"/>
      <c r="P773" s="347"/>
      <c r="Q773" s="347"/>
      <c r="R773" s="183"/>
    </row>
    <row r="774" spans="1:19" ht="15" hidden="1" customHeight="1" x14ac:dyDescent="0.25">
      <c r="A774" s="142" t="s">
        <v>5628</v>
      </c>
      <c r="B774" s="9" t="s">
        <v>249</v>
      </c>
      <c r="C774" s="9" t="s">
        <v>4311</v>
      </c>
      <c r="D774" s="9" t="s">
        <v>3963</v>
      </c>
      <c r="E774" s="9" t="s">
        <v>3964</v>
      </c>
      <c r="F774" s="9" t="s">
        <v>3965</v>
      </c>
      <c r="G774" s="9">
        <v>303</v>
      </c>
      <c r="H774" s="9">
        <v>1</v>
      </c>
      <c r="I774" s="9">
        <v>9198</v>
      </c>
      <c r="J774" s="37">
        <v>29355</v>
      </c>
      <c r="K774" s="9" t="s">
        <v>4002</v>
      </c>
      <c r="L774" s="9" t="s">
        <v>1974</v>
      </c>
      <c r="M774" s="4"/>
      <c r="N774" s="4"/>
      <c r="P774" s="347"/>
      <c r="Q774" s="347"/>
    </row>
    <row r="775" spans="1:19" ht="15" hidden="1" customHeight="1" x14ac:dyDescent="0.25">
      <c r="A775" s="199" t="s">
        <v>5628</v>
      </c>
      <c r="B775" s="154" t="s">
        <v>3781</v>
      </c>
      <c r="C775" s="154" t="s">
        <v>4312</v>
      </c>
      <c r="D775" s="154" t="s">
        <v>3966</v>
      </c>
      <c r="E775" s="154" t="s">
        <v>3967</v>
      </c>
      <c r="F775" s="154" t="s">
        <v>3968</v>
      </c>
      <c r="G775" s="154">
        <v>302</v>
      </c>
      <c r="H775" s="154">
        <v>1</v>
      </c>
      <c r="I775" s="154">
        <v>9198</v>
      </c>
      <c r="J775" s="155">
        <v>29355</v>
      </c>
      <c r="K775" s="154" t="s">
        <v>4002</v>
      </c>
      <c r="L775" s="154" t="s">
        <v>1974</v>
      </c>
      <c r="M775" s="4"/>
      <c r="N775" s="4"/>
      <c r="P775" s="347"/>
      <c r="Q775" s="347"/>
    </row>
    <row r="776" spans="1:19" ht="15" hidden="1" customHeight="1" x14ac:dyDescent="0.25">
      <c r="A776" s="152" t="s">
        <v>5629</v>
      </c>
      <c r="B776" s="57" t="s">
        <v>11</v>
      </c>
      <c r="C776" s="57" t="s">
        <v>2952</v>
      </c>
      <c r="D776" s="57" t="s">
        <v>2947</v>
      </c>
      <c r="E776" s="57" t="s">
        <v>2948</v>
      </c>
      <c r="F776" s="57" t="s">
        <v>2949</v>
      </c>
      <c r="G776" s="57">
        <v>701</v>
      </c>
      <c r="H776" s="57">
        <v>358</v>
      </c>
      <c r="I776" s="57">
        <v>9198</v>
      </c>
      <c r="J776" s="58">
        <v>29355</v>
      </c>
      <c r="K776" s="57" t="s">
        <v>433</v>
      </c>
      <c r="L776" s="57" t="s">
        <v>1974</v>
      </c>
      <c r="M776" s="4"/>
      <c r="N776" s="4"/>
      <c r="P776" s="347">
        <v>425</v>
      </c>
      <c r="Q776" s="348">
        <f>P776*100%/(1000)</f>
        <v>0.42499999999999999</v>
      </c>
    </row>
    <row r="777" spans="1:19" s="4" customFormat="1" ht="15" hidden="1" customHeight="1" x14ac:dyDescent="0.25">
      <c r="A777" s="141" t="s">
        <v>5629</v>
      </c>
      <c r="B777" s="61" t="s">
        <v>34</v>
      </c>
      <c r="C777" s="61" t="s">
        <v>1335</v>
      </c>
      <c r="D777" s="61" t="s">
        <v>1261</v>
      </c>
      <c r="E777" s="61" t="s">
        <v>1262</v>
      </c>
      <c r="F777" s="61" t="s">
        <v>1263</v>
      </c>
      <c r="G777" s="61">
        <v>699</v>
      </c>
      <c r="H777" s="61">
        <v>66</v>
      </c>
      <c r="I777" s="61">
        <v>9198</v>
      </c>
      <c r="J777" s="62">
        <v>29355</v>
      </c>
      <c r="K777" s="61" t="s">
        <v>436</v>
      </c>
      <c r="L777" s="61" t="s">
        <v>1974</v>
      </c>
      <c r="O777" s="1"/>
      <c r="P777" s="347"/>
      <c r="Q777" s="347"/>
      <c r="R777" s="183"/>
      <c r="S777" s="1"/>
    </row>
    <row r="778" spans="1:19" ht="15" hidden="1" customHeight="1" x14ac:dyDescent="0.25">
      <c r="A778" s="142" t="s">
        <v>5629</v>
      </c>
      <c r="B778" s="9" t="s">
        <v>249</v>
      </c>
      <c r="C778" s="9" t="s">
        <v>1336</v>
      </c>
      <c r="D778" s="9" t="s">
        <v>1264</v>
      </c>
      <c r="E778" s="9" t="s">
        <v>1265</v>
      </c>
      <c r="F778" s="9" t="s">
        <v>1266</v>
      </c>
      <c r="G778" s="9">
        <v>700</v>
      </c>
      <c r="H778" s="9">
        <v>1</v>
      </c>
      <c r="I778" s="9">
        <v>9198</v>
      </c>
      <c r="J778" s="37">
        <v>29355</v>
      </c>
      <c r="K778" s="9" t="s">
        <v>436</v>
      </c>
      <c r="L778" s="9" t="s">
        <v>1974</v>
      </c>
      <c r="M778" s="4"/>
      <c r="N778" s="4"/>
      <c r="P778" s="347"/>
      <c r="Q778" s="347"/>
    </row>
    <row r="779" spans="1:19" ht="15" hidden="1" customHeight="1" x14ac:dyDescent="0.25">
      <c r="A779" s="152" t="s">
        <v>5630</v>
      </c>
      <c r="B779" s="57" t="s">
        <v>11</v>
      </c>
      <c r="C779" s="57" t="s">
        <v>2807</v>
      </c>
      <c r="D779" s="57" t="s">
        <v>2760</v>
      </c>
      <c r="E779" s="57" t="s">
        <v>2761</v>
      </c>
      <c r="F779" s="57" t="s">
        <v>2762</v>
      </c>
      <c r="G779" s="57">
        <v>2458</v>
      </c>
      <c r="H779" s="57">
        <v>285</v>
      </c>
      <c r="I779" s="57">
        <v>9198</v>
      </c>
      <c r="J779" s="58">
        <v>29355</v>
      </c>
      <c r="K779" s="57" t="s">
        <v>428</v>
      </c>
      <c r="L779" s="57" t="s">
        <v>1974</v>
      </c>
      <c r="M779" s="4"/>
      <c r="P779" s="347">
        <v>542</v>
      </c>
      <c r="Q779" s="348">
        <f>P779*100%/(1000)</f>
        <v>0.54200000000000004</v>
      </c>
    </row>
    <row r="780" spans="1:19" ht="15" hidden="1" customHeight="1" x14ac:dyDescent="0.25">
      <c r="A780" s="147" t="s">
        <v>5630</v>
      </c>
      <c r="B780" s="20" t="s">
        <v>597</v>
      </c>
      <c r="C780" s="20" t="s">
        <v>4603</v>
      </c>
      <c r="D780" s="20" t="s">
        <v>4514</v>
      </c>
      <c r="E780" s="20" t="s">
        <v>4515</v>
      </c>
      <c r="F780" s="20" t="s">
        <v>4516</v>
      </c>
      <c r="G780" s="20">
        <v>1946</v>
      </c>
      <c r="H780" s="20">
        <v>6</v>
      </c>
      <c r="I780" s="20">
        <v>9198</v>
      </c>
      <c r="J780" s="36">
        <v>29355</v>
      </c>
      <c r="K780" s="20" t="s">
        <v>428</v>
      </c>
      <c r="L780" s="20" t="s">
        <v>1974</v>
      </c>
      <c r="M780" s="4"/>
      <c r="P780" s="347"/>
      <c r="Q780" s="347"/>
    </row>
    <row r="781" spans="1:19" ht="15" hidden="1" customHeight="1" x14ac:dyDescent="0.25">
      <c r="A781" s="141" t="s">
        <v>5630</v>
      </c>
      <c r="B781" s="61" t="s">
        <v>34</v>
      </c>
      <c r="C781" s="61" t="s">
        <v>1295</v>
      </c>
      <c r="D781" s="61" t="s">
        <v>1191</v>
      </c>
      <c r="E781" s="61" t="s">
        <v>1192</v>
      </c>
      <c r="F781" s="61" t="s">
        <v>1193</v>
      </c>
      <c r="G781" s="61">
        <v>2455</v>
      </c>
      <c r="H781" s="61">
        <v>341</v>
      </c>
      <c r="I781" s="61">
        <v>9198</v>
      </c>
      <c r="J781" s="62">
        <v>29355</v>
      </c>
      <c r="K781" s="61" t="s">
        <v>428</v>
      </c>
      <c r="L781" s="61" t="s">
        <v>1974</v>
      </c>
      <c r="M781" s="4"/>
      <c r="N781" s="4"/>
      <c r="P781" s="347"/>
      <c r="Q781" s="347"/>
    </row>
    <row r="782" spans="1:19" ht="15" hidden="1" customHeight="1" x14ac:dyDescent="0.25">
      <c r="A782" s="142" t="s">
        <v>5630</v>
      </c>
      <c r="B782" s="9" t="s">
        <v>249</v>
      </c>
      <c r="C782" s="9" t="s">
        <v>1296</v>
      </c>
      <c r="D782" s="9" t="s">
        <v>1194</v>
      </c>
      <c r="E782" s="9" t="s">
        <v>1195</v>
      </c>
      <c r="F782" s="9" t="s">
        <v>1196</v>
      </c>
      <c r="G782" s="9">
        <v>2456</v>
      </c>
      <c r="H782" s="9">
        <v>1</v>
      </c>
      <c r="I782" s="9">
        <v>9198</v>
      </c>
      <c r="J782" s="37">
        <v>29355</v>
      </c>
      <c r="K782" s="9" t="s">
        <v>428</v>
      </c>
      <c r="L782" s="9" t="s">
        <v>1974</v>
      </c>
      <c r="M782" s="4"/>
      <c r="P782" s="347"/>
      <c r="Q782" s="347"/>
    </row>
    <row r="783" spans="1:19" ht="15" hidden="1" customHeight="1" x14ac:dyDescent="0.25">
      <c r="A783" s="325" t="s">
        <v>5630</v>
      </c>
      <c r="B783" s="325" t="s">
        <v>3781</v>
      </c>
      <c r="C783" s="325" t="s">
        <v>1507</v>
      </c>
      <c r="D783" s="325" t="s">
        <v>7568</v>
      </c>
      <c r="E783" s="325" t="s">
        <v>7567</v>
      </c>
      <c r="F783" s="325" t="s">
        <v>7569</v>
      </c>
      <c r="G783" s="325"/>
      <c r="H783" s="325">
        <v>2</v>
      </c>
      <c r="I783" s="325">
        <v>9198</v>
      </c>
      <c r="J783" s="37">
        <v>29355</v>
      </c>
      <c r="K783" s="325" t="s">
        <v>428</v>
      </c>
      <c r="L783" s="325" t="s">
        <v>1974</v>
      </c>
      <c r="M783" s="4"/>
      <c r="P783" s="341"/>
      <c r="Q783" s="341"/>
    </row>
    <row r="784" spans="1:19" ht="15" hidden="1" customHeight="1" x14ac:dyDescent="0.25">
      <c r="A784" s="147" t="s">
        <v>5631</v>
      </c>
      <c r="B784" s="20" t="s">
        <v>597</v>
      </c>
      <c r="C784" s="20" t="s">
        <v>7035</v>
      </c>
      <c r="D784" s="20" t="s">
        <v>6983</v>
      </c>
      <c r="E784" s="20" t="s">
        <v>6984</v>
      </c>
      <c r="F784" s="20" t="s">
        <v>6985</v>
      </c>
      <c r="G784" s="20">
        <v>2415</v>
      </c>
      <c r="H784" s="20">
        <v>10</v>
      </c>
      <c r="I784" s="20">
        <v>9198</v>
      </c>
      <c r="J784" s="36">
        <v>29355</v>
      </c>
      <c r="K784" s="20" t="s">
        <v>429</v>
      </c>
      <c r="L784" s="20" t="s">
        <v>1974</v>
      </c>
      <c r="M784" s="4"/>
      <c r="P784" s="347">
        <v>501</v>
      </c>
      <c r="Q784" s="348">
        <f>P784*100%/(1000)</f>
        <v>0.501</v>
      </c>
    </row>
    <row r="785" spans="1:19" ht="15" hidden="1" customHeight="1" x14ac:dyDescent="0.25">
      <c r="A785" s="141" t="s">
        <v>5631</v>
      </c>
      <c r="B785" s="61" t="s">
        <v>34</v>
      </c>
      <c r="C785" s="61" t="s">
        <v>3496</v>
      </c>
      <c r="D785" s="61" t="s">
        <v>3369</v>
      </c>
      <c r="E785" s="61" t="s">
        <v>3370</v>
      </c>
      <c r="F785" s="61" t="s">
        <v>3371</v>
      </c>
      <c r="G785" s="61">
        <v>215</v>
      </c>
      <c r="H785" s="61">
        <v>417</v>
      </c>
      <c r="I785" s="61">
        <v>9198</v>
      </c>
      <c r="J785" s="62">
        <v>29355</v>
      </c>
      <c r="K785" s="61" t="s">
        <v>429</v>
      </c>
      <c r="L785" s="61" t="s">
        <v>1974</v>
      </c>
      <c r="M785" s="4"/>
      <c r="P785" s="347"/>
      <c r="Q785" s="347"/>
    </row>
    <row r="786" spans="1:19" ht="15" hidden="1" customHeight="1" x14ac:dyDescent="0.25">
      <c r="A786" s="142" t="s">
        <v>5631</v>
      </c>
      <c r="B786" s="142" t="s">
        <v>249</v>
      </c>
      <c r="C786" s="142" t="s">
        <v>3497</v>
      </c>
      <c r="D786" s="142" t="s">
        <v>3372</v>
      </c>
      <c r="E786" s="142" t="s">
        <v>3373</v>
      </c>
      <c r="F786" s="142" t="s">
        <v>3374</v>
      </c>
      <c r="G786" s="142">
        <v>216</v>
      </c>
      <c r="H786" s="142">
        <v>1</v>
      </c>
      <c r="I786" s="142">
        <v>9198</v>
      </c>
      <c r="J786" s="37">
        <v>29355</v>
      </c>
      <c r="K786" s="142" t="s">
        <v>429</v>
      </c>
      <c r="L786" s="142" t="s">
        <v>1974</v>
      </c>
      <c r="M786" s="4"/>
      <c r="P786" s="347"/>
      <c r="Q786" s="347"/>
    </row>
    <row r="787" spans="1:19" ht="15" hidden="1" customHeight="1" x14ac:dyDescent="0.25">
      <c r="A787" s="152" t="s">
        <v>5631</v>
      </c>
      <c r="B787" s="57" t="s">
        <v>11</v>
      </c>
      <c r="C787" s="57" t="s">
        <v>6028</v>
      </c>
      <c r="D787" s="57" t="s">
        <v>5195</v>
      </c>
      <c r="E787" s="57" t="s">
        <v>5196</v>
      </c>
      <c r="F787" s="57" t="s">
        <v>5197</v>
      </c>
      <c r="G787" s="57">
        <v>2414</v>
      </c>
      <c r="H787" s="57">
        <v>250</v>
      </c>
      <c r="I787" s="57">
        <v>9198</v>
      </c>
      <c r="J787" s="58">
        <v>29355</v>
      </c>
      <c r="K787" s="57" t="s">
        <v>522</v>
      </c>
      <c r="L787" s="57" t="s">
        <v>1974</v>
      </c>
      <c r="M787" s="4"/>
      <c r="P787" s="347"/>
      <c r="Q787" s="347"/>
    </row>
    <row r="788" spans="1:19" ht="15" hidden="1" customHeight="1" x14ac:dyDescent="0.25">
      <c r="A788" s="199" t="s">
        <v>5632</v>
      </c>
      <c r="B788" s="154" t="s">
        <v>3781</v>
      </c>
      <c r="C788" s="154" t="s">
        <v>1626</v>
      </c>
      <c r="D788" s="154" t="s">
        <v>3788</v>
      </c>
      <c r="E788" s="154" t="s">
        <v>3789</v>
      </c>
      <c r="F788" s="154" t="s">
        <v>3790</v>
      </c>
      <c r="G788" s="154"/>
      <c r="H788" s="154">
        <v>1</v>
      </c>
      <c r="I788" s="154"/>
      <c r="J788" s="155">
        <v>29355</v>
      </c>
      <c r="K788" s="154" t="s">
        <v>433</v>
      </c>
      <c r="L788" s="154" t="s">
        <v>1974</v>
      </c>
      <c r="M788" s="4"/>
      <c r="P788" s="347">
        <v>32</v>
      </c>
      <c r="Q788" s="348">
        <f>P788*100%/(1000)</f>
        <v>3.2000000000000001E-2</v>
      </c>
    </row>
    <row r="789" spans="1:19" ht="15" hidden="1" customHeight="1" x14ac:dyDescent="0.25">
      <c r="A789" s="147" t="s">
        <v>5632</v>
      </c>
      <c r="B789" s="20" t="s">
        <v>597</v>
      </c>
      <c r="C789" s="20" t="s">
        <v>1626</v>
      </c>
      <c r="D789" s="20" t="s">
        <v>4615</v>
      </c>
      <c r="E789" s="20" t="s">
        <v>4616</v>
      </c>
      <c r="F789" s="20" t="s">
        <v>4617</v>
      </c>
      <c r="G789" s="20">
        <v>2020</v>
      </c>
      <c r="H789" s="20">
        <v>6</v>
      </c>
      <c r="I789" s="20">
        <v>9198</v>
      </c>
      <c r="J789" s="36">
        <v>29355</v>
      </c>
      <c r="K789" s="20" t="s">
        <v>433</v>
      </c>
      <c r="L789" s="20" t="s">
        <v>1974</v>
      </c>
      <c r="M789" s="4"/>
      <c r="P789" s="347"/>
      <c r="Q789" s="347"/>
      <c r="R789" s="183"/>
    </row>
    <row r="790" spans="1:19" ht="15" hidden="1" customHeight="1" x14ac:dyDescent="0.25">
      <c r="A790" s="141" t="s">
        <v>5632</v>
      </c>
      <c r="B790" s="141" t="s">
        <v>34</v>
      </c>
      <c r="C790" s="141" t="s">
        <v>3640</v>
      </c>
      <c r="D790" s="141" t="s">
        <v>3460</v>
      </c>
      <c r="E790" s="141" t="s">
        <v>3461</v>
      </c>
      <c r="F790" s="141" t="s">
        <v>3462</v>
      </c>
      <c r="G790" s="141">
        <v>300</v>
      </c>
      <c r="H790" s="141">
        <v>24</v>
      </c>
      <c r="I790" s="141">
        <v>9198</v>
      </c>
      <c r="J790" s="62">
        <v>29355</v>
      </c>
      <c r="K790" s="141" t="s">
        <v>433</v>
      </c>
      <c r="L790" s="141" t="s">
        <v>1974</v>
      </c>
      <c r="M790" s="4"/>
      <c r="P790" s="347"/>
      <c r="Q790" s="347"/>
      <c r="R790" s="183"/>
    </row>
    <row r="791" spans="1:19" ht="15" hidden="1" customHeight="1" x14ac:dyDescent="0.25">
      <c r="A791" s="142" t="s">
        <v>5632</v>
      </c>
      <c r="B791" s="9" t="s">
        <v>249</v>
      </c>
      <c r="C791" s="9" t="s">
        <v>3641</v>
      </c>
      <c r="D791" s="9" t="s">
        <v>3463</v>
      </c>
      <c r="E791" s="9" t="s">
        <v>3464</v>
      </c>
      <c r="F791" s="9" t="s">
        <v>3465</v>
      </c>
      <c r="G791" s="9">
        <v>301</v>
      </c>
      <c r="H791" s="9">
        <v>1</v>
      </c>
      <c r="I791" s="9">
        <v>9198</v>
      </c>
      <c r="J791" s="37">
        <v>29355</v>
      </c>
      <c r="K791" s="9" t="s">
        <v>433</v>
      </c>
      <c r="L791" s="9" t="s">
        <v>1974</v>
      </c>
      <c r="M791" s="4"/>
      <c r="P791" s="347"/>
      <c r="Q791" s="347"/>
      <c r="R791" s="183"/>
    </row>
    <row r="792" spans="1:19" ht="15" hidden="1" customHeight="1" x14ac:dyDescent="0.25">
      <c r="A792" s="147" t="s">
        <v>5633</v>
      </c>
      <c r="B792" s="20" t="s">
        <v>597</v>
      </c>
      <c r="C792" s="20" t="s">
        <v>2658</v>
      </c>
      <c r="D792" s="20" t="s">
        <v>2599</v>
      </c>
      <c r="E792" s="20" t="s">
        <v>2600</v>
      </c>
      <c r="F792" s="20" t="s">
        <v>2601</v>
      </c>
      <c r="G792" s="20">
        <v>2285</v>
      </c>
      <c r="H792" s="20">
        <v>4</v>
      </c>
      <c r="I792" s="20">
        <v>9198</v>
      </c>
      <c r="J792" s="36">
        <v>29355</v>
      </c>
      <c r="K792" s="20" t="s">
        <v>434</v>
      </c>
      <c r="L792" s="20" t="s">
        <v>1974</v>
      </c>
      <c r="M792" s="4"/>
      <c r="P792" s="347">
        <v>91</v>
      </c>
      <c r="Q792" s="348">
        <f>P792*100%/(1000)</f>
        <v>9.0999999999999998E-2</v>
      </c>
    </row>
    <row r="793" spans="1:19" ht="15" hidden="1" customHeight="1" x14ac:dyDescent="0.25">
      <c r="A793" s="141" t="s">
        <v>5633</v>
      </c>
      <c r="B793" s="61" t="s">
        <v>34</v>
      </c>
      <c r="C793" s="61" t="s">
        <v>2659</v>
      </c>
      <c r="D793" s="61" t="s">
        <v>2602</v>
      </c>
      <c r="E793" s="61" t="s">
        <v>2603</v>
      </c>
      <c r="F793" s="61" t="s">
        <v>2604</v>
      </c>
      <c r="G793" s="61">
        <v>1815</v>
      </c>
      <c r="H793" s="61">
        <v>86</v>
      </c>
      <c r="I793" s="61">
        <v>9198</v>
      </c>
      <c r="J793" s="62">
        <v>29355</v>
      </c>
      <c r="K793" s="61" t="s">
        <v>434</v>
      </c>
      <c r="L793" s="61" t="s">
        <v>1974</v>
      </c>
      <c r="M793" s="4"/>
      <c r="P793" s="347"/>
      <c r="Q793" s="347"/>
    </row>
    <row r="794" spans="1:19" ht="15" hidden="1" customHeight="1" x14ac:dyDescent="0.25">
      <c r="A794" s="142" t="s">
        <v>5633</v>
      </c>
      <c r="B794" s="9" t="s">
        <v>249</v>
      </c>
      <c r="C794" s="9" t="s">
        <v>2660</v>
      </c>
      <c r="D794" s="9" t="s">
        <v>2605</v>
      </c>
      <c r="E794" s="9" t="s">
        <v>2606</v>
      </c>
      <c r="F794" s="9" t="s">
        <v>2607</v>
      </c>
      <c r="G794" s="9">
        <v>1814</v>
      </c>
      <c r="H794" s="9">
        <v>1</v>
      </c>
      <c r="I794" s="9">
        <v>9198</v>
      </c>
      <c r="J794" s="37">
        <v>29355</v>
      </c>
      <c r="K794" s="9" t="s">
        <v>434</v>
      </c>
      <c r="L794" s="9" t="s">
        <v>1974</v>
      </c>
      <c r="M794" s="4"/>
      <c r="P794" s="347"/>
      <c r="Q794" s="347"/>
    </row>
    <row r="795" spans="1:19" ht="15" hidden="1" customHeight="1" x14ac:dyDescent="0.25">
      <c r="A795" s="147" t="s">
        <v>5634</v>
      </c>
      <c r="B795" s="20" t="s">
        <v>597</v>
      </c>
      <c r="C795" s="20" t="s">
        <v>4414</v>
      </c>
      <c r="D795" s="20" t="s">
        <v>4386</v>
      </c>
      <c r="E795" s="20" t="s">
        <v>4387</v>
      </c>
      <c r="F795" s="20" t="s">
        <v>4388</v>
      </c>
      <c r="G795" s="20">
        <v>668</v>
      </c>
      <c r="H795" s="20">
        <v>2</v>
      </c>
      <c r="I795" s="20">
        <v>9198</v>
      </c>
      <c r="J795" s="36">
        <v>29355</v>
      </c>
      <c r="K795" s="20" t="s">
        <v>428</v>
      </c>
      <c r="L795" s="20" t="s">
        <v>1974</v>
      </c>
      <c r="M795" s="4"/>
      <c r="P795" s="347">
        <v>158</v>
      </c>
      <c r="Q795" s="348">
        <f>P795*100%/(1000)</f>
        <v>0.158</v>
      </c>
    </row>
    <row r="796" spans="1:19" ht="15" hidden="1" customHeight="1" x14ac:dyDescent="0.25">
      <c r="A796" s="141" t="s">
        <v>5634</v>
      </c>
      <c r="B796" s="61" t="s">
        <v>34</v>
      </c>
      <c r="C796" s="61" t="s">
        <v>1586</v>
      </c>
      <c r="D796" s="61" t="s">
        <v>1475</v>
      </c>
      <c r="E796" s="61" t="s">
        <v>1476</v>
      </c>
      <c r="F796" s="61" t="s">
        <v>1477</v>
      </c>
      <c r="G796" s="61">
        <v>666</v>
      </c>
      <c r="H796" s="61">
        <v>155</v>
      </c>
      <c r="I796" s="61">
        <v>9198</v>
      </c>
      <c r="J796" s="62">
        <v>29355</v>
      </c>
      <c r="K796" s="61" t="s">
        <v>428</v>
      </c>
      <c r="L796" s="61" t="s">
        <v>1974</v>
      </c>
      <c r="M796" s="4"/>
      <c r="O796" s="4"/>
      <c r="P796" s="347"/>
      <c r="Q796" s="347"/>
      <c r="R796" s="184"/>
      <c r="S796" s="4"/>
    </row>
    <row r="797" spans="1:19" ht="15" hidden="1" customHeight="1" x14ac:dyDescent="0.25">
      <c r="A797" s="142" t="s">
        <v>5634</v>
      </c>
      <c r="B797" s="9" t="s">
        <v>249</v>
      </c>
      <c r="C797" s="9" t="s">
        <v>1587</v>
      </c>
      <c r="D797" s="9" t="s">
        <v>1478</v>
      </c>
      <c r="E797" s="9" t="s">
        <v>1479</v>
      </c>
      <c r="F797" s="9" t="s">
        <v>1480</v>
      </c>
      <c r="G797" s="9">
        <v>667</v>
      </c>
      <c r="H797" s="9">
        <v>1</v>
      </c>
      <c r="I797" s="9">
        <v>9198</v>
      </c>
      <c r="J797" s="37">
        <v>29355</v>
      </c>
      <c r="K797" s="9" t="s">
        <v>428</v>
      </c>
      <c r="L797" s="9" t="s">
        <v>1974</v>
      </c>
      <c r="M797" s="4"/>
      <c r="N797" s="4"/>
      <c r="P797" s="347"/>
      <c r="Q797" s="347"/>
    </row>
    <row r="798" spans="1:19" ht="15" hidden="1" customHeight="1" x14ac:dyDescent="0.25">
      <c r="A798" s="142" t="s">
        <v>5635</v>
      </c>
      <c r="B798" s="9" t="s">
        <v>249</v>
      </c>
      <c r="C798" s="9" t="s">
        <v>6185</v>
      </c>
      <c r="D798" s="9" t="s">
        <v>5791</v>
      </c>
      <c r="E798" s="9" t="s">
        <v>5792</v>
      </c>
      <c r="F798" s="9" t="s">
        <v>5793</v>
      </c>
      <c r="G798" s="9">
        <v>202</v>
      </c>
      <c r="H798" s="9">
        <v>1</v>
      </c>
      <c r="I798" s="9">
        <v>9198</v>
      </c>
      <c r="J798" s="37">
        <v>29355</v>
      </c>
      <c r="K798" s="9" t="s">
        <v>1417</v>
      </c>
      <c r="L798" s="9" t="s">
        <v>1974</v>
      </c>
      <c r="M798" s="4"/>
      <c r="N798" s="4"/>
      <c r="P798" s="347">
        <v>60</v>
      </c>
      <c r="Q798" s="348">
        <f>P798*100%/(1000)</f>
        <v>0.06</v>
      </c>
    </row>
    <row r="799" spans="1:19" ht="15" hidden="1" customHeight="1" x14ac:dyDescent="0.25">
      <c r="A799" s="199" t="s">
        <v>5635</v>
      </c>
      <c r="B799" s="154" t="s">
        <v>3781</v>
      </c>
      <c r="C799" s="154" t="s">
        <v>6186</v>
      </c>
      <c r="D799" s="154" t="s">
        <v>5794</v>
      </c>
      <c r="E799" s="154" t="s">
        <v>5795</v>
      </c>
      <c r="F799" s="154" t="s">
        <v>5796</v>
      </c>
      <c r="G799" s="154">
        <v>203</v>
      </c>
      <c r="H799" s="154">
        <v>1</v>
      </c>
      <c r="I799" s="154">
        <v>9198</v>
      </c>
      <c r="J799" s="155">
        <v>29355</v>
      </c>
      <c r="K799" s="154" t="s">
        <v>1417</v>
      </c>
      <c r="L799" s="154" t="s">
        <v>1974</v>
      </c>
      <c r="M799" s="4"/>
      <c r="N799" s="4"/>
      <c r="P799" s="347"/>
      <c r="Q799" s="347"/>
    </row>
    <row r="800" spans="1:19" ht="15" hidden="1" customHeight="1" x14ac:dyDescent="0.25">
      <c r="A800" s="147" t="s">
        <v>5635</v>
      </c>
      <c r="B800" s="20" t="s">
        <v>597</v>
      </c>
      <c r="C800" s="20" t="s">
        <v>3642</v>
      </c>
      <c r="D800" s="20" t="s">
        <v>3436</v>
      </c>
      <c r="E800" s="20" t="s">
        <v>3437</v>
      </c>
      <c r="F800" s="20" t="s">
        <v>3438</v>
      </c>
      <c r="G800" s="20">
        <v>200</v>
      </c>
      <c r="H800" s="20">
        <v>4</v>
      </c>
      <c r="I800" s="20">
        <v>9198</v>
      </c>
      <c r="J800" s="36">
        <v>29355</v>
      </c>
      <c r="K800" s="20" t="s">
        <v>1417</v>
      </c>
      <c r="L800" s="20" t="s">
        <v>1974</v>
      </c>
      <c r="M800" s="4"/>
      <c r="N800" s="4"/>
      <c r="P800" s="347"/>
      <c r="Q800" s="347"/>
    </row>
    <row r="801" spans="1:19" ht="15" hidden="1" customHeight="1" x14ac:dyDescent="0.25">
      <c r="A801" s="141" t="s">
        <v>5635</v>
      </c>
      <c r="B801" s="61" t="s">
        <v>34</v>
      </c>
      <c r="C801" s="61" t="s">
        <v>3643</v>
      </c>
      <c r="D801" s="61" t="s">
        <v>3439</v>
      </c>
      <c r="E801" s="61" t="s">
        <v>3440</v>
      </c>
      <c r="F801" s="61" t="s">
        <v>3441</v>
      </c>
      <c r="G801" s="61">
        <v>201</v>
      </c>
      <c r="H801" s="61">
        <v>54</v>
      </c>
      <c r="I801" s="61">
        <v>9198</v>
      </c>
      <c r="J801" s="62">
        <v>29355</v>
      </c>
      <c r="K801" s="61" t="s">
        <v>1417</v>
      </c>
      <c r="L801" s="61" t="s">
        <v>1974</v>
      </c>
      <c r="M801" s="4"/>
      <c r="N801" s="4"/>
      <c r="P801" s="347"/>
      <c r="Q801" s="347"/>
    </row>
    <row r="802" spans="1:19" s="4" customFormat="1" ht="15" hidden="1" customHeight="1" x14ac:dyDescent="0.25">
      <c r="A802" s="173" t="s">
        <v>6141</v>
      </c>
      <c r="B802" s="20" t="s">
        <v>597</v>
      </c>
      <c r="C802" s="20" t="s">
        <v>6760</v>
      </c>
      <c r="D802" s="20"/>
      <c r="E802" s="20"/>
      <c r="F802" s="20" t="s">
        <v>6758</v>
      </c>
      <c r="G802" s="20">
        <v>2371</v>
      </c>
      <c r="H802" s="20">
        <v>4</v>
      </c>
      <c r="I802" s="20" t="s">
        <v>1454</v>
      </c>
      <c r="J802" s="20" t="s">
        <v>1454</v>
      </c>
      <c r="K802" s="20" t="s">
        <v>654</v>
      </c>
      <c r="L802" s="20" t="s">
        <v>1974</v>
      </c>
      <c r="O802" s="1"/>
      <c r="P802" s="347">
        <v>54</v>
      </c>
      <c r="Q802" s="348">
        <f>P802*100%/(1000)</f>
        <v>5.3999999999999999E-2</v>
      </c>
      <c r="R802" s="3"/>
      <c r="S802" s="1"/>
    </row>
    <row r="803" spans="1:19" s="4" customFormat="1" ht="15" hidden="1" customHeight="1" x14ac:dyDescent="0.25">
      <c r="A803" s="256" t="s">
        <v>6141</v>
      </c>
      <c r="B803" s="16" t="s">
        <v>34</v>
      </c>
      <c r="C803" s="16" t="s">
        <v>6761</v>
      </c>
      <c r="D803" s="16"/>
      <c r="E803" s="16"/>
      <c r="F803" s="16" t="s">
        <v>6759</v>
      </c>
      <c r="G803" s="16">
        <v>2372</v>
      </c>
      <c r="H803" s="16">
        <v>50</v>
      </c>
      <c r="I803" s="16" t="s">
        <v>1454</v>
      </c>
      <c r="J803" s="16" t="s">
        <v>1454</v>
      </c>
      <c r="K803" s="16" t="s">
        <v>654</v>
      </c>
      <c r="L803" s="16" t="s">
        <v>1974</v>
      </c>
      <c r="O803" s="1"/>
      <c r="P803" s="347"/>
      <c r="Q803" s="347"/>
      <c r="R803" s="3"/>
      <c r="S803" s="1"/>
    </row>
    <row r="804" spans="1:19" ht="15" hidden="1" customHeight="1" x14ac:dyDescent="0.25">
      <c r="A804" s="147" t="s">
        <v>5636</v>
      </c>
      <c r="B804" s="20" t="s">
        <v>597</v>
      </c>
      <c r="C804" s="20" t="s">
        <v>2808</v>
      </c>
      <c r="D804" s="20" t="s">
        <v>2560</v>
      </c>
      <c r="E804" s="20" t="s">
        <v>2561</v>
      </c>
      <c r="F804" s="20" t="s">
        <v>2562</v>
      </c>
      <c r="G804" s="20">
        <v>2807</v>
      </c>
      <c r="H804" s="20">
        <v>4</v>
      </c>
      <c r="I804" s="20">
        <v>9198</v>
      </c>
      <c r="J804" s="36">
        <v>29355</v>
      </c>
      <c r="K804" s="20" t="s">
        <v>654</v>
      </c>
      <c r="L804" s="20" t="s">
        <v>1974</v>
      </c>
      <c r="M804" s="4"/>
      <c r="N804" s="4"/>
      <c r="P804" s="347">
        <v>303</v>
      </c>
      <c r="Q804" s="348">
        <f>P804*100%/(1000)</f>
        <v>0.30299999999999999</v>
      </c>
      <c r="R804" s="183"/>
    </row>
    <row r="805" spans="1:19" ht="15" hidden="1" customHeight="1" x14ac:dyDescent="0.25">
      <c r="A805" s="152" t="s">
        <v>5636</v>
      </c>
      <c r="B805" s="57" t="s">
        <v>11</v>
      </c>
      <c r="C805" s="57" t="s">
        <v>2811</v>
      </c>
      <c r="D805" s="57" t="s">
        <v>2716</v>
      </c>
      <c r="E805" s="57" t="s">
        <v>2717</v>
      </c>
      <c r="F805" s="57" t="s">
        <v>2718</v>
      </c>
      <c r="G805" s="57">
        <v>2802</v>
      </c>
      <c r="H805" s="57">
        <v>260</v>
      </c>
      <c r="I805" s="57">
        <v>9198</v>
      </c>
      <c r="J805" s="58">
        <v>29355</v>
      </c>
      <c r="K805" s="57" t="s">
        <v>654</v>
      </c>
      <c r="L805" s="57" t="s">
        <v>1974</v>
      </c>
      <c r="M805" s="4"/>
      <c r="N805" s="4"/>
      <c r="P805" s="347"/>
      <c r="Q805" s="347"/>
    </row>
    <row r="806" spans="1:19" ht="15" hidden="1" customHeight="1" x14ac:dyDescent="0.25">
      <c r="A806" s="141" t="s">
        <v>5636</v>
      </c>
      <c r="B806" s="61" t="s">
        <v>34</v>
      </c>
      <c r="C806" s="61" t="s">
        <v>2809</v>
      </c>
      <c r="D806" s="61" t="s">
        <v>2563</v>
      </c>
      <c r="E806" s="61" t="s">
        <v>2564</v>
      </c>
      <c r="F806" s="61" t="s">
        <v>2565</v>
      </c>
      <c r="G806" s="61">
        <v>2803</v>
      </c>
      <c r="H806" s="61">
        <v>36</v>
      </c>
      <c r="I806" s="61">
        <v>9198</v>
      </c>
      <c r="J806" s="62">
        <v>29355</v>
      </c>
      <c r="K806" s="61" t="s">
        <v>654</v>
      </c>
      <c r="L806" s="61" t="s">
        <v>1974</v>
      </c>
      <c r="M806" s="4"/>
      <c r="N806" s="4"/>
      <c r="P806" s="347"/>
      <c r="Q806" s="347"/>
    </row>
    <row r="807" spans="1:19" ht="15" hidden="1" customHeight="1" x14ac:dyDescent="0.25">
      <c r="A807" s="142" t="s">
        <v>5636</v>
      </c>
      <c r="B807" s="9" t="s">
        <v>249</v>
      </c>
      <c r="C807" s="9" t="s">
        <v>2810</v>
      </c>
      <c r="D807" s="9" t="s">
        <v>2566</v>
      </c>
      <c r="E807" s="9" t="s">
        <v>2567</v>
      </c>
      <c r="F807" s="9" t="s">
        <v>2568</v>
      </c>
      <c r="G807" s="9">
        <v>2804</v>
      </c>
      <c r="H807" s="9">
        <v>1</v>
      </c>
      <c r="I807" s="9">
        <v>9198</v>
      </c>
      <c r="J807" s="37">
        <v>29355</v>
      </c>
      <c r="K807" s="9" t="s">
        <v>654</v>
      </c>
      <c r="L807" s="9" t="s">
        <v>1974</v>
      </c>
      <c r="M807" s="4"/>
      <c r="N807" s="4"/>
      <c r="P807" s="347"/>
      <c r="Q807" s="347"/>
    </row>
    <row r="808" spans="1:19" ht="15" hidden="1" customHeight="1" x14ac:dyDescent="0.25">
      <c r="A808" s="149" t="s">
        <v>5636</v>
      </c>
      <c r="B808" s="46" t="s">
        <v>1014</v>
      </c>
      <c r="C808" s="46" t="s">
        <v>4980</v>
      </c>
      <c r="D808" s="46" t="s">
        <v>4915</v>
      </c>
      <c r="E808" s="46" t="s">
        <v>4916</v>
      </c>
      <c r="F808" s="46" t="s">
        <v>4917</v>
      </c>
      <c r="G808" s="46">
        <v>2809</v>
      </c>
      <c r="H808" s="46">
        <v>2</v>
      </c>
      <c r="I808" s="46">
        <v>9198</v>
      </c>
      <c r="J808" s="47">
        <v>29355</v>
      </c>
      <c r="K808" s="46" t="s">
        <v>428</v>
      </c>
      <c r="L808" s="46" t="s">
        <v>1974</v>
      </c>
      <c r="M808" s="4"/>
      <c r="N808" s="4"/>
      <c r="P808" s="347"/>
      <c r="Q808" s="347"/>
    </row>
    <row r="809" spans="1:19" ht="15" hidden="1" customHeight="1" x14ac:dyDescent="0.25">
      <c r="A809" s="147" t="s">
        <v>5637</v>
      </c>
      <c r="B809" s="20" t="s">
        <v>597</v>
      </c>
      <c r="C809" s="20" t="s">
        <v>4831</v>
      </c>
      <c r="D809" s="20" t="s">
        <v>3576</v>
      </c>
      <c r="E809" s="20" t="s">
        <v>3577</v>
      </c>
      <c r="F809" s="20" t="s">
        <v>3578</v>
      </c>
      <c r="G809" s="20">
        <v>2658</v>
      </c>
      <c r="H809" s="20">
        <v>4</v>
      </c>
      <c r="I809" s="20">
        <v>9198</v>
      </c>
      <c r="J809" s="36">
        <v>29355</v>
      </c>
      <c r="K809" s="20" t="s">
        <v>1417</v>
      </c>
      <c r="L809" s="20" t="s">
        <v>1974</v>
      </c>
      <c r="M809" s="4"/>
      <c r="N809" s="4"/>
      <c r="P809" s="347">
        <v>63</v>
      </c>
      <c r="Q809" s="348">
        <f>P809*100%/(1000)</f>
        <v>6.3E-2</v>
      </c>
    </row>
    <row r="810" spans="1:19" ht="15" hidden="1" customHeight="1" x14ac:dyDescent="0.25">
      <c r="A810" s="141" t="s">
        <v>5637</v>
      </c>
      <c r="B810" s="61" t="s">
        <v>34</v>
      </c>
      <c r="C810" s="61" t="s">
        <v>4832</v>
      </c>
      <c r="D810" s="61" t="s">
        <v>4739</v>
      </c>
      <c r="E810" s="61" t="s">
        <v>4740</v>
      </c>
      <c r="F810" s="61" t="s">
        <v>4741</v>
      </c>
      <c r="G810" s="61">
        <v>2423</v>
      </c>
      <c r="H810" s="61">
        <v>57</v>
      </c>
      <c r="I810" s="61">
        <v>9198</v>
      </c>
      <c r="J810" s="62">
        <v>29355</v>
      </c>
      <c r="K810" s="61" t="s">
        <v>1417</v>
      </c>
      <c r="L810" s="61" t="s">
        <v>1974</v>
      </c>
      <c r="M810" s="4"/>
      <c r="N810" s="4"/>
      <c r="P810" s="347"/>
      <c r="Q810" s="347"/>
    </row>
    <row r="811" spans="1:19" ht="15" hidden="1" customHeight="1" x14ac:dyDescent="0.25">
      <c r="A811" s="142" t="s">
        <v>5637</v>
      </c>
      <c r="B811" s="9" t="s">
        <v>249</v>
      </c>
      <c r="C811" s="9" t="s">
        <v>4833</v>
      </c>
      <c r="D811" s="9" t="s">
        <v>3579</v>
      </c>
      <c r="E811" s="9" t="s">
        <v>3580</v>
      </c>
      <c r="F811" s="9" t="s">
        <v>3581</v>
      </c>
      <c r="G811" s="9">
        <v>200</v>
      </c>
      <c r="H811" s="9">
        <v>1</v>
      </c>
      <c r="I811" s="9">
        <v>9198</v>
      </c>
      <c r="J811" s="37">
        <v>29355</v>
      </c>
      <c r="K811" s="9" t="s">
        <v>1417</v>
      </c>
      <c r="L811" s="9" t="s">
        <v>1974</v>
      </c>
      <c r="M811" s="4"/>
      <c r="N811" s="4"/>
      <c r="P811" s="347"/>
      <c r="Q811" s="347"/>
    </row>
    <row r="812" spans="1:19" ht="15" hidden="1" customHeight="1" x14ac:dyDescent="0.25">
      <c r="A812" s="199" t="s">
        <v>5637</v>
      </c>
      <c r="B812" s="154" t="s">
        <v>3781</v>
      </c>
      <c r="C812" s="154" t="s">
        <v>4834</v>
      </c>
      <c r="D812" s="154" t="s">
        <v>4742</v>
      </c>
      <c r="E812" s="154" t="s">
        <v>4743</v>
      </c>
      <c r="F812" s="154" t="s">
        <v>4744</v>
      </c>
      <c r="G812" s="154">
        <v>2425</v>
      </c>
      <c r="H812" s="154">
        <v>1</v>
      </c>
      <c r="I812" s="154">
        <v>9198</v>
      </c>
      <c r="J812" s="155">
        <v>29355</v>
      </c>
      <c r="K812" s="154" t="s">
        <v>1417</v>
      </c>
      <c r="L812" s="154" t="s">
        <v>1974</v>
      </c>
      <c r="M812" s="4"/>
      <c r="N812" s="4"/>
      <c r="P812" s="347"/>
      <c r="Q812" s="347"/>
    </row>
    <row r="813" spans="1:19" ht="15" hidden="1" customHeight="1" x14ac:dyDescent="0.25">
      <c r="A813" s="147" t="s">
        <v>5638</v>
      </c>
      <c r="B813" s="20" t="s">
        <v>597</v>
      </c>
      <c r="C813" s="20" t="s">
        <v>823</v>
      </c>
      <c r="D813" s="20" t="s">
        <v>594</v>
      </c>
      <c r="E813" s="20" t="s">
        <v>595</v>
      </c>
      <c r="F813" s="20" t="s">
        <v>596</v>
      </c>
      <c r="G813" s="20">
        <v>583</v>
      </c>
      <c r="H813" s="20">
        <v>12</v>
      </c>
      <c r="I813" s="20">
        <v>9198</v>
      </c>
      <c r="J813" s="36">
        <v>65008</v>
      </c>
      <c r="K813" s="20" t="s">
        <v>434</v>
      </c>
      <c r="L813" s="20" t="s">
        <v>1974</v>
      </c>
      <c r="M813" s="4"/>
      <c r="N813" s="4"/>
      <c r="P813" s="347">
        <v>360</v>
      </c>
      <c r="Q813" s="348">
        <f>P813*100%/(1000)</f>
        <v>0.36</v>
      </c>
      <c r="R813" s="183"/>
    </row>
    <row r="814" spans="1:19" ht="15" hidden="1" customHeight="1" x14ac:dyDescent="0.25">
      <c r="A814" s="152" t="s">
        <v>5638</v>
      </c>
      <c r="B814" s="57" t="s">
        <v>11</v>
      </c>
      <c r="C814" s="57" t="s">
        <v>1767</v>
      </c>
      <c r="D814" s="57" t="s">
        <v>1760</v>
      </c>
      <c r="E814" s="57" t="s">
        <v>1761</v>
      </c>
      <c r="F814" s="57" t="s">
        <v>1762</v>
      </c>
      <c r="G814" s="57">
        <v>2571</v>
      </c>
      <c r="H814" s="57">
        <v>220</v>
      </c>
      <c r="I814" s="57">
        <v>9198</v>
      </c>
      <c r="J814" s="58">
        <v>65008</v>
      </c>
      <c r="K814" s="57" t="s">
        <v>574</v>
      </c>
      <c r="L814" s="57" t="s">
        <v>1974</v>
      </c>
      <c r="P814" s="347"/>
      <c r="Q814" s="347"/>
    </row>
    <row r="815" spans="1:19" ht="15" hidden="1" customHeight="1" x14ac:dyDescent="0.25">
      <c r="A815" s="141" t="s">
        <v>5638</v>
      </c>
      <c r="B815" s="61" t="s">
        <v>34</v>
      </c>
      <c r="C815" s="61" t="s">
        <v>824</v>
      </c>
      <c r="D815" s="61" t="s">
        <v>1632</v>
      </c>
      <c r="E815" s="61" t="s">
        <v>1633</v>
      </c>
      <c r="F815" s="61" t="s">
        <v>1634</v>
      </c>
      <c r="G815" s="61">
        <v>2382</v>
      </c>
      <c r="H815" s="61">
        <v>128</v>
      </c>
      <c r="I815" s="61">
        <v>9198</v>
      </c>
      <c r="J815" s="62">
        <v>65008</v>
      </c>
      <c r="K815" s="61" t="s">
        <v>434</v>
      </c>
      <c r="L815" s="61" t="s">
        <v>1974</v>
      </c>
      <c r="P815" s="347"/>
      <c r="Q815" s="347"/>
    </row>
    <row r="816" spans="1:19" ht="15" hidden="1" customHeight="1" x14ac:dyDescent="0.25">
      <c r="A816" s="152" t="s">
        <v>5639</v>
      </c>
      <c r="B816" s="57" t="s">
        <v>11</v>
      </c>
      <c r="C816" s="57" t="s">
        <v>3902</v>
      </c>
      <c r="D816" s="57" t="s">
        <v>3762</v>
      </c>
      <c r="E816" s="57" t="s">
        <v>3763</v>
      </c>
      <c r="F816" s="57" t="s">
        <v>3764</v>
      </c>
      <c r="G816" s="57">
        <v>2007</v>
      </c>
      <c r="H816" s="57">
        <v>179</v>
      </c>
      <c r="I816" s="57">
        <v>9198</v>
      </c>
      <c r="J816" s="58">
        <v>29355</v>
      </c>
      <c r="K816" s="57" t="s">
        <v>433</v>
      </c>
      <c r="L816" s="57" t="s">
        <v>1974</v>
      </c>
      <c r="P816" s="347">
        <v>426</v>
      </c>
      <c r="Q816" s="348">
        <f>P816*100%/(1000)</f>
        <v>0.42599999999999999</v>
      </c>
    </row>
    <row r="817" spans="1:19" ht="15" hidden="1" customHeight="1" x14ac:dyDescent="0.25">
      <c r="A817" s="141" t="s">
        <v>5639</v>
      </c>
      <c r="B817" s="61" t="s">
        <v>34</v>
      </c>
      <c r="C817" s="61" t="s">
        <v>3900</v>
      </c>
      <c r="D817" s="61" t="s">
        <v>3765</v>
      </c>
      <c r="E817" s="61" t="s">
        <v>3766</v>
      </c>
      <c r="F817" s="61" t="s">
        <v>3767</v>
      </c>
      <c r="G817" s="61">
        <v>2005</v>
      </c>
      <c r="H817" s="61">
        <v>331</v>
      </c>
      <c r="I817" s="61">
        <v>9198</v>
      </c>
      <c r="J817" s="62">
        <v>29355</v>
      </c>
      <c r="K817" s="61" t="s">
        <v>433</v>
      </c>
      <c r="L817" s="61" t="s">
        <v>1974</v>
      </c>
      <c r="P817" s="347"/>
      <c r="Q817" s="347"/>
    </row>
    <row r="818" spans="1:19" ht="15" hidden="1" customHeight="1" x14ac:dyDescent="0.25">
      <c r="A818" s="142" t="s">
        <v>5639</v>
      </c>
      <c r="B818" s="9" t="s">
        <v>249</v>
      </c>
      <c r="C818" s="9" t="s">
        <v>3901</v>
      </c>
      <c r="D818" s="9" t="s">
        <v>3768</v>
      </c>
      <c r="E818" s="9" t="s">
        <v>3769</v>
      </c>
      <c r="F818" s="9" t="s">
        <v>3770</v>
      </c>
      <c r="G818" s="9">
        <v>2006</v>
      </c>
      <c r="H818" s="9">
        <v>1</v>
      </c>
      <c r="I818" s="9">
        <v>9198</v>
      </c>
      <c r="J818" s="37">
        <v>29355</v>
      </c>
      <c r="K818" s="9" t="s">
        <v>433</v>
      </c>
      <c r="L818" s="9" t="s">
        <v>1974</v>
      </c>
      <c r="P818" s="347"/>
      <c r="Q818" s="347"/>
    </row>
    <row r="819" spans="1:19" ht="15" hidden="1" customHeight="1" x14ac:dyDescent="0.25">
      <c r="A819" s="147" t="s">
        <v>5640</v>
      </c>
      <c r="B819" s="20" t="s">
        <v>597</v>
      </c>
      <c r="C819" s="20" t="s">
        <v>3913</v>
      </c>
      <c r="D819" s="20" t="s">
        <v>3716</v>
      </c>
      <c r="E819" s="20" t="s">
        <v>3717</v>
      </c>
      <c r="F819" s="20" t="s">
        <v>3718</v>
      </c>
      <c r="G819" s="20">
        <v>1645</v>
      </c>
      <c r="H819" s="20">
        <v>10</v>
      </c>
      <c r="I819" s="20">
        <v>9198</v>
      </c>
      <c r="J819" s="36">
        <v>29355</v>
      </c>
      <c r="K819" s="20" t="s">
        <v>435</v>
      </c>
      <c r="L819" s="20" t="s">
        <v>1974</v>
      </c>
      <c r="P819" s="347">
        <v>81</v>
      </c>
      <c r="Q819" s="348">
        <f>P819*100%/(1000)</f>
        <v>8.1000000000000003E-2</v>
      </c>
      <c r="R819" s="183"/>
    </row>
    <row r="820" spans="1:19" ht="15" hidden="1" customHeight="1" x14ac:dyDescent="0.25">
      <c r="A820" s="141" t="s">
        <v>5640</v>
      </c>
      <c r="B820" s="141" t="s">
        <v>34</v>
      </c>
      <c r="C820" s="141" t="s">
        <v>3914</v>
      </c>
      <c r="D820" s="141" t="s">
        <v>3719</v>
      </c>
      <c r="E820" s="141" t="s">
        <v>3720</v>
      </c>
      <c r="F820" s="141" t="s">
        <v>3721</v>
      </c>
      <c r="G820" s="141">
        <v>1647</v>
      </c>
      <c r="H820" s="141">
        <v>50</v>
      </c>
      <c r="I820" s="141">
        <v>9198</v>
      </c>
      <c r="J820" s="62">
        <v>29355</v>
      </c>
      <c r="K820" s="141" t="s">
        <v>435</v>
      </c>
      <c r="L820" s="141" t="s">
        <v>1974</v>
      </c>
      <c r="P820" s="347"/>
      <c r="Q820" s="347"/>
    </row>
    <row r="821" spans="1:19" ht="15" hidden="1" customHeight="1" x14ac:dyDescent="0.25">
      <c r="A821" s="142" t="s">
        <v>5640</v>
      </c>
      <c r="B821" s="9" t="s">
        <v>249</v>
      </c>
      <c r="C821" s="9" t="s">
        <v>3915</v>
      </c>
      <c r="D821" s="9" t="s">
        <v>3722</v>
      </c>
      <c r="E821" s="9" t="s">
        <v>3723</v>
      </c>
      <c r="F821" s="9" t="s">
        <v>3724</v>
      </c>
      <c r="G821" s="9">
        <v>1646</v>
      </c>
      <c r="H821" s="9">
        <v>1</v>
      </c>
      <c r="I821" s="9">
        <v>9198</v>
      </c>
      <c r="J821" s="37">
        <v>29355</v>
      </c>
      <c r="K821" s="9" t="s">
        <v>435</v>
      </c>
      <c r="L821" s="9" t="s">
        <v>1974</v>
      </c>
      <c r="P821" s="347"/>
      <c r="Q821" s="347"/>
    </row>
    <row r="822" spans="1:19" ht="15" hidden="1" customHeight="1" x14ac:dyDescent="0.25">
      <c r="A822" s="147" t="s">
        <v>5641</v>
      </c>
      <c r="B822" s="20" t="s">
        <v>597</v>
      </c>
      <c r="C822" s="20" t="s">
        <v>2090</v>
      </c>
      <c r="D822" s="20" t="s">
        <v>2060</v>
      </c>
      <c r="E822" s="20" t="s">
        <v>2061</v>
      </c>
      <c r="F822" s="20" t="s">
        <v>2062</v>
      </c>
      <c r="G822" s="20">
        <v>624</v>
      </c>
      <c r="H822" s="20">
        <v>10</v>
      </c>
      <c r="I822" s="20">
        <v>64725</v>
      </c>
      <c r="J822" s="36">
        <v>29355</v>
      </c>
      <c r="K822" s="20" t="s">
        <v>522</v>
      </c>
      <c r="L822" s="20" t="s">
        <v>1975</v>
      </c>
      <c r="M822" s="4"/>
      <c r="O822" s="4"/>
      <c r="P822" s="347">
        <v>1627</v>
      </c>
      <c r="Q822" s="348">
        <f>P822*100%/(2000)</f>
        <v>0.8135</v>
      </c>
      <c r="R822" s="208" t="s">
        <v>2913</v>
      </c>
      <c r="S822" s="130" t="s">
        <v>2903</v>
      </c>
    </row>
    <row r="823" spans="1:19" ht="15" hidden="1" customHeight="1" x14ac:dyDescent="0.25">
      <c r="A823" s="152" t="s">
        <v>5641</v>
      </c>
      <c r="B823" s="57" t="s">
        <v>11</v>
      </c>
      <c r="C823" s="57" t="s">
        <v>2043</v>
      </c>
      <c r="D823" s="57" t="s">
        <v>2011</v>
      </c>
      <c r="E823" s="57" t="s">
        <v>2012</v>
      </c>
      <c r="F823" s="57" t="s">
        <v>2013</v>
      </c>
      <c r="G823" s="57">
        <v>619</v>
      </c>
      <c r="H823" s="57">
        <v>923</v>
      </c>
      <c r="I823" s="57">
        <v>64725</v>
      </c>
      <c r="J823" s="58">
        <v>29355</v>
      </c>
      <c r="K823" s="57" t="s">
        <v>522</v>
      </c>
      <c r="L823" s="57" t="s">
        <v>1975</v>
      </c>
      <c r="P823" s="347"/>
      <c r="Q823" s="347"/>
      <c r="R823" s="145" t="s">
        <v>4895</v>
      </c>
    </row>
    <row r="824" spans="1:19" ht="15" hidden="1" customHeight="1" x14ac:dyDescent="0.25">
      <c r="A824" s="141" t="s">
        <v>5641</v>
      </c>
      <c r="B824" s="61" t="s">
        <v>34</v>
      </c>
      <c r="C824" s="61" t="s">
        <v>2731</v>
      </c>
      <c r="D824" s="61" t="s">
        <v>2439</v>
      </c>
      <c r="E824" s="61" t="s">
        <v>2440</v>
      </c>
      <c r="F824" s="61" t="s">
        <v>2441</v>
      </c>
      <c r="G824" s="61">
        <v>626</v>
      </c>
      <c r="H824" s="61">
        <v>693</v>
      </c>
      <c r="I824" s="61">
        <v>64725</v>
      </c>
      <c r="J824" s="62">
        <v>29355</v>
      </c>
      <c r="K824" s="61" t="s">
        <v>522</v>
      </c>
      <c r="L824" s="61" t="s">
        <v>1975</v>
      </c>
      <c r="P824" s="347"/>
      <c r="Q824" s="347"/>
      <c r="R824" s="198" t="s">
        <v>6062</v>
      </c>
    </row>
    <row r="825" spans="1:19" ht="15" hidden="1" customHeight="1" x14ac:dyDescent="0.25">
      <c r="A825" s="142" t="s">
        <v>5641</v>
      </c>
      <c r="B825" s="9" t="s">
        <v>249</v>
      </c>
      <c r="C825" s="9" t="s">
        <v>2044</v>
      </c>
      <c r="D825" s="9" t="s">
        <v>2008</v>
      </c>
      <c r="E825" s="9" t="s">
        <v>2009</v>
      </c>
      <c r="F825" s="9" t="s">
        <v>2010</v>
      </c>
      <c r="G825" s="9">
        <v>620</v>
      </c>
      <c r="H825" s="9">
        <v>1</v>
      </c>
      <c r="I825" s="9">
        <v>64725</v>
      </c>
      <c r="J825" s="37">
        <v>29355</v>
      </c>
      <c r="K825" s="9" t="s">
        <v>522</v>
      </c>
      <c r="L825" s="9" t="s">
        <v>1975</v>
      </c>
      <c r="P825" s="347"/>
      <c r="Q825" s="347"/>
      <c r="R825" s="183"/>
    </row>
    <row r="826" spans="1:19" s="4" customFormat="1" ht="15" hidden="1" customHeight="1" x14ac:dyDescent="0.25">
      <c r="A826" s="147" t="s">
        <v>5642</v>
      </c>
      <c r="B826" s="20" t="s">
        <v>597</v>
      </c>
      <c r="C826" s="20" t="s">
        <v>2745</v>
      </c>
      <c r="D826" s="20" t="s">
        <v>2725</v>
      </c>
      <c r="E826" s="20" t="s">
        <v>2726</v>
      </c>
      <c r="F826" s="20" t="s">
        <v>2727</v>
      </c>
      <c r="G826" s="20">
        <v>401</v>
      </c>
      <c r="H826" s="20">
        <v>20</v>
      </c>
      <c r="I826" s="20">
        <v>9198</v>
      </c>
      <c r="J826" s="36">
        <v>29355</v>
      </c>
      <c r="K826" s="20" t="s">
        <v>654</v>
      </c>
      <c r="L826" s="20" t="s">
        <v>1974</v>
      </c>
      <c r="M826" s="1"/>
      <c r="N826" s="1"/>
      <c r="O826" s="1"/>
      <c r="P826" s="347">
        <v>849</v>
      </c>
      <c r="Q826" s="348">
        <f>P826*100%/(1000)</f>
        <v>0.84899999999999998</v>
      </c>
      <c r="R826" s="3"/>
      <c r="S826" s="1"/>
    </row>
    <row r="827" spans="1:19" ht="15" hidden="1" customHeight="1" x14ac:dyDescent="0.25">
      <c r="A827" s="152" t="s">
        <v>5642</v>
      </c>
      <c r="B827" s="57" t="s">
        <v>11</v>
      </c>
      <c r="C827" s="57" t="s">
        <v>3057</v>
      </c>
      <c r="D827" s="57" t="s">
        <v>3036</v>
      </c>
      <c r="E827" s="57" t="s">
        <v>3037</v>
      </c>
      <c r="F827" s="57" t="s">
        <v>3038</v>
      </c>
      <c r="G827" s="57">
        <v>404</v>
      </c>
      <c r="H827" s="57">
        <v>398</v>
      </c>
      <c r="I827" s="57">
        <v>9198</v>
      </c>
      <c r="J827" s="58">
        <v>29355</v>
      </c>
      <c r="K827" s="57" t="s">
        <v>654</v>
      </c>
      <c r="L827" s="57" t="s">
        <v>1974</v>
      </c>
      <c r="P827" s="347"/>
      <c r="Q827" s="347"/>
    </row>
    <row r="828" spans="1:19" ht="15" hidden="1" customHeight="1" x14ac:dyDescent="0.25">
      <c r="A828" s="141" t="s">
        <v>5642</v>
      </c>
      <c r="B828" s="61" t="s">
        <v>34</v>
      </c>
      <c r="C828" s="61" t="s">
        <v>2743</v>
      </c>
      <c r="D828" s="61" t="s">
        <v>2719</v>
      </c>
      <c r="E828" s="61" t="s">
        <v>2720</v>
      </c>
      <c r="F828" s="61" t="s">
        <v>2721</v>
      </c>
      <c r="G828" s="61">
        <v>403</v>
      </c>
      <c r="H828" s="61">
        <v>429</v>
      </c>
      <c r="I828" s="61">
        <v>9198</v>
      </c>
      <c r="J828" s="62">
        <v>29355</v>
      </c>
      <c r="K828" s="61" t="s">
        <v>654</v>
      </c>
      <c r="L828" s="61" t="s">
        <v>1974</v>
      </c>
      <c r="P828" s="347"/>
      <c r="Q828" s="347"/>
    </row>
    <row r="829" spans="1:19" ht="15" hidden="1" customHeight="1" x14ac:dyDescent="0.25">
      <c r="A829" s="142" t="s">
        <v>5642</v>
      </c>
      <c r="B829" s="9" t="s">
        <v>249</v>
      </c>
      <c r="C829" s="9" t="s">
        <v>2744</v>
      </c>
      <c r="D829" s="9" t="s">
        <v>2722</v>
      </c>
      <c r="E829" s="9" t="s">
        <v>2723</v>
      </c>
      <c r="F829" s="9" t="s">
        <v>2724</v>
      </c>
      <c r="G829" s="9">
        <v>402</v>
      </c>
      <c r="H829" s="9">
        <v>1</v>
      </c>
      <c r="I829" s="9">
        <v>9198</v>
      </c>
      <c r="J829" s="37">
        <v>29355</v>
      </c>
      <c r="K829" s="9" t="s">
        <v>654</v>
      </c>
      <c r="L829" s="9" t="s">
        <v>1974</v>
      </c>
      <c r="P829" s="347"/>
      <c r="Q829" s="347"/>
      <c r="R829" s="183"/>
    </row>
    <row r="830" spans="1:19" ht="15" hidden="1" customHeight="1" x14ac:dyDescent="0.25">
      <c r="A830" s="199" t="s">
        <v>5642</v>
      </c>
      <c r="B830" s="154" t="s">
        <v>3781</v>
      </c>
      <c r="C830" s="154" t="s">
        <v>4846</v>
      </c>
      <c r="D830" s="154" t="s">
        <v>4816</v>
      </c>
      <c r="E830" s="154" t="s">
        <v>4817</v>
      </c>
      <c r="F830" s="154" t="s">
        <v>4818</v>
      </c>
      <c r="G830" s="154">
        <v>2326</v>
      </c>
      <c r="H830" s="154">
        <v>1</v>
      </c>
      <c r="I830" s="154">
        <v>9198</v>
      </c>
      <c r="J830" s="155">
        <v>29355</v>
      </c>
      <c r="K830" s="154" t="s">
        <v>654</v>
      </c>
      <c r="L830" s="154" t="s">
        <v>1974</v>
      </c>
      <c r="P830" s="347"/>
      <c r="Q830" s="347"/>
      <c r="R830" s="183"/>
    </row>
    <row r="831" spans="1:19" ht="15" hidden="1" customHeight="1" x14ac:dyDescent="0.25">
      <c r="A831" s="147" t="s">
        <v>5643</v>
      </c>
      <c r="B831" s="20" t="s">
        <v>597</v>
      </c>
      <c r="C831" s="20" t="s">
        <v>4536</v>
      </c>
      <c r="D831" s="20" t="s">
        <v>3570</v>
      </c>
      <c r="E831" s="20" t="s">
        <v>3571</v>
      </c>
      <c r="F831" s="20" t="s">
        <v>3572</v>
      </c>
      <c r="G831" s="20">
        <v>200</v>
      </c>
      <c r="H831" s="20">
        <v>4</v>
      </c>
      <c r="I831" s="20">
        <v>9198</v>
      </c>
      <c r="J831" s="36">
        <v>29355</v>
      </c>
      <c r="K831" s="20" t="s">
        <v>1417</v>
      </c>
      <c r="L831" s="20" t="s">
        <v>1974</v>
      </c>
      <c r="P831" s="347">
        <v>206</v>
      </c>
      <c r="Q831" s="348">
        <f>P831*100%/(1000)</f>
        <v>0.20599999999999999</v>
      </c>
      <c r="R831" s="183"/>
    </row>
    <row r="832" spans="1:19" ht="15" hidden="1" customHeight="1" x14ac:dyDescent="0.25">
      <c r="A832" s="141" t="s">
        <v>5643</v>
      </c>
      <c r="B832" s="61" t="s">
        <v>34</v>
      </c>
      <c r="C832" s="61" t="s">
        <v>4537</v>
      </c>
      <c r="D832" s="61" t="s">
        <v>4435</v>
      </c>
      <c r="E832" s="61" t="s">
        <v>4436</v>
      </c>
      <c r="F832" s="61" t="s">
        <v>4437</v>
      </c>
      <c r="G832" s="61">
        <v>201</v>
      </c>
      <c r="H832" s="61">
        <v>50</v>
      </c>
      <c r="I832" s="61">
        <v>9198</v>
      </c>
      <c r="J832" s="62">
        <v>29355</v>
      </c>
      <c r="K832" s="61" t="s">
        <v>1417</v>
      </c>
      <c r="L832" s="61" t="s">
        <v>1974</v>
      </c>
      <c r="P832" s="347"/>
      <c r="Q832" s="347"/>
      <c r="R832" s="183"/>
    </row>
    <row r="833" spans="1:18" ht="15" hidden="1" customHeight="1" x14ac:dyDescent="0.25">
      <c r="A833" s="254" t="s">
        <v>5643</v>
      </c>
      <c r="B833" s="9" t="s">
        <v>249</v>
      </c>
      <c r="C833" s="9" t="s">
        <v>4538</v>
      </c>
      <c r="D833" s="9" t="s">
        <v>3573</v>
      </c>
      <c r="E833" s="9" t="s">
        <v>3574</v>
      </c>
      <c r="F833" s="9" t="s">
        <v>3575</v>
      </c>
      <c r="G833" s="9">
        <v>202</v>
      </c>
      <c r="H833" s="9">
        <v>1</v>
      </c>
      <c r="I833" s="9">
        <v>9198</v>
      </c>
      <c r="J833" s="9">
        <v>29355</v>
      </c>
      <c r="K833" s="9" t="s">
        <v>1417</v>
      </c>
      <c r="L833" s="9" t="s">
        <v>1974</v>
      </c>
      <c r="P833" s="347"/>
      <c r="Q833" s="347"/>
      <c r="R833" s="183"/>
    </row>
    <row r="834" spans="1:18" ht="15" hidden="1" customHeight="1" x14ac:dyDescent="0.25">
      <c r="A834" s="152" t="s">
        <v>5643</v>
      </c>
      <c r="B834" s="57" t="s">
        <v>11</v>
      </c>
      <c r="C834" s="57" t="s">
        <v>7422</v>
      </c>
      <c r="D834" s="57" t="s">
        <v>7133</v>
      </c>
      <c r="E834" s="57" t="s">
        <v>7134</v>
      </c>
      <c r="F834" s="57" t="s">
        <v>7135</v>
      </c>
      <c r="G834" s="57">
        <v>502</v>
      </c>
      <c r="H834" s="57">
        <v>150</v>
      </c>
      <c r="I834" s="57">
        <v>9198</v>
      </c>
      <c r="J834" s="58">
        <v>29355</v>
      </c>
      <c r="K834" s="57" t="s">
        <v>1417</v>
      </c>
      <c r="L834" s="57" t="s">
        <v>1974</v>
      </c>
      <c r="P834" s="347"/>
      <c r="Q834" s="347"/>
    </row>
    <row r="835" spans="1:18" ht="15" hidden="1" customHeight="1" x14ac:dyDescent="0.25">
      <c r="A835" s="199" t="s">
        <v>5643</v>
      </c>
      <c r="B835" s="154" t="s">
        <v>3781</v>
      </c>
      <c r="C835" s="154" t="s">
        <v>4539</v>
      </c>
      <c r="D835" s="154" t="s">
        <v>4432</v>
      </c>
      <c r="E835" s="154" t="s">
        <v>4433</v>
      </c>
      <c r="F835" s="154" t="s">
        <v>4434</v>
      </c>
      <c r="G835" s="154">
        <v>203</v>
      </c>
      <c r="H835" s="154">
        <v>1</v>
      </c>
      <c r="I835" s="154">
        <v>9198</v>
      </c>
      <c r="J835" s="155">
        <v>29355</v>
      </c>
      <c r="K835" s="154" t="s">
        <v>1417</v>
      </c>
      <c r="L835" s="154" t="s">
        <v>1974</v>
      </c>
      <c r="P835" s="347"/>
      <c r="Q835" s="347"/>
      <c r="R835" s="183"/>
    </row>
    <row r="836" spans="1:18" ht="15" hidden="1" customHeight="1" x14ac:dyDescent="0.25">
      <c r="A836" s="147" t="s">
        <v>5644</v>
      </c>
      <c r="B836" s="20" t="s">
        <v>597</v>
      </c>
      <c r="C836" s="20" t="s">
        <v>3748</v>
      </c>
      <c r="D836" s="20" t="s">
        <v>3672</v>
      </c>
      <c r="E836" s="20" t="s">
        <v>3673</v>
      </c>
      <c r="F836" s="20" t="s">
        <v>3674</v>
      </c>
      <c r="G836" s="20">
        <v>500</v>
      </c>
      <c r="H836" s="20">
        <v>4</v>
      </c>
      <c r="I836" s="20">
        <v>9198</v>
      </c>
      <c r="J836" s="36">
        <v>29355</v>
      </c>
      <c r="K836" s="20" t="s">
        <v>440</v>
      </c>
      <c r="L836" s="20" t="s">
        <v>1974</v>
      </c>
      <c r="P836" s="347">
        <v>277</v>
      </c>
      <c r="Q836" s="348">
        <f>P836*100%/(1000)</f>
        <v>0.27700000000000002</v>
      </c>
      <c r="R836" s="183"/>
    </row>
    <row r="837" spans="1:18" ht="15" hidden="1" customHeight="1" x14ac:dyDescent="0.25">
      <c r="A837" s="141" t="s">
        <v>5644</v>
      </c>
      <c r="B837" s="61" t="s">
        <v>34</v>
      </c>
      <c r="C837" s="61" t="s">
        <v>3749</v>
      </c>
      <c r="D837" s="61" t="s">
        <v>3675</v>
      </c>
      <c r="E837" s="61" t="s">
        <v>3676</v>
      </c>
      <c r="F837" s="61" t="s">
        <v>3677</v>
      </c>
      <c r="G837" s="61">
        <v>502</v>
      </c>
      <c r="H837" s="61">
        <v>72</v>
      </c>
      <c r="I837" s="61">
        <v>9198</v>
      </c>
      <c r="J837" s="61">
        <v>29355</v>
      </c>
      <c r="K837" s="61" t="s">
        <v>440</v>
      </c>
      <c r="L837" s="61" t="s">
        <v>1974</v>
      </c>
      <c r="P837" s="347"/>
      <c r="Q837" s="347"/>
      <c r="R837" s="183"/>
    </row>
    <row r="838" spans="1:18" ht="15" hidden="1" customHeight="1" x14ac:dyDescent="0.25">
      <c r="A838" s="142" t="s">
        <v>5644</v>
      </c>
      <c r="B838" s="9" t="s">
        <v>249</v>
      </c>
      <c r="C838" s="9" t="s">
        <v>3750</v>
      </c>
      <c r="D838" s="9" t="s">
        <v>3678</v>
      </c>
      <c r="E838" s="9" t="s">
        <v>3679</v>
      </c>
      <c r="F838" s="9" t="s">
        <v>3680</v>
      </c>
      <c r="G838" s="9">
        <v>501</v>
      </c>
      <c r="H838" s="9">
        <v>1</v>
      </c>
      <c r="I838" s="9">
        <v>9198</v>
      </c>
      <c r="J838" s="9">
        <v>29355</v>
      </c>
      <c r="K838" s="9" t="s">
        <v>440</v>
      </c>
      <c r="L838" s="9" t="s">
        <v>1974</v>
      </c>
      <c r="P838" s="347"/>
      <c r="Q838" s="347"/>
      <c r="R838" s="183"/>
    </row>
    <row r="839" spans="1:18" ht="15" hidden="1" customHeight="1" x14ac:dyDescent="0.25">
      <c r="A839" s="57" t="s">
        <v>5644</v>
      </c>
      <c r="B839" s="57" t="s">
        <v>11</v>
      </c>
      <c r="C839" s="57" t="s">
        <v>7426</v>
      </c>
      <c r="D839" s="57" t="s">
        <v>7177</v>
      </c>
      <c r="E839" s="57" t="s">
        <v>7178</v>
      </c>
      <c r="F839" s="57" t="s">
        <v>7179</v>
      </c>
      <c r="G839" s="57">
        <v>504</v>
      </c>
      <c r="H839" s="57">
        <v>200</v>
      </c>
      <c r="I839" s="57">
        <v>9198</v>
      </c>
      <c r="J839" s="57">
        <v>29355</v>
      </c>
      <c r="K839" s="57" t="s">
        <v>440</v>
      </c>
      <c r="L839" s="57" t="s">
        <v>1974</v>
      </c>
      <c r="P839" s="347"/>
      <c r="Q839" s="347"/>
      <c r="R839" s="183"/>
    </row>
    <row r="840" spans="1:18" ht="15" hidden="1" customHeight="1" x14ac:dyDescent="0.25">
      <c r="A840" s="152" t="s">
        <v>5645</v>
      </c>
      <c r="B840" s="57" t="s">
        <v>11</v>
      </c>
      <c r="C840" s="57" t="s">
        <v>2989</v>
      </c>
      <c r="D840" s="57" t="s">
        <v>2976</v>
      </c>
      <c r="E840" s="57" t="s">
        <v>2977</v>
      </c>
      <c r="F840" s="57" t="s">
        <v>2978</v>
      </c>
      <c r="G840" s="57">
        <v>2584</v>
      </c>
      <c r="H840" s="57">
        <v>115</v>
      </c>
      <c r="I840" s="57">
        <v>9198</v>
      </c>
      <c r="J840" s="58">
        <v>64728</v>
      </c>
      <c r="K840" s="57" t="s">
        <v>428</v>
      </c>
      <c r="L840" s="57" t="s">
        <v>1974</v>
      </c>
      <c r="P840" s="347">
        <v>210</v>
      </c>
      <c r="Q840" s="348">
        <f>P840*100%/(1000)</f>
        <v>0.21</v>
      </c>
    </row>
    <row r="841" spans="1:18" ht="15" hidden="1" customHeight="1" x14ac:dyDescent="0.25">
      <c r="A841" s="141" t="s">
        <v>5645</v>
      </c>
      <c r="B841" s="124" t="s">
        <v>34</v>
      </c>
      <c r="C841" s="124" t="s">
        <v>825</v>
      </c>
      <c r="D841" s="124" t="s">
        <v>496</v>
      </c>
      <c r="E841" s="124" t="s">
        <v>494</v>
      </c>
      <c r="F841" s="124" t="s">
        <v>495</v>
      </c>
      <c r="G841" s="124">
        <v>405</v>
      </c>
      <c r="H841" s="124">
        <v>94</v>
      </c>
      <c r="I841" s="124">
        <v>9198</v>
      </c>
      <c r="J841" s="62">
        <v>64728</v>
      </c>
      <c r="K841" s="124" t="s">
        <v>1458</v>
      </c>
      <c r="L841" s="124" t="s">
        <v>1974</v>
      </c>
      <c r="P841" s="347"/>
      <c r="Q841" s="347"/>
      <c r="R841" s="183"/>
    </row>
    <row r="842" spans="1:18" ht="15" hidden="1" customHeight="1" x14ac:dyDescent="0.25">
      <c r="A842" s="142" t="s">
        <v>5645</v>
      </c>
      <c r="B842" s="9" t="s">
        <v>249</v>
      </c>
      <c r="C842" s="9" t="s">
        <v>826</v>
      </c>
      <c r="D842" s="9" t="s">
        <v>499</v>
      </c>
      <c r="E842" s="9" t="s">
        <v>497</v>
      </c>
      <c r="F842" s="9" t="s">
        <v>498</v>
      </c>
      <c r="G842" s="9">
        <v>406</v>
      </c>
      <c r="H842" s="9">
        <v>1</v>
      </c>
      <c r="I842" s="9">
        <v>9198</v>
      </c>
      <c r="J842" s="37">
        <v>64728</v>
      </c>
      <c r="K842" s="9" t="s">
        <v>1458</v>
      </c>
      <c r="L842" s="9" t="s">
        <v>1974</v>
      </c>
      <c r="P842" s="347"/>
      <c r="Q842" s="347"/>
      <c r="R842" s="183"/>
    </row>
    <row r="843" spans="1:18" ht="15" hidden="1" customHeight="1" x14ac:dyDescent="0.25">
      <c r="A843" s="147" t="s">
        <v>5646</v>
      </c>
      <c r="B843" s="20" t="s">
        <v>597</v>
      </c>
      <c r="C843" s="20" t="s">
        <v>2662</v>
      </c>
      <c r="D843" s="20" t="s">
        <v>2608</v>
      </c>
      <c r="E843" s="20" t="s">
        <v>2609</v>
      </c>
      <c r="F843" s="20" t="s">
        <v>2610</v>
      </c>
      <c r="G843" s="20">
        <v>1898</v>
      </c>
      <c r="H843" s="20">
        <v>4</v>
      </c>
      <c r="I843" s="20">
        <v>9198</v>
      </c>
      <c r="J843" s="36">
        <v>29355</v>
      </c>
      <c r="K843" s="20" t="s">
        <v>434</v>
      </c>
      <c r="L843" s="20" t="s">
        <v>1974</v>
      </c>
      <c r="P843" s="347">
        <v>58</v>
      </c>
      <c r="Q843" s="348">
        <f>P843*100%/(1000)</f>
        <v>5.8000000000000003E-2</v>
      </c>
    </row>
    <row r="844" spans="1:18" ht="15" hidden="1" customHeight="1" x14ac:dyDescent="0.25">
      <c r="A844" s="141" t="s">
        <v>5646</v>
      </c>
      <c r="B844" s="61" t="s">
        <v>34</v>
      </c>
      <c r="C844" s="61" t="s">
        <v>2663</v>
      </c>
      <c r="D844" s="61" t="s">
        <v>2611</v>
      </c>
      <c r="E844" s="61" t="s">
        <v>2612</v>
      </c>
      <c r="F844" s="61" t="s">
        <v>2613</v>
      </c>
      <c r="G844" s="61">
        <v>1899</v>
      </c>
      <c r="H844" s="61">
        <v>53</v>
      </c>
      <c r="I844" s="61">
        <v>9198</v>
      </c>
      <c r="J844" s="61">
        <v>29355</v>
      </c>
      <c r="K844" s="61" t="s">
        <v>434</v>
      </c>
      <c r="L844" s="61" t="s">
        <v>1974</v>
      </c>
      <c r="P844" s="347"/>
      <c r="Q844" s="347"/>
      <c r="R844" s="183"/>
    </row>
    <row r="845" spans="1:18" ht="15" hidden="1" customHeight="1" x14ac:dyDescent="0.25">
      <c r="A845" s="142" t="s">
        <v>5646</v>
      </c>
      <c r="B845" s="9" t="s">
        <v>249</v>
      </c>
      <c r="C845" s="9" t="s">
        <v>2664</v>
      </c>
      <c r="D845" s="9" t="s">
        <v>2614</v>
      </c>
      <c r="E845" s="9" t="s">
        <v>2615</v>
      </c>
      <c r="F845" s="9" t="s">
        <v>2616</v>
      </c>
      <c r="G845" s="9">
        <v>1896</v>
      </c>
      <c r="H845" s="9">
        <v>1</v>
      </c>
      <c r="I845" s="9">
        <v>9198</v>
      </c>
      <c r="J845" s="9">
        <v>29355</v>
      </c>
      <c r="K845" s="9" t="s">
        <v>574</v>
      </c>
      <c r="L845" s="9" t="s">
        <v>1974</v>
      </c>
      <c r="P845" s="347"/>
      <c r="Q845" s="347"/>
      <c r="R845" s="183"/>
    </row>
    <row r="846" spans="1:18" ht="15" hidden="1" customHeight="1" x14ac:dyDescent="0.25">
      <c r="A846" s="147" t="s">
        <v>5648</v>
      </c>
      <c r="B846" s="20" t="s">
        <v>597</v>
      </c>
      <c r="C846" s="20" t="s">
        <v>1507</v>
      </c>
      <c r="D846" s="20" t="s">
        <v>3582</v>
      </c>
      <c r="E846" s="20" t="s">
        <v>3583</v>
      </c>
      <c r="F846" s="20" t="s">
        <v>3584</v>
      </c>
      <c r="G846" s="20"/>
      <c r="H846" s="20">
        <v>4</v>
      </c>
      <c r="I846" s="20"/>
      <c r="J846" s="36">
        <v>29355</v>
      </c>
      <c r="K846" s="20" t="s">
        <v>1417</v>
      </c>
      <c r="L846" s="20" t="s">
        <v>1974</v>
      </c>
      <c r="P846" s="347">
        <v>56</v>
      </c>
      <c r="Q846" s="348">
        <f>P846*100%/(1000)</f>
        <v>5.6000000000000001E-2</v>
      </c>
    </row>
    <row r="847" spans="1:18" ht="15" hidden="1" customHeight="1" x14ac:dyDescent="0.25">
      <c r="A847" s="141" t="s">
        <v>5648</v>
      </c>
      <c r="B847" s="61" t="s">
        <v>34</v>
      </c>
      <c r="C847" s="61" t="s">
        <v>1507</v>
      </c>
      <c r="D847" s="61" t="s">
        <v>3585</v>
      </c>
      <c r="E847" s="61" t="s">
        <v>3586</v>
      </c>
      <c r="F847" s="61" t="s">
        <v>3587</v>
      </c>
      <c r="G847" s="61"/>
      <c r="H847" s="61">
        <v>50</v>
      </c>
      <c r="I847" s="61"/>
      <c r="J847" s="62">
        <v>29355</v>
      </c>
      <c r="K847" s="61" t="s">
        <v>1417</v>
      </c>
      <c r="L847" s="61" t="s">
        <v>1974</v>
      </c>
      <c r="P847" s="347"/>
      <c r="Q847" s="347"/>
      <c r="R847" s="183"/>
    </row>
    <row r="848" spans="1:18" ht="15" hidden="1" customHeight="1" x14ac:dyDescent="0.25">
      <c r="A848" s="142" t="s">
        <v>5648</v>
      </c>
      <c r="B848" s="9" t="s">
        <v>249</v>
      </c>
      <c r="C848" s="9" t="s">
        <v>1507</v>
      </c>
      <c r="D848" s="9" t="s">
        <v>3588</v>
      </c>
      <c r="E848" s="9" t="s">
        <v>3589</v>
      </c>
      <c r="F848" s="9" t="s">
        <v>3590</v>
      </c>
      <c r="G848" s="9"/>
      <c r="H848" s="9">
        <v>1</v>
      </c>
      <c r="I848" s="9"/>
      <c r="J848" s="37">
        <v>29355</v>
      </c>
      <c r="K848" s="9" t="s">
        <v>1417</v>
      </c>
      <c r="L848" s="9" t="s">
        <v>1974</v>
      </c>
      <c r="P848" s="347"/>
      <c r="Q848" s="347"/>
    </row>
    <row r="849" spans="1:18" ht="15" hidden="1" customHeight="1" x14ac:dyDescent="0.25">
      <c r="A849" s="199" t="s">
        <v>5648</v>
      </c>
      <c r="B849" s="154" t="s">
        <v>3781</v>
      </c>
      <c r="C849" s="154" t="s">
        <v>1507</v>
      </c>
      <c r="D849" s="154" t="s">
        <v>4592</v>
      </c>
      <c r="E849" s="154" t="s">
        <v>4593</v>
      </c>
      <c r="F849" s="154" t="s">
        <v>4593</v>
      </c>
      <c r="G849" s="154"/>
      <c r="H849" s="154">
        <v>1</v>
      </c>
      <c r="I849" s="154"/>
      <c r="J849" s="155">
        <v>29355</v>
      </c>
      <c r="K849" s="154" t="s">
        <v>1417</v>
      </c>
      <c r="L849" s="154" t="s">
        <v>1974</v>
      </c>
      <c r="P849" s="347"/>
      <c r="Q849" s="347"/>
    </row>
    <row r="850" spans="1:18" ht="15" hidden="1" customHeight="1" x14ac:dyDescent="0.25">
      <c r="A850" s="147" t="s">
        <v>5797</v>
      </c>
      <c r="B850" s="20" t="s">
        <v>597</v>
      </c>
      <c r="C850" s="20" t="s">
        <v>6156</v>
      </c>
      <c r="D850" s="20"/>
      <c r="E850" s="20"/>
      <c r="F850" s="20" t="s">
        <v>6138</v>
      </c>
      <c r="G850" s="20">
        <v>2363</v>
      </c>
      <c r="H850" s="20">
        <v>3</v>
      </c>
      <c r="I850" s="20" t="s">
        <v>1454</v>
      </c>
      <c r="J850" s="20" t="s">
        <v>1454</v>
      </c>
      <c r="K850" s="20" t="s">
        <v>1417</v>
      </c>
      <c r="L850" s="20" t="s">
        <v>1972</v>
      </c>
      <c r="P850" s="347">
        <v>54</v>
      </c>
      <c r="Q850" s="348">
        <f>P850*100%/(20000)</f>
        <v>2.7000000000000001E-3</v>
      </c>
    </row>
    <row r="851" spans="1:18" ht="15" hidden="1" customHeight="1" x14ac:dyDescent="0.25">
      <c r="A851" s="141" t="s">
        <v>5797</v>
      </c>
      <c r="B851" s="61" t="s">
        <v>34</v>
      </c>
      <c r="C851" s="61" t="s">
        <v>6157</v>
      </c>
      <c r="D851" s="61"/>
      <c r="E851" s="61"/>
      <c r="F851" s="61" t="s">
        <v>6139</v>
      </c>
      <c r="G851" s="61">
        <v>2364</v>
      </c>
      <c r="H851" s="61">
        <v>50</v>
      </c>
      <c r="I851" s="61" t="s">
        <v>1454</v>
      </c>
      <c r="J851" s="61" t="s">
        <v>1454</v>
      </c>
      <c r="K851" s="61" t="s">
        <v>1417</v>
      </c>
      <c r="L851" s="61" t="s">
        <v>1972</v>
      </c>
      <c r="P851" s="347"/>
      <c r="Q851" s="347"/>
      <c r="R851" s="183"/>
    </row>
    <row r="852" spans="1:18" ht="15" hidden="1" customHeight="1" x14ac:dyDescent="0.25">
      <c r="A852" s="199" t="s">
        <v>5797</v>
      </c>
      <c r="B852" s="154" t="s">
        <v>3781</v>
      </c>
      <c r="C852" s="154" t="s">
        <v>6158</v>
      </c>
      <c r="D852" s="154"/>
      <c r="E852" s="154"/>
      <c r="F852" s="154" t="s">
        <v>6140</v>
      </c>
      <c r="G852" s="154">
        <v>2365</v>
      </c>
      <c r="H852" s="154">
        <v>1</v>
      </c>
      <c r="I852" s="154" t="s">
        <v>1454</v>
      </c>
      <c r="J852" s="155" t="s">
        <v>1454</v>
      </c>
      <c r="K852" s="154" t="s">
        <v>1417</v>
      </c>
      <c r="L852" s="154" t="s">
        <v>1972</v>
      </c>
      <c r="P852" s="347"/>
      <c r="Q852" s="347"/>
      <c r="R852" s="183"/>
    </row>
    <row r="853" spans="1:18" ht="15" hidden="1" customHeight="1" x14ac:dyDescent="0.25">
      <c r="A853" s="152" t="s">
        <v>5647</v>
      </c>
      <c r="B853" s="57" t="s">
        <v>11</v>
      </c>
      <c r="C853" s="57" t="s">
        <v>2990</v>
      </c>
      <c r="D853" s="57" t="s">
        <v>2970</v>
      </c>
      <c r="E853" s="57" t="s">
        <v>2971</v>
      </c>
      <c r="F853" s="57" t="s">
        <v>2972</v>
      </c>
      <c r="G853" s="57">
        <v>2584</v>
      </c>
      <c r="H853" s="57">
        <v>270</v>
      </c>
      <c r="I853" s="57">
        <v>9198</v>
      </c>
      <c r="J853" s="58">
        <v>65231</v>
      </c>
      <c r="K853" s="57" t="s">
        <v>428</v>
      </c>
      <c r="L853" s="57" t="s">
        <v>1974</v>
      </c>
      <c r="P853" s="347">
        <v>521</v>
      </c>
      <c r="Q853" s="348">
        <f>P853*100%/(1000)</f>
        <v>0.52100000000000002</v>
      </c>
      <c r="R853" s="183"/>
    </row>
    <row r="854" spans="1:18" ht="15" hidden="1" customHeight="1" x14ac:dyDescent="0.25">
      <c r="A854" s="141" t="s">
        <v>5647</v>
      </c>
      <c r="B854" s="61" t="s">
        <v>34</v>
      </c>
      <c r="C854" s="61" t="s">
        <v>830</v>
      </c>
      <c r="D854" s="61" t="s">
        <v>484</v>
      </c>
      <c r="E854" s="61" t="s">
        <v>482</v>
      </c>
      <c r="F854" s="61" t="s">
        <v>483</v>
      </c>
      <c r="G854" s="61">
        <v>3787</v>
      </c>
      <c r="H854" s="61">
        <v>250</v>
      </c>
      <c r="I854" s="61">
        <v>9198</v>
      </c>
      <c r="J854" s="61">
        <v>65231</v>
      </c>
      <c r="K854" s="61" t="s">
        <v>1458</v>
      </c>
      <c r="L854" s="61" t="s">
        <v>1974</v>
      </c>
      <c r="P854" s="347"/>
      <c r="Q854" s="347"/>
    </row>
    <row r="855" spans="1:18" ht="15" hidden="1" customHeight="1" x14ac:dyDescent="0.25">
      <c r="A855" s="142" t="s">
        <v>5647</v>
      </c>
      <c r="B855" s="9" t="s">
        <v>249</v>
      </c>
      <c r="C855" s="9" t="s">
        <v>831</v>
      </c>
      <c r="D855" s="9" t="s">
        <v>486</v>
      </c>
      <c r="E855" s="9" t="s">
        <v>485</v>
      </c>
      <c r="F855" s="9" t="s">
        <v>487</v>
      </c>
      <c r="G855" s="9">
        <v>3788</v>
      </c>
      <c r="H855" s="9">
        <v>1</v>
      </c>
      <c r="I855" s="9">
        <v>9198</v>
      </c>
      <c r="J855" s="37">
        <v>65231</v>
      </c>
      <c r="K855" s="9" t="s">
        <v>1458</v>
      </c>
      <c r="L855" s="9" t="s">
        <v>1974</v>
      </c>
      <c r="P855" s="347"/>
      <c r="Q855" s="347"/>
    </row>
    <row r="856" spans="1:18" ht="15" hidden="1" customHeight="1" x14ac:dyDescent="0.25">
      <c r="A856" s="152" t="s">
        <v>5649</v>
      </c>
      <c r="B856" s="138" t="s">
        <v>11</v>
      </c>
      <c r="C856" s="138" t="s">
        <v>2683</v>
      </c>
      <c r="D856" s="138" t="s">
        <v>2579</v>
      </c>
      <c r="E856" s="138" t="s">
        <v>2580</v>
      </c>
      <c r="F856" s="138" t="s">
        <v>2581</v>
      </c>
      <c r="G856" s="138">
        <v>1457</v>
      </c>
      <c r="H856" s="138">
        <v>100</v>
      </c>
      <c r="I856" s="138">
        <v>9198</v>
      </c>
      <c r="J856" s="58">
        <v>29355</v>
      </c>
      <c r="K856" s="138" t="s">
        <v>433</v>
      </c>
      <c r="L856" s="138" t="s">
        <v>1974</v>
      </c>
      <c r="P856" s="347">
        <v>166</v>
      </c>
      <c r="Q856" s="348">
        <f>P856*100%/(1000)</f>
        <v>0.16600000000000001</v>
      </c>
      <c r="R856" s="217"/>
    </row>
    <row r="857" spans="1:18" ht="14.25" hidden="1" customHeight="1" x14ac:dyDescent="0.25">
      <c r="A857" s="141" t="s">
        <v>5649</v>
      </c>
      <c r="B857" s="61" t="s">
        <v>34</v>
      </c>
      <c r="C857" s="61" t="s">
        <v>2681</v>
      </c>
      <c r="D857" s="61" t="s">
        <v>2573</v>
      </c>
      <c r="E857" s="61" t="s">
        <v>2574</v>
      </c>
      <c r="F857" s="61" t="s">
        <v>2575</v>
      </c>
      <c r="G857" s="61">
        <v>1455</v>
      </c>
      <c r="H857" s="61">
        <v>65</v>
      </c>
      <c r="I857" s="61">
        <v>9198</v>
      </c>
      <c r="J857" s="62">
        <v>29355</v>
      </c>
      <c r="K857" s="61" t="s">
        <v>436</v>
      </c>
      <c r="L857" s="61" t="s">
        <v>1974</v>
      </c>
      <c r="P857" s="347"/>
      <c r="Q857" s="347"/>
      <c r="R857" s="217" t="s">
        <v>2680</v>
      </c>
    </row>
    <row r="858" spans="1:18" ht="14.25" hidden="1" customHeight="1" x14ac:dyDescent="0.25">
      <c r="A858" s="142" t="s">
        <v>5649</v>
      </c>
      <c r="B858" s="9" t="s">
        <v>249</v>
      </c>
      <c r="C858" s="9" t="s">
        <v>2682</v>
      </c>
      <c r="D858" s="9" t="s">
        <v>2576</v>
      </c>
      <c r="E858" s="9" t="s">
        <v>2577</v>
      </c>
      <c r="F858" s="9" t="s">
        <v>2578</v>
      </c>
      <c r="G858" s="9">
        <v>1456</v>
      </c>
      <c r="H858" s="9">
        <v>1</v>
      </c>
      <c r="I858" s="9">
        <v>9198</v>
      </c>
      <c r="J858" s="37">
        <v>29355</v>
      </c>
      <c r="K858" s="9" t="s">
        <v>436</v>
      </c>
      <c r="L858" s="9" t="s">
        <v>1974</v>
      </c>
      <c r="P858" s="347"/>
      <c r="Q858" s="347"/>
      <c r="R858" s="217"/>
    </row>
    <row r="859" spans="1:18" ht="14.25" hidden="1" customHeight="1" x14ac:dyDescent="0.25">
      <c r="A859" s="147" t="s">
        <v>5650</v>
      </c>
      <c r="B859" s="20" t="s">
        <v>597</v>
      </c>
      <c r="C859" s="20" t="s">
        <v>1894</v>
      </c>
      <c r="D859" s="20" t="s">
        <v>1672</v>
      </c>
      <c r="E859" s="20" t="s">
        <v>1673</v>
      </c>
      <c r="F859" s="20" t="s">
        <v>1674</v>
      </c>
      <c r="G859" s="20">
        <v>1762</v>
      </c>
      <c r="H859" s="20">
        <v>20</v>
      </c>
      <c r="I859" s="20">
        <v>9198</v>
      </c>
      <c r="J859" s="36">
        <v>29355</v>
      </c>
      <c r="K859" s="20" t="s">
        <v>432</v>
      </c>
      <c r="L859" s="20" t="s">
        <v>1974</v>
      </c>
      <c r="P859" s="347">
        <v>330</v>
      </c>
      <c r="Q859" s="348">
        <f>P859*100%/(1000)</f>
        <v>0.33</v>
      </c>
      <c r="R859" s="183"/>
    </row>
    <row r="860" spans="1:18" ht="14.25" hidden="1" customHeight="1" x14ac:dyDescent="0.25">
      <c r="A860" s="141" t="s">
        <v>5650</v>
      </c>
      <c r="B860" s="61" t="s">
        <v>34</v>
      </c>
      <c r="C860" s="61" t="s">
        <v>1893</v>
      </c>
      <c r="D860" s="61" t="s">
        <v>1669</v>
      </c>
      <c r="E860" s="61" t="s">
        <v>1670</v>
      </c>
      <c r="F860" s="61" t="s">
        <v>1671</v>
      </c>
      <c r="G860" s="61">
        <v>1768</v>
      </c>
      <c r="H860" s="61">
        <v>280</v>
      </c>
      <c r="I860" s="61">
        <v>9198</v>
      </c>
      <c r="J860" s="62">
        <v>29355</v>
      </c>
      <c r="K860" s="61" t="s">
        <v>432</v>
      </c>
      <c r="L860" s="61" t="s">
        <v>1974</v>
      </c>
      <c r="P860" s="347"/>
      <c r="Q860" s="347"/>
      <c r="R860" s="183"/>
    </row>
    <row r="861" spans="1:18" ht="14.25" hidden="1" customHeight="1" x14ac:dyDescent="0.25">
      <c r="A861" s="165" t="s">
        <v>5650</v>
      </c>
      <c r="B861" s="167" t="s">
        <v>3825</v>
      </c>
      <c r="C861" s="167" t="s">
        <v>4114</v>
      </c>
      <c r="D861" s="168" t="s">
        <v>3844</v>
      </c>
      <c r="E861" s="168" t="s">
        <v>3845</v>
      </c>
      <c r="F861" s="168" t="s">
        <v>3846</v>
      </c>
      <c r="G861" s="168">
        <v>2155</v>
      </c>
      <c r="H861" s="168">
        <v>30</v>
      </c>
      <c r="I861" s="168">
        <v>9198</v>
      </c>
      <c r="J861" s="166">
        <v>29355</v>
      </c>
      <c r="K861" s="168" t="s">
        <v>428</v>
      </c>
      <c r="L861" s="168" t="s">
        <v>1974</v>
      </c>
      <c r="P861" s="347"/>
      <c r="Q861" s="347"/>
      <c r="R861" s="183"/>
    </row>
    <row r="862" spans="1:18" ht="14.25" hidden="1" customHeight="1" x14ac:dyDescent="0.25">
      <c r="A862" s="147" t="s">
        <v>5651</v>
      </c>
      <c r="B862" s="20" t="s">
        <v>597</v>
      </c>
      <c r="C862" s="20" t="s">
        <v>3354</v>
      </c>
      <c r="D862" s="20" t="s">
        <v>3281</v>
      </c>
      <c r="E862" s="20" t="s">
        <v>3282</v>
      </c>
      <c r="F862" s="20" t="s">
        <v>3283</v>
      </c>
      <c r="G862" s="20">
        <v>300</v>
      </c>
      <c r="H862" s="20">
        <v>4</v>
      </c>
      <c r="I862" s="20">
        <v>9198</v>
      </c>
      <c r="J862" s="36">
        <v>29355</v>
      </c>
      <c r="K862" s="20" t="s">
        <v>1417</v>
      </c>
      <c r="L862" s="20" t="s">
        <v>1974</v>
      </c>
      <c r="P862" s="347">
        <v>48</v>
      </c>
      <c r="Q862" s="348">
        <f>P862*100%/(1000)</f>
        <v>4.8000000000000001E-2</v>
      </c>
      <c r="R862" s="183"/>
    </row>
    <row r="863" spans="1:18" ht="14.25" hidden="1" customHeight="1" x14ac:dyDescent="0.25">
      <c r="A863" s="141" t="s">
        <v>5651</v>
      </c>
      <c r="B863" s="61" t="s">
        <v>34</v>
      </c>
      <c r="C863" s="61" t="s">
        <v>3355</v>
      </c>
      <c r="D863" s="61" t="s">
        <v>3284</v>
      </c>
      <c r="E863" s="61" t="s">
        <v>3285</v>
      </c>
      <c r="F863" s="61" t="s">
        <v>3286</v>
      </c>
      <c r="G863" s="61">
        <v>301</v>
      </c>
      <c r="H863" s="61">
        <v>44</v>
      </c>
      <c r="I863" s="61">
        <v>9198</v>
      </c>
      <c r="J863" s="62">
        <v>29355</v>
      </c>
      <c r="K863" s="61" t="s">
        <v>1417</v>
      </c>
      <c r="L863" s="61" t="s">
        <v>1974</v>
      </c>
      <c r="P863" s="347"/>
      <c r="Q863" s="347"/>
    </row>
    <row r="864" spans="1:18" ht="14.25" hidden="1" customHeight="1" x14ac:dyDescent="0.25">
      <c r="A864" s="147" t="s">
        <v>5652</v>
      </c>
      <c r="B864" s="20" t="s">
        <v>597</v>
      </c>
      <c r="C864" s="20" t="s">
        <v>7418</v>
      </c>
      <c r="D864" s="20" t="s">
        <v>7115</v>
      </c>
      <c r="E864" s="20" t="s">
        <v>7116</v>
      </c>
      <c r="F864" s="20" t="s">
        <v>7117</v>
      </c>
      <c r="G864" s="20">
        <v>516</v>
      </c>
      <c r="H864" s="20">
        <v>4</v>
      </c>
      <c r="I864" s="20">
        <v>9198</v>
      </c>
      <c r="J864" s="36">
        <v>29355</v>
      </c>
      <c r="K864" s="20" t="s">
        <v>1417</v>
      </c>
      <c r="L864" s="20" t="s">
        <v>1974</v>
      </c>
      <c r="P864" s="347">
        <v>187</v>
      </c>
      <c r="Q864" s="348">
        <f>P864*100%/(1000)</f>
        <v>0.187</v>
      </c>
      <c r="R864" s="183"/>
    </row>
    <row r="865" spans="1:18" ht="14.25" hidden="1" customHeight="1" x14ac:dyDescent="0.25">
      <c r="A865" s="141" t="s">
        <v>5652</v>
      </c>
      <c r="B865" s="61" t="s">
        <v>34</v>
      </c>
      <c r="C865" s="61" t="s">
        <v>4963</v>
      </c>
      <c r="D865" s="61" t="s">
        <v>4733</v>
      </c>
      <c r="E865" s="61" t="s">
        <v>4734</v>
      </c>
      <c r="F865" s="61" t="s">
        <v>4735</v>
      </c>
      <c r="G865" s="61">
        <v>2127</v>
      </c>
      <c r="H865" s="61">
        <v>32</v>
      </c>
      <c r="I865" s="61">
        <v>9198</v>
      </c>
      <c r="J865" s="62">
        <v>29355</v>
      </c>
      <c r="K865" s="61" t="s">
        <v>1417</v>
      </c>
      <c r="L865" s="61" t="s">
        <v>1974</v>
      </c>
      <c r="P865" s="347"/>
      <c r="Q865" s="347"/>
    </row>
    <row r="866" spans="1:18" ht="14.25" hidden="1" customHeight="1" x14ac:dyDescent="0.25">
      <c r="A866" s="142" t="s">
        <v>5652</v>
      </c>
      <c r="B866" s="9" t="s">
        <v>249</v>
      </c>
      <c r="C866" s="9" t="s">
        <v>4964</v>
      </c>
      <c r="D866" s="9" t="s">
        <v>4736</v>
      </c>
      <c r="E866" s="9" t="s">
        <v>4737</v>
      </c>
      <c r="F866" s="9" t="s">
        <v>4738</v>
      </c>
      <c r="G866" s="9">
        <v>2128</v>
      </c>
      <c r="H866" s="9">
        <v>1</v>
      </c>
      <c r="I866" s="9">
        <v>9198</v>
      </c>
      <c r="J866" s="37">
        <v>29355</v>
      </c>
      <c r="K866" s="9" t="s">
        <v>1417</v>
      </c>
      <c r="L866" s="9" t="s">
        <v>1974</v>
      </c>
      <c r="P866" s="347"/>
      <c r="Q866" s="347"/>
    </row>
    <row r="867" spans="1:18" ht="14.25" hidden="1" customHeight="1" x14ac:dyDescent="0.25">
      <c r="A867" s="152" t="s">
        <v>5652</v>
      </c>
      <c r="B867" s="57" t="s">
        <v>11</v>
      </c>
      <c r="C867" s="57" t="s">
        <v>7419</v>
      </c>
      <c r="D867" s="57" t="s">
        <v>7118</v>
      </c>
      <c r="E867" s="57" t="s">
        <v>7119</v>
      </c>
      <c r="F867" s="57" t="s">
        <v>7120</v>
      </c>
      <c r="G867" s="57">
        <v>515</v>
      </c>
      <c r="H867" s="57">
        <v>150</v>
      </c>
      <c r="I867" s="57">
        <v>9198</v>
      </c>
      <c r="J867" s="58">
        <v>29355</v>
      </c>
      <c r="K867" s="57" t="s">
        <v>1417</v>
      </c>
      <c r="L867" s="57" t="s">
        <v>1974</v>
      </c>
      <c r="P867" s="347"/>
      <c r="Q867" s="347"/>
      <c r="R867" s="146" t="s">
        <v>3693</v>
      </c>
    </row>
    <row r="868" spans="1:18" ht="14.25" hidden="1" customHeight="1" x14ac:dyDescent="0.25">
      <c r="A868" s="147" t="s">
        <v>5653</v>
      </c>
      <c r="B868" s="20" t="s">
        <v>597</v>
      </c>
      <c r="C868" s="20" t="s">
        <v>832</v>
      </c>
      <c r="D868" s="20" t="s">
        <v>565</v>
      </c>
      <c r="E868" s="20" t="s">
        <v>566</v>
      </c>
      <c r="F868" s="20" t="s">
        <v>567</v>
      </c>
      <c r="G868" s="20">
        <v>1655</v>
      </c>
      <c r="H868" s="20">
        <v>8</v>
      </c>
      <c r="I868" s="20">
        <v>9198</v>
      </c>
      <c r="J868" s="36">
        <v>65008</v>
      </c>
      <c r="K868" s="20" t="s">
        <v>434</v>
      </c>
      <c r="L868" s="20" t="s">
        <v>1974</v>
      </c>
      <c r="P868" s="347">
        <v>51</v>
      </c>
      <c r="Q868" s="348">
        <f>P868*100%/(1000)</f>
        <v>5.0999999999999997E-2</v>
      </c>
      <c r="R868" s="183"/>
    </row>
    <row r="869" spans="1:18" ht="14.25" hidden="1" customHeight="1" x14ac:dyDescent="0.25">
      <c r="A869" s="141" t="s">
        <v>5653</v>
      </c>
      <c r="B869" s="61" t="s">
        <v>34</v>
      </c>
      <c r="C869" s="61" t="s">
        <v>833</v>
      </c>
      <c r="D869" s="61" t="s">
        <v>562</v>
      </c>
      <c r="E869" s="61" t="s">
        <v>563</v>
      </c>
      <c r="F869" s="61" t="s">
        <v>564</v>
      </c>
      <c r="G869" s="61">
        <v>1654</v>
      </c>
      <c r="H869" s="61">
        <v>43</v>
      </c>
      <c r="I869" s="61">
        <v>9198</v>
      </c>
      <c r="J869" s="62">
        <v>65008</v>
      </c>
      <c r="K869" s="61" t="s">
        <v>434</v>
      </c>
      <c r="L869" s="61" t="s">
        <v>1974</v>
      </c>
      <c r="P869" s="347"/>
      <c r="Q869" s="347"/>
    </row>
    <row r="870" spans="1:18" ht="14.25" hidden="1" customHeight="1" x14ac:dyDescent="0.25">
      <c r="A870" s="141" t="s">
        <v>5654</v>
      </c>
      <c r="B870" s="61" t="s">
        <v>34</v>
      </c>
      <c r="C870" s="61" t="s">
        <v>3864</v>
      </c>
      <c r="D870" s="61" t="s">
        <v>3634</v>
      </c>
      <c r="E870" s="61" t="s">
        <v>3635</v>
      </c>
      <c r="F870" s="61" t="s">
        <v>3636</v>
      </c>
      <c r="G870" s="61">
        <v>3656</v>
      </c>
      <c r="H870" s="61">
        <v>90</v>
      </c>
      <c r="I870" s="61">
        <v>64726</v>
      </c>
      <c r="J870" s="62">
        <v>29355</v>
      </c>
      <c r="K870" s="61" t="s">
        <v>429</v>
      </c>
      <c r="L870" s="61" t="s">
        <v>1974</v>
      </c>
      <c r="P870" s="347">
        <v>347</v>
      </c>
      <c r="Q870" s="348">
        <f>P870*100%/(1000)</f>
        <v>0.34699999999999998</v>
      </c>
    </row>
    <row r="871" spans="1:18" ht="14.25" hidden="1" customHeight="1" x14ac:dyDescent="0.25">
      <c r="A871" s="142" t="s">
        <v>5654</v>
      </c>
      <c r="B871" s="9" t="s">
        <v>249</v>
      </c>
      <c r="C871" s="9" t="s">
        <v>3865</v>
      </c>
      <c r="D871" s="9" t="s">
        <v>3637</v>
      </c>
      <c r="E871" s="9" t="s">
        <v>3638</v>
      </c>
      <c r="F871" s="9" t="s">
        <v>3639</v>
      </c>
      <c r="G871" s="9">
        <v>3657</v>
      </c>
      <c r="H871" s="9">
        <v>1</v>
      </c>
      <c r="I871" s="9">
        <v>64726</v>
      </c>
      <c r="J871" s="37">
        <v>29355</v>
      </c>
      <c r="K871" s="9" t="s">
        <v>429</v>
      </c>
      <c r="L871" s="9" t="s">
        <v>1974</v>
      </c>
      <c r="P871" s="347"/>
      <c r="Q871" s="347"/>
    </row>
    <row r="872" spans="1:18" ht="14.25" hidden="1" customHeight="1" x14ac:dyDescent="0.25">
      <c r="A872" s="199" t="s">
        <v>5654</v>
      </c>
      <c r="B872" s="199" t="s">
        <v>3781</v>
      </c>
      <c r="C872" s="199" t="s">
        <v>1507</v>
      </c>
      <c r="D872" s="199" t="s">
        <v>7318</v>
      </c>
      <c r="E872" s="199" t="s">
        <v>7319</v>
      </c>
      <c r="F872" s="199" t="s">
        <v>7320</v>
      </c>
      <c r="G872" s="199"/>
      <c r="H872" s="199">
        <v>1</v>
      </c>
      <c r="I872" s="199"/>
      <c r="J872" s="155">
        <v>29355</v>
      </c>
      <c r="K872" s="199" t="s">
        <v>429</v>
      </c>
      <c r="L872" s="199" t="s">
        <v>1974</v>
      </c>
      <c r="P872" s="347"/>
      <c r="Q872" s="347"/>
      <c r="R872" s="183"/>
    </row>
    <row r="873" spans="1:18" ht="14.25" hidden="1" customHeight="1" x14ac:dyDescent="0.25">
      <c r="A873" s="57" t="s">
        <v>5654</v>
      </c>
      <c r="B873" s="57" t="s">
        <v>11</v>
      </c>
      <c r="C873" s="57" t="s">
        <v>1507</v>
      </c>
      <c r="D873" s="57" t="s">
        <v>7147</v>
      </c>
      <c r="E873" s="57" t="s">
        <v>7148</v>
      </c>
      <c r="F873" s="57" t="s">
        <v>7149</v>
      </c>
      <c r="G873" s="57"/>
      <c r="H873" s="57">
        <v>250</v>
      </c>
      <c r="I873" s="57"/>
      <c r="J873" s="57">
        <v>29355</v>
      </c>
      <c r="K873" s="57" t="s">
        <v>428</v>
      </c>
      <c r="L873" s="57" t="s">
        <v>1974</v>
      </c>
      <c r="P873" s="347"/>
      <c r="Q873" s="347"/>
    </row>
    <row r="874" spans="1:18" ht="14.25" hidden="1" customHeight="1" x14ac:dyDescent="0.25">
      <c r="A874" s="20" t="s">
        <v>5654</v>
      </c>
      <c r="B874" s="20" t="s">
        <v>597</v>
      </c>
      <c r="C874" s="20" t="s">
        <v>1507</v>
      </c>
      <c r="D874" s="20" t="s">
        <v>7150</v>
      </c>
      <c r="E874" s="20" t="s">
        <v>7151</v>
      </c>
      <c r="F874" s="20" t="s">
        <v>7152</v>
      </c>
      <c r="G874" s="20"/>
      <c r="H874" s="20">
        <v>5</v>
      </c>
      <c r="I874" s="20"/>
      <c r="J874" s="20">
        <v>29355</v>
      </c>
      <c r="K874" s="20" t="s">
        <v>429</v>
      </c>
      <c r="L874" s="20" t="s">
        <v>1974</v>
      </c>
      <c r="P874" s="347"/>
      <c r="Q874" s="347"/>
    </row>
    <row r="875" spans="1:18" ht="14.25" hidden="1" customHeight="1" x14ac:dyDescent="0.25">
      <c r="A875" s="152" t="s">
        <v>5655</v>
      </c>
      <c r="B875" s="57" t="s">
        <v>11</v>
      </c>
      <c r="C875" s="57" t="s">
        <v>2086</v>
      </c>
      <c r="D875" s="57" t="s">
        <v>2032</v>
      </c>
      <c r="E875" s="57" t="s">
        <v>2033</v>
      </c>
      <c r="F875" s="57" t="s">
        <v>2034</v>
      </c>
      <c r="G875" s="57">
        <v>1914</v>
      </c>
      <c r="H875" s="57">
        <v>73</v>
      </c>
      <c r="I875" s="57">
        <v>65321</v>
      </c>
      <c r="J875" s="58">
        <v>29355</v>
      </c>
      <c r="K875" s="57" t="s">
        <v>433</v>
      </c>
      <c r="L875" s="57" t="s">
        <v>1974</v>
      </c>
      <c r="P875" s="347">
        <v>289</v>
      </c>
      <c r="Q875" s="348">
        <f>P875*100%/(1000)</f>
        <v>0.28899999999999998</v>
      </c>
      <c r="R875" s="146" t="s">
        <v>3693</v>
      </c>
    </row>
    <row r="876" spans="1:18" ht="14.25" hidden="1" customHeight="1" x14ac:dyDescent="0.25">
      <c r="A876" s="141" t="s">
        <v>5655</v>
      </c>
      <c r="B876" s="61" t="s">
        <v>34</v>
      </c>
      <c r="C876" s="61" t="s">
        <v>6066</v>
      </c>
      <c r="D876" s="61" t="s">
        <v>1418</v>
      </c>
      <c r="E876" s="61" t="s">
        <v>1419</v>
      </c>
      <c r="F876" s="61" t="s">
        <v>1420</v>
      </c>
      <c r="G876" s="61">
        <v>588</v>
      </c>
      <c r="H876" s="61">
        <v>215</v>
      </c>
      <c r="I876" s="61">
        <v>65321</v>
      </c>
      <c r="J876" s="62">
        <v>29355</v>
      </c>
      <c r="K876" s="61" t="s">
        <v>436</v>
      </c>
      <c r="L876" s="61" t="s">
        <v>1974</v>
      </c>
      <c r="P876" s="347"/>
      <c r="Q876" s="347"/>
      <c r="R876" s="146" t="s">
        <v>4106</v>
      </c>
    </row>
    <row r="877" spans="1:18" ht="14.25" hidden="1" customHeight="1" x14ac:dyDescent="0.25">
      <c r="A877" s="142" t="s">
        <v>5655</v>
      </c>
      <c r="B877" s="9" t="s">
        <v>249</v>
      </c>
      <c r="C877" s="9" t="s">
        <v>2325</v>
      </c>
      <c r="D877" s="9" t="s">
        <v>1421</v>
      </c>
      <c r="E877" s="9" t="s">
        <v>1422</v>
      </c>
      <c r="F877" s="9" t="s">
        <v>1423</v>
      </c>
      <c r="G877" s="9">
        <v>589</v>
      </c>
      <c r="H877" s="9">
        <v>1</v>
      </c>
      <c r="I877" s="9">
        <v>65321</v>
      </c>
      <c r="J877" s="37">
        <v>29355</v>
      </c>
      <c r="K877" s="9" t="s">
        <v>436</v>
      </c>
      <c r="L877" s="9" t="s">
        <v>1974</v>
      </c>
      <c r="P877" s="347"/>
      <c r="Q877" s="347"/>
    </row>
    <row r="878" spans="1:18" ht="14.25" hidden="1" customHeight="1" x14ac:dyDescent="0.25">
      <c r="A878" s="141" t="s">
        <v>5657</v>
      </c>
      <c r="B878" s="61" t="s">
        <v>34</v>
      </c>
      <c r="C878" s="61" t="s">
        <v>4137</v>
      </c>
      <c r="D878" s="61" t="s">
        <v>3933</v>
      </c>
      <c r="E878" s="61" t="s">
        <v>3934</v>
      </c>
      <c r="F878" s="61" t="s">
        <v>3935</v>
      </c>
      <c r="G878" s="61">
        <v>1877</v>
      </c>
      <c r="H878" s="61">
        <v>57</v>
      </c>
      <c r="I878" s="61">
        <v>9198</v>
      </c>
      <c r="J878" s="62">
        <v>29355</v>
      </c>
      <c r="K878" s="61" t="s">
        <v>522</v>
      </c>
      <c r="L878" s="61" t="s">
        <v>1974</v>
      </c>
      <c r="P878" s="347">
        <v>59</v>
      </c>
      <c r="Q878" s="348">
        <f>P878*100%/(1000)</f>
        <v>5.8999999999999997E-2</v>
      </c>
      <c r="R878" s="183"/>
    </row>
    <row r="879" spans="1:18" ht="14.25" hidden="1" customHeight="1" x14ac:dyDescent="0.25">
      <c r="A879" s="142" t="s">
        <v>5657</v>
      </c>
      <c r="B879" s="9" t="s">
        <v>249</v>
      </c>
      <c r="C879" s="9" t="s">
        <v>4138</v>
      </c>
      <c r="D879" s="9" t="s">
        <v>3936</v>
      </c>
      <c r="E879" s="9" t="s">
        <v>3937</v>
      </c>
      <c r="F879" s="9" t="s">
        <v>3938</v>
      </c>
      <c r="G879" s="9">
        <v>1888</v>
      </c>
      <c r="H879" s="9">
        <v>2</v>
      </c>
      <c r="I879" s="9">
        <v>9198</v>
      </c>
      <c r="J879" s="37">
        <v>29355</v>
      </c>
      <c r="K879" s="9" t="s">
        <v>522</v>
      </c>
      <c r="L879" s="9" t="s">
        <v>1974</v>
      </c>
      <c r="P879" s="347"/>
      <c r="Q879" s="347"/>
    </row>
    <row r="880" spans="1:18" ht="14.25" hidden="1" customHeight="1" x14ac:dyDescent="0.25">
      <c r="A880" s="147" t="s">
        <v>5656</v>
      </c>
      <c r="B880" s="20" t="s">
        <v>597</v>
      </c>
      <c r="C880" s="20" t="s">
        <v>1397</v>
      </c>
      <c r="D880" s="20" t="s">
        <v>1223</v>
      </c>
      <c r="E880" s="20" t="s">
        <v>1224</v>
      </c>
      <c r="F880" s="20" t="s">
        <v>1225</v>
      </c>
      <c r="G880" s="20">
        <v>457</v>
      </c>
      <c r="H880" s="20">
        <v>15</v>
      </c>
      <c r="I880" s="20">
        <v>9198</v>
      </c>
      <c r="J880" s="36">
        <v>65001</v>
      </c>
      <c r="K880" s="20" t="s">
        <v>440</v>
      </c>
      <c r="L880" s="20" t="s">
        <v>1974</v>
      </c>
      <c r="P880" s="347">
        <v>512</v>
      </c>
      <c r="Q880" s="348">
        <f>P880*100%/(1000)</f>
        <v>0.51200000000000001</v>
      </c>
    </row>
    <row r="881" spans="1:19" ht="14.25" hidden="1" customHeight="1" x14ac:dyDescent="0.25">
      <c r="A881" s="152" t="s">
        <v>5656</v>
      </c>
      <c r="B881" s="57" t="s">
        <v>11</v>
      </c>
      <c r="C881" s="57" t="s">
        <v>1953</v>
      </c>
      <c r="D881" s="57" t="s">
        <v>1916</v>
      </c>
      <c r="E881" s="57" t="s">
        <v>1917</v>
      </c>
      <c r="F881" s="57" t="s">
        <v>1918</v>
      </c>
      <c r="G881" s="57">
        <v>307</v>
      </c>
      <c r="H881" s="57">
        <v>385</v>
      </c>
      <c r="I881" s="57">
        <v>9198</v>
      </c>
      <c r="J881" s="58">
        <v>65001</v>
      </c>
      <c r="K881" s="57" t="s">
        <v>1417</v>
      </c>
      <c r="L881" s="57" t="s">
        <v>1974</v>
      </c>
      <c r="P881" s="347"/>
      <c r="Q881" s="347"/>
      <c r="R881" s="183"/>
    </row>
    <row r="882" spans="1:19" ht="14.25" hidden="1" customHeight="1" x14ac:dyDescent="0.25">
      <c r="A882" s="141" t="s">
        <v>5656</v>
      </c>
      <c r="B882" s="61" t="s">
        <v>34</v>
      </c>
      <c r="C882" s="61" t="s">
        <v>834</v>
      </c>
      <c r="D882" s="61" t="s">
        <v>479</v>
      </c>
      <c r="E882" s="61" t="s">
        <v>480</v>
      </c>
      <c r="F882" s="61" t="s">
        <v>481</v>
      </c>
      <c r="G882" s="61">
        <v>202</v>
      </c>
      <c r="H882" s="61">
        <v>106</v>
      </c>
      <c r="I882" s="61">
        <v>9198</v>
      </c>
      <c r="J882" s="62">
        <v>65001</v>
      </c>
      <c r="K882" s="61" t="s">
        <v>440</v>
      </c>
      <c r="L882" s="61" t="s">
        <v>1974</v>
      </c>
      <c r="P882" s="347"/>
      <c r="Q882" s="347"/>
      <c r="R882" s="183"/>
    </row>
    <row r="883" spans="1:19" ht="14.25" hidden="1" customHeight="1" x14ac:dyDescent="0.25">
      <c r="A883" s="142" t="s">
        <v>5656</v>
      </c>
      <c r="B883" s="9" t="s">
        <v>249</v>
      </c>
      <c r="C883" s="9" t="s">
        <v>1954</v>
      </c>
      <c r="D883" s="9" t="s">
        <v>1913</v>
      </c>
      <c r="E883" s="9" t="s">
        <v>1914</v>
      </c>
      <c r="F883" s="9" t="s">
        <v>1915</v>
      </c>
      <c r="G883" s="9">
        <v>302</v>
      </c>
      <c r="H883" s="9">
        <v>5</v>
      </c>
      <c r="I883" s="9">
        <v>9198</v>
      </c>
      <c r="J883" s="37">
        <v>65001</v>
      </c>
      <c r="K883" s="9" t="s">
        <v>440</v>
      </c>
      <c r="L883" s="9" t="s">
        <v>1974</v>
      </c>
      <c r="P883" s="347"/>
      <c r="Q883" s="347"/>
      <c r="R883" s="183"/>
    </row>
    <row r="884" spans="1:19" ht="14.25" hidden="1" customHeight="1" x14ac:dyDescent="0.25">
      <c r="A884" s="199" t="s">
        <v>5656</v>
      </c>
      <c r="B884" s="199" t="s">
        <v>3781</v>
      </c>
      <c r="C884" s="199" t="s">
        <v>4295</v>
      </c>
      <c r="D884" s="199" t="s">
        <v>4075</v>
      </c>
      <c r="E884" s="199" t="s">
        <v>4076</v>
      </c>
      <c r="F884" s="199" t="s">
        <v>4077</v>
      </c>
      <c r="G884" s="199">
        <v>695</v>
      </c>
      <c r="H884" s="199">
        <v>1</v>
      </c>
      <c r="I884" s="199">
        <v>9198</v>
      </c>
      <c r="J884" s="155">
        <v>65001</v>
      </c>
      <c r="K884" s="199" t="s">
        <v>654</v>
      </c>
      <c r="L884" s="199" t="s">
        <v>1974</v>
      </c>
      <c r="P884" s="347"/>
      <c r="Q884" s="347"/>
      <c r="R884" s="183"/>
    </row>
    <row r="885" spans="1:19" ht="14.25" hidden="1" customHeight="1" x14ac:dyDescent="0.3">
      <c r="A885" s="149" t="s">
        <v>5658</v>
      </c>
      <c r="B885" s="46" t="s">
        <v>1018</v>
      </c>
      <c r="C885" s="46" t="s">
        <v>1626</v>
      </c>
      <c r="D885" s="46" t="s">
        <v>4343</v>
      </c>
      <c r="E885" s="46" t="s">
        <v>4344</v>
      </c>
      <c r="F885" s="46" t="s">
        <v>4345</v>
      </c>
      <c r="G885" s="46"/>
      <c r="H885" s="46">
        <v>6</v>
      </c>
      <c r="I885" s="46"/>
      <c r="J885" s="47">
        <v>29355</v>
      </c>
      <c r="K885" s="46" t="s">
        <v>4346</v>
      </c>
      <c r="L885" s="149" t="s">
        <v>1974</v>
      </c>
      <c r="P885">
        <v>6</v>
      </c>
      <c r="Q885" s="303">
        <f>P885*100%/(1000)</f>
        <v>6.0000000000000001E-3</v>
      </c>
      <c r="R885" s="183"/>
      <c r="S885" s="44"/>
    </row>
    <row r="886" spans="1:19" ht="14.25" hidden="1" customHeight="1" x14ac:dyDescent="0.3">
      <c r="A886" s="152" t="s">
        <v>5659</v>
      </c>
      <c r="B886" s="57" t="s">
        <v>11</v>
      </c>
      <c r="C886" s="57" t="s">
        <v>4416</v>
      </c>
      <c r="D886" s="57" t="s">
        <v>3348</v>
      </c>
      <c r="E886" s="57" t="s">
        <v>3349</v>
      </c>
      <c r="F886" s="57" t="s">
        <v>3350</v>
      </c>
      <c r="G886" s="57">
        <v>920</v>
      </c>
      <c r="H886" s="57">
        <v>1000</v>
      </c>
      <c r="I886" s="57">
        <v>9198</v>
      </c>
      <c r="J886" s="58">
        <v>29355</v>
      </c>
      <c r="K886" s="57" t="s">
        <v>522</v>
      </c>
      <c r="L886" s="57" t="s">
        <v>1975</v>
      </c>
      <c r="P886">
        <v>1000</v>
      </c>
      <c r="Q886" s="303">
        <f>P886*100%/(1000)</f>
        <v>1</v>
      </c>
      <c r="R886" s="145" t="s">
        <v>2904</v>
      </c>
      <c r="S886" s="130" t="s">
        <v>2903</v>
      </c>
    </row>
    <row r="887" spans="1:19" ht="14.25" hidden="1" customHeight="1" x14ac:dyDescent="0.25">
      <c r="A887" s="141" t="s">
        <v>5659</v>
      </c>
      <c r="B887" s="61" t="s">
        <v>34</v>
      </c>
      <c r="C887" s="61" t="s">
        <v>1297</v>
      </c>
      <c r="D887" s="61" t="s">
        <v>1038</v>
      </c>
      <c r="E887" s="61" t="s">
        <v>1039</v>
      </c>
      <c r="F887" s="61" t="s">
        <v>1040</v>
      </c>
      <c r="G887" s="61">
        <v>554</v>
      </c>
      <c r="H887" s="61">
        <v>650</v>
      </c>
      <c r="I887" s="61">
        <v>9198</v>
      </c>
      <c r="J887" s="62">
        <v>29355</v>
      </c>
      <c r="K887" s="61" t="s">
        <v>522</v>
      </c>
      <c r="L887" s="61" t="s">
        <v>1975</v>
      </c>
      <c r="P887" s="347">
        <v>661</v>
      </c>
      <c r="Q887" s="348">
        <f>P887*100%/(1000)</f>
        <v>0.66100000000000003</v>
      </c>
      <c r="R887" s="146" t="s">
        <v>3691</v>
      </c>
      <c r="S887" s="44"/>
    </row>
    <row r="888" spans="1:19" ht="14.25" hidden="1" customHeight="1" x14ac:dyDescent="0.25">
      <c r="A888" s="142" t="s">
        <v>5659</v>
      </c>
      <c r="B888" s="9" t="s">
        <v>249</v>
      </c>
      <c r="C888" s="9" t="s">
        <v>1298</v>
      </c>
      <c r="D888" s="9" t="s">
        <v>1041</v>
      </c>
      <c r="E888" s="9" t="s">
        <v>1042</v>
      </c>
      <c r="F888" s="9" t="s">
        <v>1043</v>
      </c>
      <c r="G888" s="9">
        <v>555</v>
      </c>
      <c r="H888" s="9">
        <v>1</v>
      </c>
      <c r="I888" s="9">
        <v>9198</v>
      </c>
      <c r="J888" s="37">
        <v>29355</v>
      </c>
      <c r="K888" s="9" t="s">
        <v>522</v>
      </c>
      <c r="L888" s="9" t="s">
        <v>1975</v>
      </c>
      <c r="P888" s="347"/>
      <c r="Q888" s="347"/>
      <c r="R888" s="198" t="s">
        <v>6062</v>
      </c>
      <c r="S888" s="262" t="s">
        <v>6221</v>
      </c>
    </row>
    <row r="889" spans="1:19" ht="15" hidden="1" customHeight="1" x14ac:dyDescent="0.25">
      <c r="A889" s="20" t="s">
        <v>5659</v>
      </c>
      <c r="B889" s="20" t="s">
        <v>597</v>
      </c>
      <c r="C889" s="20" t="s">
        <v>6463</v>
      </c>
      <c r="D889" s="20" t="s">
        <v>6328</v>
      </c>
      <c r="E889" s="20" t="s">
        <v>6329</v>
      </c>
      <c r="F889" s="20" t="s">
        <v>6330</v>
      </c>
      <c r="G889" s="20">
        <v>557</v>
      </c>
      <c r="H889" s="20">
        <v>10</v>
      </c>
      <c r="I889" s="20">
        <v>9198</v>
      </c>
      <c r="J889" s="20">
        <v>29355</v>
      </c>
      <c r="K889" s="20" t="s">
        <v>522</v>
      </c>
      <c r="L889" s="20" t="s">
        <v>1975</v>
      </c>
      <c r="M889" s="4"/>
      <c r="N889" s="4"/>
      <c r="P889" s="347"/>
      <c r="Q889" s="347"/>
      <c r="R889" s="214"/>
      <c r="S889" s="260"/>
    </row>
    <row r="890" spans="1:19" ht="14.25" hidden="1" customHeight="1" x14ac:dyDescent="0.25">
      <c r="A890" s="152" t="s">
        <v>5660</v>
      </c>
      <c r="B890" s="57" t="s">
        <v>11</v>
      </c>
      <c r="C890" s="57" t="s">
        <v>2407</v>
      </c>
      <c r="D890" s="57" t="s">
        <v>2388</v>
      </c>
      <c r="E890" s="57" t="s">
        <v>2389</v>
      </c>
      <c r="F890" s="57" t="s">
        <v>2390</v>
      </c>
      <c r="G890" s="57">
        <v>925</v>
      </c>
      <c r="H890" s="57">
        <v>203</v>
      </c>
      <c r="I890" s="57">
        <v>9198</v>
      </c>
      <c r="J890" s="58">
        <v>29355</v>
      </c>
      <c r="K890" s="57" t="s">
        <v>522</v>
      </c>
      <c r="L890" s="57" t="s">
        <v>1974</v>
      </c>
      <c r="P890" s="347">
        <v>907</v>
      </c>
      <c r="Q890" s="348">
        <f>P890*100%/(1000)</f>
        <v>0.90700000000000003</v>
      </c>
    </row>
    <row r="891" spans="1:19" ht="14.25" hidden="1" customHeight="1" x14ac:dyDescent="0.25">
      <c r="A891" s="141" t="s">
        <v>5660</v>
      </c>
      <c r="B891" s="61" t="s">
        <v>34</v>
      </c>
      <c r="C891" s="61" t="s">
        <v>2405</v>
      </c>
      <c r="D891" s="61" t="s">
        <v>2382</v>
      </c>
      <c r="E891" s="61" t="s">
        <v>2383</v>
      </c>
      <c r="F891" s="61" t="s">
        <v>2384</v>
      </c>
      <c r="G891" s="61">
        <v>915</v>
      </c>
      <c r="H891" s="61">
        <v>703</v>
      </c>
      <c r="I891" s="61">
        <v>9198</v>
      </c>
      <c r="J891" s="62">
        <v>29355</v>
      </c>
      <c r="K891" s="61" t="s">
        <v>522</v>
      </c>
      <c r="L891" s="61" t="s">
        <v>1974</v>
      </c>
      <c r="P891" s="347"/>
      <c r="Q891" s="347"/>
      <c r="R891" s="183"/>
    </row>
    <row r="892" spans="1:19" ht="14.25" hidden="1" customHeight="1" x14ac:dyDescent="0.25">
      <c r="A892" s="142" t="s">
        <v>5660</v>
      </c>
      <c r="B892" s="9" t="s">
        <v>249</v>
      </c>
      <c r="C892" s="9" t="s">
        <v>2406</v>
      </c>
      <c r="D892" s="9" t="s">
        <v>2385</v>
      </c>
      <c r="E892" s="9" t="s">
        <v>2386</v>
      </c>
      <c r="F892" s="9" t="s">
        <v>2387</v>
      </c>
      <c r="G892" s="9">
        <v>920</v>
      </c>
      <c r="H892" s="9">
        <v>1</v>
      </c>
      <c r="I892" s="9">
        <v>9198</v>
      </c>
      <c r="J892" s="37">
        <v>29355</v>
      </c>
      <c r="K892" s="9" t="s">
        <v>522</v>
      </c>
      <c r="L892" s="9" t="s">
        <v>1974</v>
      </c>
      <c r="P892" s="347"/>
      <c r="Q892" s="347"/>
      <c r="R892" s="207"/>
    </row>
    <row r="893" spans="1:19" ht="14.25" hidden="1" customHeight="1" x14ac:dyDescent="0.25">
      <c r="A893" s="152" t="s">
        <v>5661</v>
      </c>
      <c r="B893" s="57" t="s">
        <v>11</v>
      </c>
      <c r="C893" s="57" t="s">
        <v>3431</v>
      </c>
      <c r="D893" s="59" t="s">
        <v>3345</v>
      </c>
      <c r="E893" s="57" t="s">
        <v>3346</v>
      </c>
      <c r="F893" s="57" t="s">
        <v>3347</v>
      </c>
      <c r="G893" s="57">
        <v>816</v>
      </c>
      <c r="H893" s="57">
        <v>276</v>
      </c>
      <c r="I893" s="57">
        <v>9198</v>
      </c>
      <c r="J893" s="58">
        <v>29355</v>
      </c>
      <c r="K893" s="57" t="s">
        <v>522</v>
      </c>
      <c r="L893" s="57" t="s">
        <v>1974</v>
      </c>
      <c r="P893" s="347">
        <v>393</v>
      </c>
      <c r="Q893" s="348">
        <f>P893*100%/(1000)</f>
        <v>0.39300000000000002</v>
      </c>
      <c r="R893" s="183"/>
    </row>
    <row r="894" spans="1:19" ht="14.25" hidden="1" customHeight="1" x14ac:dyDescent="0.25">
      <c r="A894" s="141" t="s">
        <v>5661</v>
      </c>
      <c r="B894" s="61" t="s">
        <v>34</v>
      </c>
      <c r="C894" s="61" t="s">
        <v>2403</v>
      </c>
      <c r="D894" s="61" t="s">
        <v>2376</v>
      </c>
      <c r="E894" s="61" t="s">
        <v>2377</v>
      </c>
      <c r="F894" s="61" t="s">
        <v>2378</v>
      </c>
      <c r="G894" s="61">
        <v>815</v>
      </c>
      <c r="H894" s="61">
        <v>90</v>
      </c>
      <c r="I894" s="61">
        <v>9198</v>
      </c>
      <c r="J894" s="62">
        <v>29355</v>
      </c>
      <c r="K894" s="61" t="s">
        <v>522</v>
      </c>
      <c r="L894" s="61" t="s">
        <v>1974</v>
      </c>
      <c r="P894" s="347"/>
      <c r="Q894" s="347"/>
      <c r="R894" s="183"/>
    </row>
    <row r="895" spans="1:19" ht="14.25" hidden="1" customHeight="1" x14ac:dyDescent="0.25">
      <c r="A895" s="142" t="s">
        <v>5661</v>
      </c>
      <c r="B895" s="9" t="s">
        <v>249</v>
      </c>
      <c r="C895" s="9" t="s">
        <v>2404</v>
      </c>
      <c r="D895" s="9" t="s">
        <v>2379</v>
      </c>
      <c r="E895" s="9" t="s">
        <v>2380</v>
      </c>
      <c r="F895" s="9" t="s">
        <v>2381</v>
      </c>
      <c r="G895" s="9">
        <v>820</v>
      </c>
      <c r="H895" s="9">
        <v>1</v>
      </c>
      <c r="I895" s="9">
        <v>9198</v>
      </c>
      <c r="J895" s="37">
        <v>29355</v>
      </c>
      <c r="K895" s="9" t="s">
        <v>522</v>
      </c>
      <c r="L895" s="9" t="s">
        <v>1974</v>
      </c>
      <c r="P895" s="347"/>
      <c r="Q895" s="347"/>
    </row>
    <row r="896" spans="1:19" ht="14.25" hidden="1" customHeight="1" x14ac:dyDescent="0.25">
      <c r="A896" s="147" t="s">
        <v>5662</v>
      </c>
      <c r="B896" s="20" t="s">
        <v>597</v>
      </c>
      <c r="C896" s="20" t="s">
        <v>835</v>
      </c>
      <c r="D896" s="20" t="s">
        <v>532</v>
      </c>
      <c r="E896" s="20" t="s">
        <v>531</v>
      </c>
      <c r="F896" s="20" t="s">
        <v>530</v>
      </c>
      <c r="G896" s="20">
        <v>261</v>
      </c>
      <c r="H896" s="20">
        <v>12</v>
      </c>
      <c r="I896" s="20">
        <v>9198</v>
      </c>
      <c r="J896" s="36">
        <v>65008</v>
      </c>
      <c r="K896" s="20" t="s">
        <v>434</v>
      </c>
      <c r="L896" s="20" t="s">
        <v>1974</v>
      </c>
      <c r="P896" s="347">
        <v>290</v>
      </c>
      <c r="Q896" s="348">
        <f>P896*100%/(1000)</f>
        <v>0.28999999999999998</v>
      </c>
    </row>
    <row r="897" spans="1:19" ht="14.25" hidden="1" customHeight="1" x14ac:dyDescent="0.25">
      <c r="A897" s="152" t="s">
        <v>5662</v>
      </c>
      <c r="B897" s="57" t="s">
        <v>11</v>
      </c>
      <c r="C897" s="57" t="s">
        <v>1763</v>
      </c>
      <c r="D897" s="57" t="s">
        <v>1757</v>
      </c>
      <c r="E897" s="57" t="s">
        <v>1758</v>
      </c>
      <c r="F897" s="57" t="s">
        <v>1759</v>
      </c>
      <c r="G897" s="57">
        <v>2121</v>
      </c>
      <c r="H897" s="57">
        <v>104</v>
      </c>
      <c r="I897" s="57">
        <v>9198</v>
      </c>
      <c r="J897" s="58">
        <v>65008</v>
      </c>
      <c r="K897" s="57" t="s">
        <v>574</v>
      </c>
      <c r="L897" s="57" t="s">
        <v>1974</v>
      </c>
      <c r="P897" s="347"/>
      <c r="Q897" s="347"/>
    </row>
    <row r="898" spans="1:19" ht="14.1" hidden="1" customHeight="1" x14ac:dyDescent="0.25">
      <c r="A898" s="141" t="s">
        <v>5662</v>
      </c>
      <c r="B898" s="61" t="s">
        <v>34</v>
      </c>
      <c r="C898" s="61" t="s">
        <v>836</v>
      </c>
      <c r="D898" s="61" t="s">
        <v>470</v>
      </c>
      <c r="E898" s="61" t="s">
        <v>471</v>
      </c>
      <c r="F898" s="61" t="s">
        <v>472</v>
      </c>
      <c r="G898" s="61">
        <v>260</v>
      </c>
      <c r="H898" s="61">
        <v>75</v>
      </c>
      <c r="I898" s="61">
        <v>9198</v>
      </c>
      <c r="J898" s="62">
        <v>65008</v>
      </c>
      <c r="K898" s="61" t="s">
        <v>434</v>
      </c>
      <c r="L898" s="61" t="s">
        <v>1974</v>
      </c>
      <c r="P898" s="347"/>
      <c r="Q898" s="347"/>
    </row>
    <row r="899" spans="1:19" ht="14.1" hidden="1" customHeight="1" x14ac:dyDescent="0.25">
      <c r="A899" s="165" t="s">
        <v>5662</v>
      </c>
      <c r="B899" s="165" t="s">
        <v>3825</v>
      </c>
      <c r="C899" s="165" t="s">
        <v>4116</v>
      </c>
      <c r="D899" s="165" t="s">
        <v>3872</v>
      </c>
      <c r="E899" s="165" t="s">
        <v>3873</v>
      </c>
      <c r="F899" s="165" t="s">
        <v>3874</v>
      </c>
      <c r="G899" s="165">
        <v>1834</v>
      </c>
      <c r="H899" s="165">
        <v>60</v>
      </c>
      <c r="I899" s="165">
        <v>9198</v>
      </c>
      <c r="J899" s="166">
        <v>65008</v>
      </c>
      <c r="K899" s="165" t="s">
        <v>428</v>
      </c>
      <c r="L899" s="165" t="s">
        <v>1974</v>
      </c>
      <c r="P899" s="347"/>
      <c r="Q899" s="347"/>
    </row>
    <row r="900" spans="1:19" ht="14.1" hidden="1" customHeight="1" x14ac:dyDescent="0.25">
      <c r="A900" s="147" t="s">
        <v>6811</v>
      </c>
      <c r="B900" s="20" t="s">
        <v>597</v>
      </c>
      <c r="C900" s="20" t="s">
        <v>4658</v>
      </c>
      <c r="D900" s="20"/>
      <c r="E900" s="20"/>
      <c r="F900" s="20" t="s">
        <v>4677</v>
      </c>
      <c r="G900" s="20">
        <v>2308</v>
      </c>
      <c r="H900" s="20">
        <v>15</v>
      </c>
      <c r="I900" s="20" t="s">
        <v>1454</v>
      </c>
      <c r="J900" s="36" t="s">
        <v>1454</v>
      </c>
      <c r="K900" s="20" t="s">
        <v>574</v>
      </c>
      <c r="L900" s="20" t="s">
        <v>1974</v>
      </c>
      <c r="M900" s="4"/>
      <c r="N900" s="4"/>
      <c r="O900" s="6"/>
      <c r="P900" s="347">
        <v>166</v>
      </c>
      <c r="Q900" s="348">
        <f>P900*100%/(1000)</f>
        <v>0.16600000000000001</v>
      </c>
      <c r="R900" s="207"/>
      <c r="S900" s="129"/>
    </row>
    <row r="901" spans="1:19" ht="14.25" hidden="1" customHeight="1" x14ac:dyDescent="0.25">
      <c r="A901" s="141" t="s">
        <v>6811</v>
      </c>
      <c r="B901" s="61" t="s">
        <v>34</v>
      </c>
      <c r="C901" s="61" t="s">
        <v>4659</v>
      </c>
      <c r="D901" s="61"/>
      <c r="E901" s="61"/>
      <c r="F901" s="61" t="s">
        <v>4680</v>
      </c>
      <c r="G901" s="61">
        <v>2309</v>
      </c>
      <c r="H901" s="61">
        <v>151</v>
      </c>
      <c r="I901" s="61" t="s">
        <v>1454</v>
      </c>
      <c r="J901" s="62" t="s">
        <v>1454</v>
      </c>
      <c r="K901" s="61" t="s">
        <v>574</v>
      </c>
      <c r="L901" s="61" t="s">
        <v>1974</v>
      </c>
      <c r="M901" s="4"/>
      <c r="N901" s="4"/>
      <c r="O901" s="6"/>
      <c r="P901" s="347"/>
      <c r="Q901" s="347"/>
      <c r="R901" s="258"/>
      <c r="S901" s="255"/>
    </row>
    <row r="902" spans="1:19" ht="14.25" hidden="1" customHeight="1" x14ac:dyDescent="0.25">
      <c r="A902" s="147" t="s">
        <v>5663</v>
      </c>
      <c r="B902" s="20" t="s">
        <v>597</v>
      </c>
      <c r="C902" s="20" t="s">
        <v>1895</v>
      </c>
      <c r="D902" s="20" t="s">
        <v>1878</v>
      </c>
      <c r="E902" s="20" t="s">
        <v>1876</v>
      </c>
      <c r="F902" s="20" t="s">
        <v>1877</v>
      </c>
      <c r="G902" s="20" t="s">
        <v>1886</v>
      </c>
      <c r="H902" s="20">
        <v>10</v>
      </c>
      <c r="I902" s="20">
        <v>9198</v>
      </c>
      <c r="J902" s="36">
        <v>65345</v>
      </c>
      <c r="K902" s="20" t="s">
        <v>430</v>
      </c>
      <c r="L902" s="20" t="s">
        <v>1974</v>
      </c>
      <c r="P902" s="347">
        <v>802</v>
      </c>
      <c r="Q902" s="348">
        <f>P902*100%/(1000)</f>
        <v>0.80200000000000005</v>
      </c>
      <c r="R902" s="146" t="s">
        <v>2924</v>
      </c>
      <c r="S902" s="129" t="s">
        <v>2908</v>
      </c>
    </row>
    <row r="903" spans="1:19" ht="14.25" hidden="1" customHeight="1" x14ac:dyDescent="0.25">
      <c r="A903" s="152" t="s">
        <v>5663</v>
      </c>
      <c r="B903" s="57" t="s">
        <v>11</v>
      </c>
      <c r="C903" s="57" t="s">
        <v>1993</v>
      </c>
      <c r="D903" s="57" t="s">
        <v>1964</v>
      </c>
      <c r="E903" s="57" t="s">
        <v>1965</v>
      </c>
      <c r="F903" s="57" t="s">
        <v>1966</v>
      </c>
      <c r="G903" s="57">
        <v>2431</v>
      </c>
      <c r="H903" s="57">
        <v>650</v>
      </c>
      <c r="I903" s="57">
        <v>9198</v>
      </c>
      <c r="J903" s="58">
        <v>65345</v>
      </c>
      <c r="K903" s="57" t="s">
        <v>654</v>
      </c>
      <c r="L903" s="57" t="s">
        <v>1974</v>
      </c>
      <c r="P903" s="347"/>
      <c r="Q903" s="347"/>
      <c r="R903" s="145" t="s">
        <v>3691</v>
      </c>
      <c r="S903" s="145" t="s">
        <v>4107</v>
      </c>
    </row>
    <row r="904" spans="1:19" ht="14.25" hidden="1" customHeight="1" x14ac:dyDescent="0.25">
      <c r="A904" s="141" t="s">
        <v>5663</v>
      </c>
      <c r="B904" s="61" t="s">
        <v>34</v>
      </c>
      <c r="C904" s="61" t="s">
        <v>837</v>
      </c>
      <c r="D904" s="61" t="s">
        <v>318</v>
      </c>
      <c r="E904" s="61" t="s">
        <v>317</v>
      </c>
      <c r="F904" s="61" t="s">
        <v>316</v>
      </c>
      <c r="G904" s="61">
        <v>2427</v>
      </c>
      <c r="H904" s="61">
        <v>140</v>
      </c>
      <c r="I904" s="61">
        <v>9198</v>
      </c>
      <c r="J904" s="62">
        <v>65345</v>
      </c>
      <c r="K904" s="61" t="s">
        <v>430</v>
      </c>
      <c r="L904" s="61" t="s">
        <v>1974</v>
      </c>
      <c r="P904" s="347"/>
      <c r="Q904" s="347"/>
      <c r="R904" s="189" t="s">
        <v>6062</v>
      </c>
      <c r="S904" s="145"/>
    </row>
    <row r="905" spans="1:19" ht="14.25" hidden="1" customHeight="1" x14ac:dyDescent="0.25">
      <c r="A905" s="142" t="s">
        <v>5663</v>
      </c>
      <c r="B905" s="9" t="s">
        <v>249</v>
      </c>
      <c r="C905" s="9" t="s">
        <v>2953</v>
      </c>
      <c r="D905" s="9" t="s">
        <v>2223</v>
      </c>
      <c r="E905" s="9" t="s">
        <v>2224</v>
      </c>
      <c r="F905" s="9" t="s">
        <v>2225</v>
      </c>
      <c r="G905" s="9">
        <v>3057</v>
      </c>
      <c r="H905" s="9">
        <v>1</v>
      </c>
      <c r="I905" s="9">
        <v>9198</v>
      </c>
      <c r="J905" s="37">
        <v>65345</v>
      </c>
      <c r="K905" s="9" t="s">
        <v>430</v>
      </c>
      <c r="L905" s="9" t="s">
        <v>1974</v>
      </c>
      <c r="P905" s="347"/>
      <c r="Q905" s="347"/>
      <c r="R905" s="262" t="s">
        <v>6221</v>
      </c>
    </row>
    <row r="906" spans="1:19" ht="14.25" hidden="1" customHeight="1" x14ac:dyDescent="0.25">
      <c r="A906" s="199" t="s">
        <v>5663</v>
      </c>
      <c r="B906" s="154" t="s">
        <v>3781</v>
      </c>
      <c r="C906" s="154" t="s">
        <v>5185</v>
      </c>
      <c r="D906" s="154" t="s">
        <v>5025</v>
      </c>
      <c r="E906" s="154" t="s">
        <v>5026</v>
      </c>
      <c r="F906" s="154" t="s">
        <v>5027</v>
      </c>
      <c r="G906" s="154">
        <v>2520</v>
      </c>
      <c r="H906" s="154">
        <v>1</v>
      </c>
      <c r="I906" s="154">
        <v>9198</v>
      </c>
      <c r="J906" s="155">
        <v>65345</v>
      </c>
      <c r="K906" s="154" t="s">
        <v>654</v>
      </c>
      <c r="L906" s="154" t="s">
        <v>1974</v>
      </c>
      <c r="P906" s="347"/>
      <c r="Q906" s="347"/>
    </row>
    <row r="907" spans="1:19" ht="14.25" hidden="1" customHeight="1" x14ac:dyDescent="0.25">
      <c r="A907" s="147" t="s">
        <v>5664</v>
      </c>
      <c r="B907" s="20" t="s">
        <v>597</v>
      </c>
      <c r="C907" s="20" t="s">
        <v>3210</v>
      </c>
      <c r="D907" s="20" t="s">
        <v>3113</v>
      </c>
      <c r="E907" s="20" t="s">
        <v>3114</v>
      </c>
      <c r="F907" s="20" t="s">
        <v>3115</v>
      </c>
      <c r="G907" s="20">
        <v>2348</v>
      </c>
      <c r="H907" s="20">
        <v>20</v>
      </c>
      <c r="I907" s="20">
        <v>9198</v>
      </c>
      <c r="J907" s="36">
        <v>29355</v>
      </c>
      <c r="K907" s="20" t="s">
        <v>3112</v>
      </c>
      <c r="L907" s="20" t="s">
        <v>1974</v>
      </c>
      <c r="M907" s="4"/>
      <c r="N907" s="4"/>
      <c r="O907" s="6"/>
      <c r="P907" s="347">
        <v>529</v>
      </c>
      <c r="Q907" s="348">
        <f>P907*100%/(1000)</f>
        <v>0.52900000000000003</v>
      </c>
      <c r="R907" s="207"/>
      <c r="S907" s="129"/>
    </row>
    <row r="908" spans="1:19" ht="14.25" hidden="1" customHeight="1" x14ac:dyDescent="0.25">
      <c r="A908" s="152" t="s">
        <v>5664</v>
      </c>
      <c r="B908" s="57" t="s">
        <v>11</v>
      </c>
      <c r="C908" s="57" t="s">
        <v>2322</v>
      </c>
      <c r="D908" s="57" t="s">
        <v>2299</v>
      </c>
      <c r="E908" s="57" t="s">
        <v>2300</v>
      </c>
      <c r="F908" s="57" t="s">
        <v>2301</v>
      </c>
      <c r="G908" s="57">
        <v>612</v>
      </c>
      <c r="H908" s="57">
        <v>409</v>
      </c>
      <c r="I908" s="57">
        <v>9198</v>
      </c>
      <c r="J908" s="58">
        <v>29355</v>
      </c>
      <c r="K908" s="57" t="s">
        <v>654</v>
      </c>
      <c r="L908" s="57" t="s">
        <v>1974</v>
      </c>
      <c r="M908" s="4"/>
      <c r="N908" s="4"/>
      <c r="O908" s="6"/>
      <c r="P908" s="347"/>
      <c r="Q908" s="347"/>
      <c r="R908" s="207"/>
      <c r="S908" s="129"/>
    </row>
    <row r="909" spans="1:19" ht="14.25" hidden="1" customHeight="1" x14ac:dyDescent="0.25">
      <c r="A909" s="141" t="s">
        <v>5664</v>
      </c>
      <c r="B909" s="61" t="s">
        <v>34</v>
      </c>
      <c r="C909" s="61" t="s">
        <v>3211</v>
      </c>
      <c r="D909" s="61" t="s">
        <v>3116</v>
      </c>
      <c r="E909" s="61" t="s">
        <v>3117</v>
      </c>
      <c r="F909" s="61" t="s">
        <v>3118</v>
      </c>
      <c r="G909" s="61">
        <v>2355</v>
      </c>
      <c r="H909" s="61">
        <v>98</v>
      </c>
      <c r="I909" s="61">
        <v>9198</v>
      </c>
      <c r="J909" s="62">
        <v>29355</v>
      </c>
      <c r="K909" s="61" t="s">
        <v>430</v>
      </c>
      <c r="L909" s="61" t="s">
        <v>1974</v>
      </c>
      <c r="M909" s="4"/>
      <c r="N909" s="4"/>
      <c r="O909" s="6"/>
      <c r="P909" s="347"/>
      <c r="Q909" s="347"/>
      <c r="R909" s="207"/>
      <c r="S909" s="129"/>
    </row>
    <row r="910" spans="1:19" ht="14.25" hidden="1" customHeight="1" x14ac:dyDescent="0.25">
      <c r="A910" s="142" t="s">
        <v>5664</v>
      </c>
      <c r="B910" s="9" t="s">
        <v>249</v>
      </c>
      <c r="C910" s="9" t="s">
        <v>2340</v>
      </c>
      <c r="D910" s="9" t="s">
        <v>2329</v>
      </c>
      <c r="E910" s="9" t="s">
        <v>2330</v>
      </c>
      <c r="F910" s="9" t="s">
        <v>2331</v>
      </c>
      <c r="G910" s="9">
        <v>1550</v>
      </c>
      <c r="H910" s="9">
        <v>1</v>
      </c>
      <c r="I910" s="37">
        <v>9198</v>
      </c>
      <c r="J910" s="37">
        <v>29355</v>
      </c>
      <c r="K910" s="9" t="s">
        <v>430</v>
      </c>
      <c r="L910" s="142" t="s">
        <v>1974</v>
      </c>
      <c r="M910" s="4"/>
      <c r="N910" s="4"/>
      <c r="O910" s="6"/>
      <c r="P910" s="347"/>
      <c r="Q910" s="347"/>
      <c r="R910" s="207"/>
      <c r="S910" s="129"/>
    </row>
    <row r="911" spans="1:19" ht="14.25" hidden="1" customHeight="1" x14ac:dyDescent="0.25">
      <c r="A911" s="199" t="s">
        <v>5664</v>
      </c>
      <c r="B911" s="154" t="s">
        <v>3781</v>
      </c>
      <c r="C911" s="154" t="s">
        <v>4854</v>
      </c>
      <c r="D911" s="154" t="s">
        <v>4819</v>
      </c>
      <c r="E911" s="154" t="s">
        <v>4820</v>
      </c>
      <c r="F911" s="154" t="s">
        <v>4821</v>
      </c>
      <c r="G911" s="154">
        <v>3101</v>
      </c>
      <c r="H911" s="154">
        <v>1</v>
      </c>
      <c r="I911" s="155">
        <v>9198</v>
      </c>
      <c r="J911" s="155">
        <v>29355</v>
      </c>
      <c r="K911" s="154" t="s">
        <v>654</v>
      </c>
      <c r="L911" s="199" t="s">
        <v>1974</v>
      </c>
      <c r="M911" s="4"/>
      <c r="N911" s="4"/>
      <c r="O911" s="6"/>
      <c r="P911" s="347"/>
      <c r="Q911" s="347"/>
      <c r="R911" s="207"/>
      <c r="S911" s="129"/>
    </row>
    <row r="912" spans="1:19" ht="14.25" hidden="1" customHeight="1" x14ac:dyDescent="0.25">
      <c r="A912" s="147" t="s">
        <v>5665</v>
      </c>
      <c r="B912" s="20" t="s">
        <v>597</v>
      </c>
      <c r="C912" s="20" t="s">
        <v>2104</v>
      </c>
      <c r="D912" s="20" t="s">
        <v>2066</v>
      </c>
      <c r="E912" s="20" t="s">
        <v>2067</v>
      </c>
      <c r="F912" s="20" t="s">
        <v>2068</v>
      </c>
      <c r="G912" s="20">
        <v>395</v>
      </c>
      <c r="H912" s="20">
        <v>8</v>
      </c>
      <c r="I912" s="20">
        <v>9198</v>
      </c>
      <c r="J912" s="36">
        <v>65233</v>
      </c>
      <c r="K912" s="20" t="s">
        <v>431</v>
      </c>
      <c r="L912" s="20" t="s">
        <v>2534</v>
      </c>
      <c r="P912" s="347">
        <v>2490</v>
      </c>
      <c r="Q912" s="348">
        <f>P912*100%/(3000)</f>
        <v>0.83</v>
      </c>
      <c r="R912" s="182" t="s">
        <v>2912</v>
      </c>
      <c r="S912" s="130" t="s">
        <v>2903</v>
      </c>
    </row>
    <row r="913" spans="1:22" ht="14.25" hidden="1" customHeight="1" x14ac:dyDescent="0.25">
      <c r="A913" s="152" t="s">
        <v>5665</v>
      </c>
      <c r="B913" s="57" t="s">
        <v>11</v>
      </c>
      <c r="C913" s="57" t="s">
        <v>2453</v>
      </c>
      <c r="D913" s="57" t="s">
        <v>2436</v>
      </c>
      <c r="E913" s="57" t="s">
        <v>2437</v>
      </c>
      <c r="F913" s="57" t="s">
        <v>2438</v>
      </c>
      <c r="G913" s="57">
        <v>295</v>
      </c>
      <c r="H913" s="57">
        <v>1579</v>
      </c>
      <c r="I913" s="57">
        <v>9198</v>
      </c>
      <c r="J913" s="58">
        <v>65233</v>
      </c>
      <c r="K913" s="57" t="s">
        <v>522</v>
      </c>
      <c r="L913" s="57" t="s">
        <v>2534</v>
      </c>
      <c r="P913" s="347"/>
      <c r="Q913" s="347"/>
      <c r="R913" s="146" t="s">
        <v>3691</v>
      </c>
    </row>
    <row r="914" spans="1:22" ht="14.25" hidden="1" customHeight="1" x14ac:dyDescent="0.25">
      <c r="A914" s="141" t="s">
        <v>5665</v>
      </c>
      <c r="B914" s="61" t="s">
        <v>34</v>
      </c>
      <c r="C914" s="61" t="s">
        <v>838</v>
      </c>
      <c r="D914" s="61" t="s">
        <v>271</v>
      </c>
      <c r="E914" s="61" t="s">
        <v>272</v>
      </c>
      <c r="F914" s="61" t="s">
        <v>273</v>
      </c>
      <c r="G914" s="61">
        <v>292</v>
      </c>
      <c r="H914" s="61">
        <v>900</v>
      </c>
      <c r="I914" s="61">
        <v>64724</v>
      </c>
      <c r="J914" s="62">
        <v>65233</v>
      </c>
      <c r="K914" s="61" t="s">
        <v>431</v>
      </c>
      <c r="L914" s="61" t="s">
        <v>2534</v>
      </c>
      <c r="P914" s="347"/>
      <c r="Q914" s="347"/>
      <c r="R914" s="146" t="s">
        <v>4107</v>
      </c>
      <c r="V914" s="146" t="s">
        <v>4601</v>
      </c>
    </row>
    <row r="915" spans="1:22" ht="14.25" hidden="1" customHeight="1" x14ac:dyDescent="0.25">
      <c r="A915" s="142" t="s">
        <v>5665</v>
      </c>
      <c r="B915" s="9" t="s">
        <v>249</v>
      </c>
      <c r="C915" s="9" t="s">
        <v>839</v>
      </c>
      <c r="D915" s="9" t="s">
        <v>274</v>
      </c>
      <c r="E915" s="9" t="s">
        <v>275</v>
      </c>
      <c r="F915" s="9" t="s">
        <v>276</v>
      </c>
      <c r="G915" s="9">
        <v>293</v>
      </c>
      <c r="H915" s="9">
        <v>1</v>
      </c>
      <c r="I915" s="9">
        <v>64724</v>
      </c>
      <c r="J915" s="37">
        <v>65233</v>
      </c>
      <c r="K915" s="9" t="s">
        <v>431</v>
      </c>
      <c r="L915" s="9" t="s">
        <v>2534</v>
      </c>
      <c r="P915" s="347"/>
      <c r="Q915" s="347"/>
      <c r="R915" s="208" t="s">
        <v>4789</v>
      </c>
    </row>
    <row r="916" spans="1:22" ht="14.25" hidden="1" customHeight="1" x14ac:dyDescent="0.25">
      <c r="A916" s="199" t="s">
        <v>5665</v>
      </c>
      <c r="B916" s="154" t="s">
        <v>3781</v>
      </c>
      <c r="C916" s="154" t="s">
        <v>5881</v>
      </c>
      <c r="D916" s="154" t="s">
        <v>5220</v>
      </c>
      <c r="E916" s="154" t="s">
        <v>5221</v>
      </c>
      <c r="F916" s="154" t="s">
        <v>5222</v>
      </c>
      <c r="G916" s="154">
        <v>298</v>
      </c>
      <c r="H916" s="154">
        <v>2</v>
      </c>
      <c r="I916" s="154">
        <v>64724</v>
      </c>
      <c r="J916" s="155">
        <v>65233</v>
      </c>
      <c r="K916" s="154" t="s">
        <v>428</v>
      </c>
      <c r="L916" s="154" t="s">
        <v>2534</v>
      </c>
      <c r="P916" s="347"/>
      <c r="Q916" s="347"/>
      <c r="R916" s="208"/>
    </row>
    <row r="917" spans="1:22" ht="14.25" hidden="1" customHeight="1" x14ac:dyDescent="0.25">
      <c r="A917" s="147" t="s">
        <v>6129</v>
      </c>
      <c r="B917" s="20" t="s">
        <v>597</v>
      </c>
      <c r="C917" s="20" t="s">
        <v>6126</v>
      </c>
      <c r="D917" s="20"/>
      <c r="E917" s="20"/>
      <c r="F917" s="20" t="s">
        <v>5734</v>
      </c>
      <c r="G917" s="20">
        <v>2351</v>
      </c>
      <c r="H917" s="20">
        <v>4</v>
      </c>
      <c r="I917" s="36" t="s">
        <v>1454</v>
      </c>
      <c r="J917" s="36" t="s">
        <v>1454</v>
      </c>
      <c r="K917" s="20" t="s">
        <v>440</v>
      </c>
      <c r="L917" s="147" t="s">
        <v>1972</v>
      </c>
      <c r="P917" s="347">
        <v>55</v>
      </c>
      <c r="Q917" s="348">
        <f>P917*100%/(20000)</f>
        <v>2.7499999999999998E-3</v>
      </c>
      <c r="R917" s="208"/>
    </row>
    <row r="918" spans="1:22" ht="14.25" hidden="1" customHeight="1" x14ac:dyDescent="0.25">
      <c r="A918" s="141" t="s">
        <v>6129</v>
      </c>
      <c r="B918" s="61" t="s">
        <v>34</v>
      </c>
      <c r="C918" s="61" t="s">
        <v>6127</v>
      </c>
      <c r="D918" s="61"/>
      <c r="E918" s="61"/>
      <c r="F918" s="61" t="s">
        <v>5732</v>
      </c>
      <c r="G918" s="61">
        <v>2352</v>
      </c>
      <c r="H918" s="61">
        <v>50</v>
      </c>
      <c r="I918" s="62" t="s">
        <v>1454</v>
      </c>
      <c r="J918" s="62" t="s">
        <v>1454</v>
      </c>
      <c r="K918" s="61" t="s">
        <v>440</v>
      </c>
      <c r="L918" s="141" t="s">
        <v>1972</v>
      </c>
      <c r="P918" s="347"/>
      <c r="Q918" s="347"/>
      <c r="R918" s="208"/>
    </row>
    <row r="919" spans="1:22" ht="14.25" hidden="1" customHeight="1" x14ac:dyDescent="0.25">
      <c r="A919" s="199" t="s">
        <v>6129</v>
      </c>
      <c r="B919" s="154" t="s">
        <v>3781</v>
      </c>
      <c r="C919" s="154" t="s">
        <v>6128</v>
      </c>
      <c r="D919" s="154"/>
      <c r="E919" s="154"/>
      <c r="F919" s="154" t="s">
        <v>5736</v>
      </c>
      <c r="G919" s="154">
        <v>2353</v>
      </c>
      <c r="H919" s="154">
        <v>1</v>
      </c>
      <c r="I919" s="154" t="s">
        <v>1454</v>
      </c>
      <c r="J919" s="155" t="s">
        <v>1454</v>
      </c>
      <c r="K919" s="154" t="s">
        <v>440</v>
      </c>
      <c r="L919" s="154" t="s">
        <v>1972</v>
      </c>
      <c r="P919" s="347"/>
      <c r="Q919" s="347"/>
      <c r="R919" s="208"/>
    </row>
    <row r="920" spans="1:22" ht="14.25" hidden="1" customHeight="1" x14ac:dyDescent="0.3">
      <c r="A920" s="141" t="s">
        <v>6227</v>
      </c>
      <c r="B920" s="61" t="s">
        <v>34</v>
      </c>
      <c r="C920" s="61" t="s">
        <v>6242</v>
      </c>
      <c r="D920" s="61"/>
      <c r="E920" s="61"/>
      <c r="F920" s="61" t="s">
        <v>6243</v>
      </c>
      <c r="G920" s="61">
        <v>2375</v>
      </c>
      <c r="H920" s="61">
        <v>40</v>
      </c>
      <c r="I920" s="62" t="s">
        <v>1454</v>
      </c>
      <c r="J920" s="62" t="s">
        <v>1454</v>
      </c>
      <c r="K920" s="61" t="s">
        <v>574</v>
      </c>
      <c r="L920" s="141" t="s">
        <v>1972</v>
      </c>
      <c r="P920">
        <v>40</v>
      </c>
      <c r="Q920" s="303">
        <f>P920*100%/(20000)</f>
        <v>2E-3</v>
      </c>
      <c r="R920" s="208"/>
    </row>
    <row r="921" spans="1:22" ht="14.25" hidden="1" customHeight="1" x14ac:dyDescent="0.25">
      <c r="A921" s="147" t="s">
        <v>5666</v>
      </c>
      <c r="B921" s="20" t="s">
        <v>597</v>
      </c>
      <c r="C921" s="20" t="s">
        <v>4605</v>
      </c>
      <c r="D921" s="20" t="s">
        <v>4420</v>
      </c>
      <c r="E921" s="20" t="s">
        <v>4421</v>
      </c>
      <c r="F921" s="20" t="s">
        <v>4422</v>
      </c>
      <c r="G921" s="20">
        <v>584</v>
      </c>
      <c r="H921" s="20">
        <v>2</v>
      </c>
      <c r="I921" s="36">
        <v>9198</v>
      </c>
      <c r="J921" s="36">
        <v>29355</v>
      </c>
      <c r="K921" s="20" t="s">
        <v>522</v>
      </c>
      <c r="L921" s="147" t="s">
        <v>1974</v>
      </c>
      <c r="P921" s="347">
        <v>693</v>
      </c>
      <c r="Q921" s="348">
        <f>P921*100%/(1000)</f>
        <v>0.69299999999999995</v>
      </c>
      <c r="R921" s="145" t="s">
        <v>4895</v>
      </c>
    </row>
    <row r="922" spans="1:22" ht="14.25" hidden="1" customHeight="1" x14ac:dyDescent="0.25">
      <c r="A922" s="152" t="s">
        <v>5666</v>
      </c>
      <c r="B922" s="57" t="s">
        <v>11</v>
      </c>
      <c r="C922" s="57" t="s">
        <v>3254</v>
      </c>
      <c r="D922" s="57" t="s">
        <v>3180</v>
      </c>
      <c r="E922" s="57" t="s">
        <v>3181</v>
      </c>
      <c r="F922" s="57" t="s">
        <v>3182</v>
      </c>
      <c r="G922" s="57">
        <v>581</v>
      </c>
      <c r="H922" s="57">
        <v>270</v>
      </c>
      <c r="I922" s="57">
        <v>9198</v>
      </c>
      <c r="J922" s="58">
        <v>29355</v>
      </c>
      <c r="K922" s="57" t="s">
        <v>522</v>
      </c>
      <c r="L922" s="57" t="s">
        <v>1974</v>
      </c>
      <c r="P922" s="347"/>
      <c r="Q922" s="347"/>
      <c r="R922" s="183"/>
    </row>
    <row r="923" spans="1:22" ht="14.25" hidden="1" customHeight="1" x14ac:dyDescent="0.25">
      <c r="A923" s="141" t="s">
        <v>5666</v>
      </c>
      <c r="B923" s="61" t="s">
        <v>34</v>
      </c>
      <c r="C923" s="61" t="s">
        <v>3253</v>
      </c>
      <c r="D923" s="61" t="s">
        <v>3174</v>
      </c>
      <c r="E923" s="61" t="s">
        <v>3175</v>
      </c>
      <c r="F923" s="61" t="s">
        <v>3176</v>
      </c>
      <c r="G923" s="61">
        <v>579</v>
      </c>
      <c r="H923" s="61">
        <v>420</v>
      </c>
      <c r="I923" s="61">
        <v>9198</v>
      </c>
      <c r="J923" s="62">
        <v>29355</v>
      </c>
      <c r="K923" s="61" t="s">
        <v>522</v>
      </c>
      <c r="L923" s="61" t="s">
        <v>1974</v>
      </c>
      <c r="P923" s="347"/>
      <c r="Q923" s="347"/>
      <c r="R923" s="183"/>
    </row>
    <row r="924" spans="1:22" ht="14.25" hidden="1" customHeight="1" x14ac:dyDescent="0.25">
      <c r="A924" s="142" t="s">
        <v>5666</v>
      </c>
      <c r="B924" s="9" t="s">
        <v>249</v>
      </c>
      <c r="C924" s="9" t="s">
        <v>2816</v>
      </c>
      <c r="D924" s="9" t="s">
        <v>3177</v>
      </c>
      <c r="E924" s="9" t="s">
        <v>3178</v>
      </c>
      <c r="F924" s="9" t="s">
        <v>3179</v>
      </c>
      <c r="G924" s="9">
        <v>580</v>
      </c>
      <c r="H924" s="9">
        <v>1</v>
      </c>
      <c r="I924" s="9">
        <v>9198</v>
      </c>
      <c r="J924" s="37">
        <v>29355</v>
      </c>
      <c r="K924" s="9" t="s">
        <v>522</v>
      </c>
      <c r="L924" s="9" t="s">
        <v>1974</v>
      </c>
      <c r="P924" s="347"/>
      <c r="Q924" s="347"/>
      <c r="R924" s="183"/>
    </row>
    <row r="925" spans="1:22" ht="14.25" hidden="1" customHeight="1" x14ac:dyDescent="0.3">
      <c r="A925" s="147" t="s">
        <v>4780</v>
      </c>
      <c r="B925" s="20" t="s">
        <v>597</v>
      </c>
      <c r="C925" s="20" t="s">
        <v>4855</v>
      </c>
      <c r="D925" s="20"/>
      <c r="E925" s="20"/>
      <c r="F925" s="20" t="s">
        <v>4781</v>
      </c>
      <c r="G925" s="20">
        <v>2314</v>
      </c>
      <c r="H925" s="20">
        <v>3</v>
      </c>
      <c r="I925" s="20" t="s">
        <v>1454</v>
      </c>
      <c r="J925" s="36" t="s">
        <v>1454</v>
      </c>
      <c r="K925" s="20" t="s">
        <v>435</v>
      </c>
      <c r="L925" s="20" t="s">
        <v>1974</v>
      </c>
      <c r="P925">
        <v>3</v>
      </c>
      <c r="Q925" s="303">
        <f>P925*100%/(1000)</f>
        <v>3.0000000000000001E-3</v>
      </c>
      <c r="R925" s="183"/>
    </row>
    <row r="926" spans="1:22" ht="14.25" hidden="1" customHeight="1" x14ac:dyDescent="0.25">
      <c r="A926" s="152" t="s">
        <v>5667</v>
      </c>
      <c r="B926" s="57" t="s">
        <v>11</v>
      </c>
      <c r="C926" s="57" t="s">
        <v>1998</v>
      </c>
      <c r="D926" s="57" t="s">
        <v>1983</v>
      </c>
      <c r="E926" s="57" t="s">
        <v>1984</v>
      </c>
      <c r="F926" s="57" t="s">
        <v>1985</v>
      </c>
      <c r="G926" s="57">
        <v>957</v>
      </c>
      <c r="H926" s="57">
        <v>170</v>
      </c>
      <c r="I926" s="57">
        <v>64726</v>
      </c>
      <c r="J926" s="58">
        <v>65233</v>
      </c>
      <c r="K926" s="57" t="s">
        <v>522</v>
      </c>
      <c r="L926" s="57" t="s">
        <v>1975</v>
      </c>
      <c r="P926" s="347">
        <v>1109</v>
      </c>
      <c r="Q926" s="348">
        <f>P926*100%/(2000)</f>
        <v>0.55449999999999999</v>
      </c>
      <c r="R926" s="145" t="s">
        <v>4895</v>
      </c>
    </row>
    <row r="927" spans="1:22" ht="14.25" hidden="1" customHeight="1" x14ac:dyDescent="0.25">
      <c r="A927" s="141" t="s">
        <v>5667</v>
      </c>
      <c r="B927" s="61" t="s">
        <v>34</v>
      </c>
      <c r="C927" s="61" t="s">
        <v>840</v>
      </c>
      <c r="D927" s="61" t="s">
        <v>246</v>
      </c>
      <c r="E927" s="61" t="s">
        <v>247</v>
      </c>
      <c r="F927" s="61" t="s">
        <v>248</v>
      </c>
      <c r="G927" s="61">
        <v>451</v>
      </c>
      <c r="H927" s="61">
        <v>900</v>
      </c>
      <c r="I927" s="61">
        <v>64726</v>
      </c>
      <c r="J927" s="62">
        <v>65233</v>
      </c>
      <c r="K927" s="61" t="s">
        <v>429</v>
      </c>
      <c r="L927" s="61" t="s">
        <v>1975</v>
      </c>
      <c r="P927" s="347"/>
      <c r="Q927" s="347"/>
      <c r="R927" s="213"/>
    </row>
    <row r="928" spans="1:22" ht="14.25" hidden="1" customHeight="1" x14ac:dyDescent="0.25">
      <c r="A928" s="147" t="s">
        <v>5667</v>
      </c>
      <c r="B928" s="20" t="s">
        <v>597</v>
      </c>
      <c r="C928" s="20" t="s">
        <v>4691</v>
      </c>
      <c r="D928" s="20" t="s">
        <v>4632</v>
      </c>
      <c r="E928" s="20" t="s">
        <v>4633</v>
      </c>
      <c r="F928" s="20" t="s">
        <v>4634</v>
      </c>
      <c r="G928" s="20">
        <v>959</v>
      </c>
      <c r="H928" s="20">
        <v>12</v>
      </c>
      <c r="I928" s="20">
        <v>64726</v>
      </c>
      <c r="J928" s="36">
        <v>65233</v>
      </c>
      <c r="K928" s="20" t="s">
        <v>428</v>
      </c>
      <c r="L928" s="20" t="s">
        <v>1975</v>
      </c>
      <c r="P928" s="347"/>
      <c r="Q928" s="347"/>
      <c r="R928" s="213"/>
    </row>
    <row r="929" spans="1:18" ht="14.25" hidden="1" customHeight="1" x14ac:dyDescent="0.25">
      <c r="A929" s="142" t="s">
        <v>5667</v>
      </c>
      <c r="B929" s="9" t="s">
        <v>249</v>
      </c>
      <c r="C929" s="9" t="s">
        <v>841</v>
      </c>
      <c r="D929" s="9" t="s">
        <v>250</v>
      </c>
      <c r="E929" s="9" t="s">
        <v>251</v>
      </c>
      <c r="F929" s="9" t="s">
        <v>252</v>
      </c>
      <c r="G929" s="9">
        <v>450</v>
      </c>
      <c r="H929" s="9">
        <v>1</v>
      </c>
      <c r="I929" s="9">
        <v>64726</v>
      </c>
      <c r="J929" s="37">
        <v>65233</v>
      </c>
      <c r="K929" s="9" t="s">
        <v>429</v>
      </c>
      <c r="L929" s="9" t="s">
        <v>1975</v>
      </c>
      <c r="P929" s="347"/>
      <c r="Q929" s="347"/>
      <c r="R929" s="213"/>
    </row>
    <row r="930" spans="1:18" ht="14.25" hidden="1" customHeight="1" x14ac:dyDescent="0.25">
      <c r="A930" s="20" t="s">
        <v>6366</v>
      </c>
      <c r="B930" s="20" t="s">
        <v>6364</v>
      </c>
      <c r="C930" s="20" t="s">
        <v>6590</v>
      </c>
      <c r="D930" s="20"/>
      <c r="E930" s="20"/>
      <c r="F930" s="20"/>
      <c r="G930" s="20">
        <v>2382</v>
      </c>
      <c r="H930" s="20">
        <v>200</v>
      </c>
      <c r="I930" s="20" t="s">
        <v>1454</v>
      </c>
      <c r="J930" s="20" t="s">
        <v>1454</v>
      </c>
      <c r="K930" s="20" t="s">
        <v>429</v>
      </c>
      <c r="L930" s="20" t="s">
        <v>1975</v>
      </c>
      <c r="P930" s="347">
        <v>400</v>
      </c>
      <c r="Q930" s="348">
        <f>P930*100%/(2000)</f>
        <v>0.2</v>
      </c>
      <c r="R930" s="213"/>
    </row>
    <row r="931" spans="1:18" ht="14.25" hidden="1" customHeight="1" x14ac:dyDescent="0.25">
      <c r="A931" s="20" t="s">
        <v>6366</v>
      </c>
      <c r="B931" s="20" t="s">
        <v>6365</v>
      </c>
      <c r="C931" s="20" t="s">
        <v>6591</v>
      </c>
      <c r="D931" s="20"/>
      <c r="E931" s="20"/>
      <c r="F931" s="20"/>
      <c r="G931" s="20">
        <v>2383</v>
      </c>
      <c r="H931" s="20">
        <v>200</v>
      </c>
      <c r="I931" s="20" t="s">
        <v>1454</v>
      </c>
      <c r="J931" s="20" t="s">
        <v>1454</v>
      </c>
      <c r="K931" s="20" t="s">
        <v>429</v>
      </c>
      <c r="L931" s="20" t="s">
        <v>1975</v>
      </c>
      <c r="P931" s="347"/>
      <c r="Q931" s="347"/>
      <c r="R931" s="213"/>
    </row>
    <row r="932" spans="1:18" ht="14.25" hidden="1" customHeight="1" x14ac:dyDescent="0.25">
      <c r="A932" s="147" t="s">
        <v>5668</v>
      </c>
      <c r="B932" s="20" t="s">
        <v>597</v>
      </c>
      <c r="C932" s="20" t="s">
        <v>1507</v>
      </c>
      <c r="D932" s="20" t="s">
        <v>4186</v>
      </c>
      <c r="E932" s="20" t="s">
        <v>4187</v>
      </c>
      <c r="F932" s="20" t="s">
        <v>4188</v>
      </c>
      <c r="G932" s="20"/>
      <c r="H932" s="20">
        <v>10</v>
      </c>
      <c r="I932" s="20"/>
      <c r="J932" s="36">
        <v>29355</v>
      </c>
      <c r="K932" s="20" t="s">
        <v>435</v>
      </c>
      <c r="L932" s="20" t="s">
        <v>1974</v>
      </c>
      <c r="P932" s="347">
        <v>60</v>
      </c>
      <c r="Q932" s="348">
        <f>P932*100%/(1000)</f>
        <v>0.06</v>
      </c>
      <c r="R932" s="213"/>
    </row>
    <row r="933" spans="1:18" ht="14.25" hidden="1" customHeight="1" x14ac:dyDescent="0.25">
      <c r="A933" s="141" t="s">
        <v>5668</v>
      </c>
      <c r="B933" s="61" t="s">
        <v>34</v>
      </c>
      <c r="C933" s="61" t="s">
        <v>1507</v>
      </c>
      <c r="D933" s="61" t="s">
        <v>4189</v>
      </c>
      <c r="E933" s="61" t="s">
        <v>4190</v>
      </c>
      <c r="F933" s="61" t="s">
        <v>4191</v>
      </c>
      <c r="G933" s="61"/>
      <c r="H933" s="61">
        <v>50</v>
      </c>
      <c r="I933" s="61"/>
      <c r="J933" s="62">
        <v>29355</v>
      </c>
      <c r="K933" s="61" t="s">
        <v>435</v>
      </c>
      <c r="L933" s="61" t="s">
        <v>1974</v>
      </c>
      <c r="P933" s="347"/>
      <c r="Q933" s="347"/>
      <c r="R933" s="213"/>
    </row>
    <row r="934" spans="1:18" ht="14.25" hidden="1" customHeight="1" x14ac:dyDescent="0.25">
      <c r="A934" s="249" t="s">
        <v>5179</v>
      </c>
      <c r="B934" s="46" t="s">
        <v>1134</v>
      </c>
      <c r="C934" s="49" t="s">
        <v>6251</v>
      </c>
      <c r="D934" s="46"/>
      <c r="E934" s="46"/>
      <c r="F934" s="46" t="s">
        <v>6059</v>
      </c>
      <c r="G934" s="46">
        <v>2336</v>
      </c>
      <c r="H934" s="46">
        <v>10</v>
      </c>
      <c r="I934" s="46" t="s">
        <v>1454</v>
      </c>
      <c r="J934" s="46" t="s">
        <v>1454</v>
      </c>
      <c r="K934" s="46" t="s">
        <v>428</v>
      </c>
      <c r="L934" s="46" t="s">
        <v>1974</v>
      </c>
      <c r="P934" s="347">
        <v>516</v>
      </c>
      <c r="Q934" s="348">
        <f>P934*100%/(1000)</f>
        <v>0.51600000000000001</v>
      </c>
      <c r="R934" s="213"/>
    </row>
    <row r="935" spans="1:18" ht="14.25" hidden="1" customHeight="1" x14ac:dyDescent="0.25">
      <c r="A935" s="173" t="s">
        <v>5179</v>
      </c>
      <c r="B935" s="20" t="s">
        <v>597</v>
      </c>
      <c r="C935" s="20" t="s">
        <v>6248</v>
      </c>
      <c r="D935" s="20"/>
      <c r="E935" s="20"/>
      <c r="F935" s="20" t="s">
        <v>2549</v>
      </c>
      <c r="G935" s="20">
        <v>2337</v>
      </c>
      <c r="H935" s="20">
        <v>8</v>
      </c>
      <c r="I935" s="20" t="s">
        <v>1454</v>
      </c>
      <c r="J935" s="20" t="s">
        <v>1454</v>
      </c>
      <c r="K935" s="20" t="s">
        <v>433</v>
      </c>
      <c r="L935" s="20" t="s">
        <v>1974</v>
      </c>
      <c r="P935" s="347"/>
      <c r="Q935" s="347"/>
      <c r="R935" s="213"/>
    </row>
    <row r="936" spans="1:18" ht="14.25" hidden="1" customHeight="1" x14ac:dyDescent="0.25">
      <c r="A936" s="256" t="s">
        <v>5179</v>
      </c>
      <c r="B936" s="16" t="s">
        <v>34</v>
      </c>
      <c r="C936" s="16" t="s">
        <v>6247</v>
      </c>
      <c r="D936" s="16"/>
      <c r="E936" s="16"/>
      <c r="F936" s="16" t="s">
        <v>6244</v>
      </c>
      <c r="G936" s="16">
        <v>2339</v>
      </c>
      <c r="H936" s="16">
        <v>115</v>
      </c>
      <c r="I936" s="16" t="s">
        <v>1454</v>
      </c>
      <c r="J936" s="16" t="s">
        <v>1454</v>
      </c>
      <c r="K936" s="16" t="s">
        <v>433</v>
      </c>
      <c r="L936" s="16" t="s">
        <v>1974</v>
      </c>
      <c r="P936" s="347"/>
      <c r="Q936" s="347"/>
      <c r="R936" s="213"/>
    </row>
    <row r="937" spans="1:18" ht="14.25" hidden="1" customHeight="1" x14ac:dyDescent="0.25">
      <c r="A937" s="257" t="s">
        <v>5179</v>
      </c>
      <c r="B937" s="7" t="s">
        <v>11</v>
      </c>
      <c r="C937" s="7" t="s">
        <v>6246</v>
      </c>
      <c r="D937" s="7"/>
      <c r="E937" s="7"/>
      <c r="F937" s="7" t="s">
        <v>2546</v>
      </c>
      <c r="G937" s="7">
        <v>2338</v>
      </c>
      <c r="H937" s="7">
        <v>380</v>
      </c>
      <c r="I937" s="7" t="s">
        <v>1454</v>
      </c>
      <c r="J937" s="7" t="s">
        <v>1454</v>
      </c>
      <c r="K937" s="7" t="s">
        <v>433</v>
      </c>
      <c r="L937" s="7" t="s">
        <v>1974</v>
      </c>
      <c r="P937" s="347"/>
      <c r="Q937" s="347"/>
      <c r="R937" s="213"/>
    </row>
    <row r="938" spans="1:18" ht="14.25" hidden="1" customHeight="1" x14ac:dyDescent="0.25">
      <c r="A938" s="172" t="s">
        <v>5179</v>
      </c>
      <c r="B938" s="174" t="s">
        <v>6092</v>
      </c>
      <c r="C938" s="174" t="s">
        <v>6249</v>
      </c>
      <c r="D938" s="174"/>
      <c r="E938" s="174"/>
      <c r="F938" s="174" t="s">
        <v>2547</v>
      </c>
      <c r="G938" s="174">
        <v>2340</v>
      </c>
      <c r="H938" s="174">
        <v>1</v>
      </c>
      <c r="I938" s="174" t="s">
        <v>1454</v>
      </c>
      <c r="J938" s="174" t="s">
        <v>1454</v>
      </c>
      <c r="K938" s="174" t="s">
        <v>433</v>
      </c>
      <c r="L938" s="174" t="s">
        <v>1974</v>
      </c>
      <c r="P938" s="347"/>
      <c r="Q938" s="347"/>
      <c r="R938" s="213"/>
    </row>
    <row r="939" spans="1:18" ht="14.25" hidden="1" customHeight="1" x14ac:dyDescent="0.25">
      <c r="A939" s="172" t="s">
        <v>5179</v>
      </c>
      <c r="B939" s="174" t="s">
        <v>249</v>
      </c>
      <c r="C939" s="174"/>
      <c r="D939" s="174"/>
      <c r="E939" s="174"/>
      <c r="F939" s="174" t="s">
        <v>6245</v>
      </c>
      <c r="G939" s="174">
        <v>2341</v>
      </c>
      <c r="H939" s="174">
        <v>1</v>
      </c>
      <c r="I939" s="174" t="s">
        <v>1454</v>
      </c>
      <c r="J939" s="174" t="s">
        <v>1454</v>
      </c>
      <c r="K939" s="174" t="s">
        <v>433</v>
      </c>
      <c r="L939" s="174" t="s">
        <v>1974</v>
      </c>
      <c r="P939" s="347"/>
      <c r="Q939" s="347"/>
      <c r="R939" s="213"/>
    </row>
    <row r="940" spans="1:18" ht="14.25" hidden="1" customHeight="1" x14ac:dyDescent="0.25">
      <c r="A940" s="199" t="s">
        <v>5179</v>
      </c>
      <c r="B940" s="154" t="s">
        <v>3781</v>
      </c>
      <c r="C940" s="154"/>
      <c r="D940" s="154"/>
      <c r="E940" s="154"/>
      <c r="F940" s="154" t="s">
        <v>6250</v>
      </c>
      <c r="G940" s="154">
        <v>50</v>
      </c>
      <c r="H940" s="154">
        <v>1</v>
      </c>
      <c r="I940" s="154" t="s">
        <v>1454</v>
      </c>
      <c r="J940" s="155" t="s">
        <v>1454</v>
      </c>
      <c r="K940" s="154" t="s">
        <v>433</v>
      </c>
      <c r="L940" s="154" t="s">
        <v>1974</v>
      </c>
      <c r="P940" s="347"/>
      <c r="Q940" s="347"/>
    </row>
    <row r="941" spans="1:18" ht="14.25" hidden="1" customHeight="1" x14ac:dyDescent="0.25">
      <c r="A941" s="199" t="s">
        <v>5669</v>
      </c>
      <c r="B941" s="154" t="s">
        <v>3781</v>
      </c>
      <c r="C941" s="154" t="s">
        <v>6192</v>
      </c>
      <c r="D941" s="154" t="s">
        <v>5743</v>
      </c>
      <c r="E941" s="154" t="s">
        <v>5744</v>
      </c>
      <c r="F941" s="154" t="s">
        <v>5745</v>
      </c>
      <c r="G941" s="154">
        <v>2594</v>
      </c>
      <c r="H941" s="154">
        <v>1</v>
      </c>
      <c r="I941" s="154">
        <v>9198</v>
      </c>
      <c r="J941" s="155">
        <v>29355</v>
      </c>
      <c r="K941" s="154" t="s">
        <v>654</v>
      </c>
      <c r="L941" s="154" t="s">
        <v>1974</v>
      </c>
      <c r="P941" s="347">
        <v>772</v>
      </c>
      <c r="Q941" s="348">
        <f>P941*100%/(1000)</f>
        <v>0.77200000000000002</v>
      </c>
      <c r="R941" s="183"/>
    </row>
    <row r="942" spans="1:18" ht="14.25" hidden="1" customHeight="1" x14ac:dyDescent="0.25">
      <c r="A942" s="147" t="s">
        <v>5669</v>
      </c>
      <c r="B942" s="20" t="s">
        <v>597</v>
      </c>
      <c r="C942" s="20" t="s">
        <v>1653</v>
      </c>
      <c r="D942" s="20" t="s">
        <v>1662</v>
      </c>
      <c r="E942" s="20" t="s">
        <v>1661</v>
      </c>
      <c r="F942" s="20" t="s">
        <v>1660</v>
      </c>
      <c r="G942" s="20">
        <v>2589</v>
      </c>
      <c r="H942" s="20">
        <v>10</v>
      </c>
      <c r="I942" s="20">
        <v>9198</v>
      </c>
      <c r="J942" s="36">
        <v>29355</v>
      </c>
      <c r="K942" s="20" t="s">
        <v>440</v>
      </c>
      <c r="L942" s="20" t="s">
        <v>1974</v>
      </c>
      <c r="P942" s="347"/>
      <c r="Q942" s="347"/>
      <c r="R942" s="183"/>
    </row>
    <row r="943" spans="1:18" ht="14.25" hidden="1" customHeight="1" x14ac:dyDescent="0.25">
      <c r="A943" s="152" t="s">
        <v>5669</v>
      </c>
      <c r="B943" s="57" t="s">
        <v>11</v>
      </c>
      <c r="C943" s="57" t="s">
        <v>1945</v>
      </c>
      <c r="D943" s="57" t="s">
        <v>1928</v>
      </c>
      <c r="E943" s="57" t="s">
        <v>1929</v>
      </c>
      <c r="F943" s="57" t="s">
        <v>1930</v>
      </c>
      <c r="G943" s="57">
        <v>2486</v>
      </c>
      <c r="H943" s="57">
        <v>510</v>
      </c>
      <c r="I943" s="57">
        <v>9198</v>
      </c>
      <c r="J943" s="58">
        <v>29355</v>
      </c>
      <c r="K943" s="57" t="s">
        <v>1417</v>
      </c>
      <c r="L943" s="57" t="s">
        <v>1974</v>
      </c>
      <c r="P943" s="347"/>
      <c r="Q943" s="347"/>
      <c r="R943" s="183"/>
    </row>
    <row r="944" spans="1:18" ht="14.25" hidden="1" customHeight="1" x14ac:dyDescent="0.25">
      <c r="A944" s="141" t="s">
        <v>5669</v>
      </c>
      <c r="B944" s="61" t="s">
        <v>34</v>
      </c>
      <c r="C944" s="61" t="s">
        <v>1652</v>
      </c>
      <c r="D944" s="61" t="s">
        <v>1659</v>
      </c>
      <c r="E944" s="61" t="s">
        <v>1658</v>
      </c>
      <c r="F944" s="61" t="s">
        <v>1657</v>
      </c>
      <c r="G944" s="61">
        <v>2588</v>
      </c>
      <c r="H944" s="61">
        <v>250</v>
      </c>
      <c r="I944" s="61">
        <v>9198</v>
      </c>
      <c r="J944" s="62">
        <v>29355</v>
      </c>
      <c r="K944" s="61" t="s">
        <v>440</v>
      </c>
      <c r="L944" s="61" t="s">
        <v>1974</v>
      </c>
      <c r="P944" s="347"/>
      <c r="Q944" s="347"/>
      <c r="R944" s="183"/>
    </row>
    <row r="945" spans="1:19" ht="14.25" hidden="1" customHeight="1" x14ac:dyDescent="0.25">
      <c r="A945" s="142" t="s">
        <v>5669</v>
      </c>
      <c r="B945" s="9" t="s">
        <v>249</v>
      </c>
      <c r="C945" s="9" t="s">
        <v>1946</v>
      </c>
      <c r="D945" s="9" t="s">
        <v>1925</v>
      </c>
      <c r="E945" s="9" t="s">
        <v>1926</v>
      </c>
      <c r="F945" s="9" t="s">
        <v>1927</v>
      </c>
      <c r="G945" s="9">
        <v>2487</v>
      </c>
      <c r="H945" s="9">
        <v>1</v>
      </c>
      <c r="I945" s="9">
        <v>9198</v>
      </c>
      <c r="J945" s="37">
        <v>29355</v>
      </c>
      <c r="K945" s="9" t="s">
        <v>440</v>
      </c>
      <c r="L945" s="9" t="s">
        <v>1974</v>
      </c>
      <c r="P945" s="347"/>
      <c r="Q945" s="347"/>
    </row>
    <row r="946" spans="1:19" ht="14.25" hidden="1" customHeight="1" x14ac:dyDescent="0.25">
      <c r="A946" s="149" t="s">
        <v>5670</v>
      </c>
      <c r="B946" s="46" t="s">
        <v>1109</v>
      </c>
      <c r="C946" s="46" t="s">
        <v>1507</v>
      </c>
      <c r="D946" s="46" t="s">
        <v>1717</v>
      </c>
      <c r="E946" s="46" t="s">
        <v>1718</v>
      </c>
      <c r="F946" s="46" t="s">
        <v>1719</v>
      </c>
      <c r="G946" s="46"/>
      <c r="H946" s="46">
        <v>4</v>
      </c>
      <c r="I946" s="46"/>
      <c r="J946" s="47">
        <v>65242</v>
      </c>
      <c r="K946" s="46" t="s">
        <v>433</v>
      </c>
      <c r="L946" s="46" t="s">
        <v>1974</v>
      </c>
      <c r="P946" s="347">
        <v>381</v>
      </c>
      <c r="Q946" s="348">
        <f>P946*100%/(1000)</f>
        <v>0.38100000000000001</v>
      </c>
    </row>
    <row r="947" spans="1:19" ht="14.25" hidden="1" customHeight="1" x14ac:dyDescent="0.25">
      <c r="A947" s="141" t="s">
        <v>5670</v>
      </c>
      <c r="B947" s="61" t="s">
        <v>34</v>
      </c>
      <c r="C947" s="61" t="s">
        <v>842</v>
      </c>
      <c r="D947" s="61" t="s">
        <v>181</v>
      </c>
      <c r="E947" s="61" t="s">
        <v>182</v>
      </c>
      <c r="F947" s="61" t="s">
        <v>180</v>
      </c>
      <c r="G947" s="61">
        <v>1001</v>
      </c>
      <c r="H947" s="61">
        <v>292</v>
      </c>
      <c r="I947" s="61">
        <v>9198</v>
      </c>
      <c r="J947" s="62">
        <v>65242</v>
      </c>
      <c r="K947" s="61" t="s">
        <v>433</v>
      </c>
      <c r="L947" s="61" t="s">
        <v>1974</v>
      </c>
      <c r="P947" s="347"/>
      <c r="Q947" s="347"/>
      <c r="R947" s="183"/>
    </row>
    <row r="948" spans="1:19" ht="14.25" hidden="1" customHeight="1" x14ac:dyDescent="0.25">
      <c r="A948" s="149" t="s">
        <v>5670</v>
      </c>
      <c r="B948" s="46" t="s">
        <v>1014</v>
      </c>
      <c r="C948" s="46" t="s">
        <v>1415</v>
      </c>
      <c r="D948" s="46" t="s">
        <v>1416</v>
      </c>
      <c r="E948" s="46" t="s">
        <v>1571</v>
      </c>
      <c r="F948" s="46" t="s">
        <v>1765</v>
      </c>
      <c r="G948" s="46">
        <v>1006</v>
      </c>
      <c r="H948" s="46">
        <v>20</v>
      </c>
      <c r="I948" s="46">
        <v>9198</v>
      </c>
      <c r="J948" s="47">
        <v>65242</v>
      </c>
      <c r="K948" s="46" t="s">
        <v>428</v>
      </c>
      <c r="L948" s="46" t="s">
        <v>1974</v>
      </c>
      <c r="P948" s="347"/>
      <c r="Q948" s="347"/>
      <c r="S948" s="44"/>
    </row>
    <row r="949" spans="1:19" ht="14.25" hidden="1" customHeight="1" x14ac:dyDescent="0.25">
      <c r="A949" s="151" t="s">
        <v>5670</v>
      </c>
      <c r="B949" s="67" t="s">
        <v>35</v>
      </c>
      <c r="C949" s="67" t="s">
        <v>843</v>
      </c>
      <c r="D949" s="67" t="s">
        <v>197</v>
      </c>
      <c r="E949" s="67" t="s">
        <v>196</v>
      </c>
      <c r="F949" s="67" t="s">
        <v>195</v>
      </c>
      <c r="G949" s="67">
        <v>1002</v>
      </c>
      <c r="H949" s="67">
        <v>5</v>
      </c>
      <c r="I949" s="67">
        <v>9198</v>
      </c>
      <c r="J949" s="68">
        <v>65242</v>
      </c>
      <c r="K949" s="67" t="s">
        <v>433</v>
      </c>
      <c r="L949" s="67" t="s">
        <v>1974</v>
      </c>
      <c r="P949" s="347"/>
      <c r="Q949" s="347"/>
      <c r="R949" s="183"/>
    </row>
    <row r="950" spans="1:19" ht="15" hidden="1" customHeight="1" x14ac:dyDescent="0.25">
      <c r="A950" s="152" t="s">
        <v>5670</v>
      </c>
      <c r="B950" s="57" t="s">
        <v>11</v>
      </c>
      <c r="C950" s="57" t="s">
        <v>1622</v>
      </c>
      <c r="D950" s="57" t="s">
        <v>1428</v>
      </c>
      <c r="E950" s="57" t="s">
        <v>1429</v>
      </c>
      <c r="F950" s="57" t="s">
        <v>1430</v>
      </c>
      <c r="G950" s="57">
        <v>1003</v>
      </c>
      <c r="H950" s="57">
        <v>60</v>
      </c>
      <c r="I950" s="57">
        <v>9198</v>
      </c>
      <c r="J950" s="58">
        <v>65242</v>
      </c>
      <c r="K950" s="57" t="s">
        <v>433</v>
      </c>
      <c r="L950" s="57" t="s">
        <v>1974</v>
      </c>
      <c r="P950" s="347"/>
      <c r="Q950" s="347"/>
      <c r="R950" s="146" t="s">
        <v>3693</v>
      </c>
      <c r="S950" s="129"/>
    </row>
    <row r="951" spans="1:19" ht="14.25" hidden="1" customHeight="1" x14ac:dyDescent="0.25">
      <c r="A951" s="152" t="s">
        <v>5671</v>
      </c>
      <c r="B951" s="57" t="s">
        <v>11</v>
      </c>
      <c r="C951" s="57" t="s">
        <v>3092</v>
      </c>
      <c r="D951" s="57" t="s">
        <v>3014</v>
      </c>
      <c r="E951" s="57" t="s">
        <v>3015</v>
      </c>
      <c r="F951" s="57" t="s">
        <v>3016</v>
      </c>
      <c r="G951" s="57">
        <v>2017</v>
      </c>
      <c r="H951" s="57">
        <v>364</v>
      </c>
      <c r="I951" s="57">
        <v>9198</v>
      </c>
      <c r="J951" s="58">
        <v>65242</v>
      </c>
      <c r="K951" s="57" t="s">
        <v>433</v>
      </c>
      <c r="L951" s="57" t="s">
        <v>1975</v>
      </c>
      <c r="P951" s="347">
        <v>585</v>
      </c>
      <c r="Q951" s="348">
        <f>P951*100%/(2000)</f>
        <v>0.29249999999999998</v>
      </c>
      <c r="R951" s="146" t="s">
        <v>3694</v>
      </c>
      <c r="S951" s="129"/>
    </row>
    <row r="952" spans="1:19" ht="14.25" hidden="1" customHeight="1" x14ac:dyDescent="0.25">
      <c r="A952" s="141" t="s">
        <v>5671</v>
      </c>
      <c r="B952" s="61" t="s">
        <v>34</v>
      </c>
      <c r="C952" s="61" t="s">
        <v>1748</v>
      </c>
      <c r="D952" s="61" t="s">
        <v>1724</v>
      </c>
      <c r="E952" s="61" t="s">
        <v>1725</v>
      </c>
      <c r="F952" s="61" t="s">
        <v>1726</v>
      </c>
      <c r="G952" s="61">
        <v>1004</v>
      </c>
      <c r="H952" s="61">
        <v>220</v>
      </c>
      <c r="I952" s="61">
        <v>9198</v>
      </c>
      <c r="J952" s="62">
        <v>65242</v>
      </c>
      <c r="K952" s="61" t="s">
        <v>433</v>
      </c>
      <c r="L952" s="61" t="s">
        <v>1975</v>
      </c>
      <c r="P952" s="347"/>
      <c r="Q952" s="347"/>
      <c r="R952" s="146" t="s">
        <v>4107</v>
      </c>
      <c r="S952" s="129"/>
    </row>
    <row r="953" spans="1:19" ht="14.25" hidden="1" customHeight="1" x14ac:dyDescent="0.25">
      <c r="A953" s="142" t="s">
        <v>5671</v>
      </c>
      <c r="B953" s="9" t="s">
        <v>249</v>
      </c>
      <c r="C953" s="9" t="s">
        <v>1749</v>
      </c>
      <c r="D953" s="9" t="s">
        <v>1727</v>
      </c>
      <c r="E953" s="9" t="s">
        <v>1728</v>
      </c>
      <c r="F953" s="9" t="s">
        <v>1747</v>
      </c>
      <c r="G953" s="9">
        <v>1005</v>
      </c>
      <c r="H953" s="9">
        <v>1</v>
      </c>
      <c r="I953" s="9">
        <v>9198</v>
      </c>
      <c r="J953" s="37">
        <v>65242</v>
      </c>
      <c r="K953" s="9" t="s">
        <v>433</v>
      </c>
      <c r="L953" s="9" t="s">
        <v>1975</v>
      </c>
      <c r="P953" s="347"/>
      <c r="Q953" s="347"/>
      <c r="R953" s="183"/>
      <c r="S953" s="129"/>
    </row>
    <row r="954" spans="1:19" ht="14.25" hidden="1" customHeight="1" x14ac:dyDescent="0.25">
      <c r="A954" s="152" t="s">
        <v>5672</v>
      </c>
      <c r="B954" s="57" t="s">
        <v>11</v>
      </c>
      <c r="C954" s="57" t="s">
        <v>1989</v>
      </c>
      <c r="D954" s="57" t="s">
        <v>1967</v>
      </c>
      <c r="E954" s="57" t="s">
        <v>1968</v>
      </c>
      <c r="F954" s="57" t="s">
        <v>1969</v>
      </c>
      <c r="G954" s="57">
        <v>1158</v>
      </c>
      <c r="H954" s="57">
        <v>210</v>
      </c>
      <c r="I954" s="57">
        <v>9198</v>
      </c>
      <c r="J954" s="58">
        <v>65242</v>
      </c>
      <c r="K954" s="57" t="s">
        <v>433</v>
      </c>
      <c r="L954" s="57" t="s">
        <v>1975</v>
      </c>
      <c r="P954" s="347">
        <v>778</v>
      </c>
      <c r="Q954" s="348">
        <f>P954*100%/(2000)</f>
        <v>0.38900000000000001</v>
      </c>
      <c r="S954" s="129"/>
    </row>
    <row r="955" spans="1:19" ht="14.25" hidden="1" customHeight="1" x14ac:dyDescent="0.25">
      <c r="A955" s="141" t="s">
        <v>5672</v>
      </c>
      <c r="B955" s="61" t="s">
        <v>34</v>
      </c>
      <c r="C955" s="61" t="s">
        <v>844</v>
      </c>
      <c r="D955" s="61" t="s">
        <v>184</v>
      </c>
      <c r="E955" s="61" t="s">
        <v>185</v>
      </c>
      <c r="F955" s="61" t="s">
        <v>183</v>
      </c>
      <c r="G955" s="61">
        <v>1015</v>
      </c>
      <c r="H955" s="61">
        <v>379</v>
      </c>
      <c r="I955" s="61">
        <v>9198</v>
      </c>
      <c r="J955" s="62">
        <v>65242</v>
      </c>
      <c r="K955" s="61" t="s">
        <v>433</v>
      </c>
      <c r="L955" s="61" t="s">
        <v>1975</v>
      </c>
      <c r="P955" s="347"/>
      <c r="Q955" s="347"/>
      <c r="S955" s="129"/>
    </row>
    <row r="956" spans="1:19" ht="14.25" hidden="1" customHeight="1" x14ac:dyDescent="0.25">
      <c r="A956" s="199" t="s">
        <v>5672</v>
      </c>
      <c r="B956" s="154" t="s">
        <v>3781</v>
      </c>
      <c r="C956" s="154" t="s">
        <v>4053</v>
      </c>
      <c r="D956" s="154" t="s">
        <v>3919</v>
      </c>
      <c r="E956" s="154" t="s">
        <v>3920</v>
      </c>
      <c r="F956" s="154" t="s">
        <v>3921</v>
      </c>
      <c r="G956" s="154">
        <v>1901</v>
      </c>
      <c r="H956" s="154">
        <v>20</v>
      </c>
      <c r="I956" s="154">
        <v>9198</v>
      </c>
      <c r="J956" s="155">
        <v>65242</v>
      </c>
      <c r="K956" s="154" t="s">
        <v>433</v>
      </c>
      <c r="L956" s="154" t="s">
        <v>1974</v>
      </c>
      <c r="P956" s="347"/>
      <c r="Q956" s="347"/>
      <c r="S956" s="129"/>
    </row>
    <row r="957" spans="1:19" ht="14.25" hidden="1" customHeight="1" x14ac:dyDescent="0.25">
      <c r="A957" s="149" t="s">
        <v>5672</v>
      </c>
      <c r="B957" s="46" t="s">
        <v>1014</v>
      </c>
      <c r="C957" s="46" t="s">
        <v>1398</v>
      </c>
      <c r="D957" s="46" t="s">
        <v>1035</v>
      </c>
      <c r="E957" s="46" t="s">
        <v>1036</v>
      </c>
      <c r="F957" s="46" t="s">
        <v>1037</v>
      </c>
      <c r="G957" s="46">
        <v>2376</v>
      </c>
      <c r="H957" s="46">
        <v>220</v>
      </c>
      <c r="I957" s="46">
        <v>64716</v>
      </c>
      <c r="J957" s="47">
        <v>65242</v>
      </c>
      <c r="K957" s="46" t="s">
        <v>428</v>
      </c>
      <c r="L957" s="46" t="s">
        <v>1975</v>
      </c>
      <c r="P957" s="347"/>
      <c r="Q957" s="347"/>
      <c r="S957" s="129"/>
    </row>
    <row r="958" spans="1:19" ht="14.25" hidden="1" customHeight="1" x14ac:dyDescent="0.25">
      <c r="A958" s="151" t="s">
        <v>5672</v>
      </c>
      <c r="B958" s="67" t="s">
        <v>35</v>
      </c>
      <c r="C958" s="67" t="s">
        <v>845</v>
      </c>
      <c r="D958" s="67" t="s">
        <v>194</v>
      </c>
      <c r="E958" s="67" t="s">
        <v>193</v>
      </c>
      <c r="F958" s="67" t="s">
        <v>192</v>
      </c>
      <c r="G958" s="67">
        <v>1016</v>
      </c>
      <c r="H958" s="67">
        <v>5</v>
      </c>
      <c r="I958" s="67">
        <v>9198</v>
      </c>
      <c r="J958" s="68">
        <v>65242</v>
      </c>
      <c r="K958" s="67" t="s">
        <v>433</v>
      </c>
      <c r="L958" s="67" t="s">
        <v>1975</v>
      </c>
      <c r="P958" s="347"/>
      <c r="Q958" s="347"/>
      <c r="S958" s="129"/>
    </row>
    <row r="959" spans="1:19" ht="14.25" hidden="1" customHeight="1" x14ac:dyDescent="0.25">
      <c r="A959" s="141" t="s">
        <v>5673</v>
      </c>
      <c r="B959" s="61" t="s">
        <v>34</v>
      </c>
      <c r="C959" s="61" t="s">
        <v>2232</v>
      </c>
      <c r="D959" s="61" t="s">
        <v>2186</v>
      </c>
      <c r="E959" s="61" t="s">
        <v>2187</v>
      </c>
      <c r="F959" s="61" t="s">
        <v>2188</v>
      </c>
      <c r="G959" s="61">
        <v>444</v>
      </c>
      <c r="H959" s="61">
        <v>141</v>
      </c>
      <c r="I959" s="61">
        <v>9198</v>
      </c>
      <c r="J959" s="62">
        <v>29355</v>
      </c>
      <c r="K959" s="61" t="s">
        <v>433</v>
      </c>
      <c r="L959" s="61" t="s">
        <v>1974</v>
      </c>
      <c r="P959" s="347">
        <v>162</v>
      </c>
      <c r="Q959" s="348">
        <f>P959*100%/(1000)</f>
        <v>0.16200000000000001</v>
      </c>
      <c r="S959" s="129"/>
    </row>
    <row r="960" spans="1:19" ht="14.25" hidden="1" customHeight="1" x14ac:dyDescent="0.25">
      <c r="A960" s="142" t="s">
        <v>5673</v>
      </c>
      <c r="B960" s="9" t="s">
        <v>249</v>
      </c>
      <c r="C960" s="9" t="s">
        <v>2233</v>
      </c>
      <c r="D960" s="9" t="s">
        <v>2189</v>
      </c>
      <c r="E960" s="9" t="s">
        <v>2190</v>
      </c>
      <c r="F960" s="9" t="s">
        <v>2191</v>
      </c>
      <c r="G960" s="9">
        <v>445</v>
      </c>
      <c r="H960" s="9">
        <v>1</v>
      </c>
      <c r="I960" s="9">
        <v>9198</v>
      </c>
      <c r="J960" s="37">
        <v>29355</v>
      </c>
      <c r="K960" s="9" t="s">
        <v>433</v>
      </c>
      <c r="L960" s="9" t="s">
        <v>1974</v>
      </c>
      <c r="P960" s="347"/>
      <c r="Q960" s="347"/>
      <c r="S960" s="129"/>
    </row>
    <row r="961" spans="1:19" ht="14.25" hidden="1" customHeight="1" x14ac:dyDescent="0.25">
      <c r="A961" s="165" t="s">
        <v>5673</v>
      </c>
      <c r="B961" s="167" t="s">
        <v>3825</v>
      </c>
      <c r="C961" s="167" t="s">
        <v>4113</v>
      </c>
      <c r="D961" s="167" t="s">
        <v>3841</v>
      </c>
      <c r="E961" s="167" t="s">
        <v>3842</v>
      </c>
      <c r="F961" s="167" t="s">
        <v>3843</v>
      </c>
      <c r="G961" s="167">
        <v>2125</v>
      </c>
      <c r="H961" s="167">
        <v>20</v>
      </c>
      <c r="I961" s="167">
        <v>9198</v>
      </c>
      <c r="J961" s="166">
        <v>29355</v>
      </c>
      <c r="K961" s="167" t="s">
        <v>428</v>
      </c>
      <c r="L961" s="167" t="s">
        <v>1974</v>
      </c>
      <c r="P961" s="347"/>
      <c r="Q961" s="347"/>
      <c r="R961" s="183"/>
      <c r="S961" s="129"/>
    </row>
    <row r="962" spans="1:19" ht="14.25" hidden="1" customHeight="1" x14ac:dyDescent="0.25">
      <c r="A962" s="147" t="s">
        <v>5674</v>
      </c>
      <c r="B962" s="20" t="s">
        <v>597</v>
      </c>
      <c r="C962" s="20" t="s">
        <v>4847</v>
      </c>
      <c r="D962" s="20" t="s">
        <v>3698</v>
      </c>
      <c r="E962" s="20" t="s">
        <v>3699</v>
      </c>
      <c r="F962" s="20" t="s">
        <v>3700</v>
      </c>
      <c r="G962" s="20">
        <v>300</v>
      </c>
      <c r="H962" s="20">
        <v>4</v>
      </c>
      <c r="I962" s="20">
        <v>9198</v>
      </c>
      <c r="J962" s="36">
        <v>29355</v>
      </c>
      <c r="K962" s="20" t="s">
        <v>1417</v>
      </c>
      <c r="L962" s="20" t="s">
        <v>1974</v>
      </c>
      <c r="P962" s="347">
        <v>270</v>
      </c>
      <c r="Q962" s="348">
        <f>P962*100%/(1000)</f>
        <v>0.27</v>
      </c>
      <c r="R962" s="183"/>
      <c r="S962" s="129"/>
    </row>
    <row r="963" spans="1:19" ht="14.25" hidden="1" customHeight="1" x14ac:dyDescent="0.25">
      <c r="A963" s="141" t="s">
        <v>5674</v>
      </c>
      <c r="B963" s="61" t="s">
        <v>34</v>
      </c>
      <c r="C963" s="61" t="s">
        <v>4848</v>
      </c>
      <c r="D963" s="61" t="s">
        <v>3701</v>
      </c>
      <c r="E963" s="61" t="s">
        <v>3702</v>
      </c>
      <c r="F963" s="61" t="s">
        <v>3703</v>
      </c>
      <c r="G963" s="61">
        <v>301</v>
      </c>
      <c r="H963" s="61">
        <v>64</v>
      </c>
      <c r="I963" s="61">
        <v>9198</v>
      </c>
      <c r="J963" s="62">
        <v>29355</v>
      </c>
      <c r="K963" s="61" t="s">
        <v>1417</v>
      </c>
      <c r="L963" s="61" t="s">
        <v>1974</v>
      </c>
      <c r="P963" s="347"/>
      <c r="Q963" s="347"/>
      <c r="R963" s="183"/>
      <c r="S963" s="129"/>
    </row>
    <row r="964" spans="1:19" ht="14.25" hidden="1" customHeight="1" x14ac:dyDescent="0.25">
      <c r="A964" s="142" t="s">
        <v>5674</v>
      </c>
      <c r="B964" s="142" t="s">
        <v>249</v>
      </c>
      <c r="C964" s="142" t="s">
        <v>4849</v>
      </c>
      <c r="D964" s="142" t="s">
        <v>3704</v>
      </c>
      <c r="E964" s="142" t="s">
        <v>3705</v>
      </c>
      <c r="F964" s="142" t="s">
        <v>3706</v>
      </c>
      <c r="G964" s="142">
        <v>302</v>
      </c>
      <c r="H964" s="142">
        <v>1</v>
      </c>
      <c r="I964" s="142">
        <v>9198</v>
      </c>
      <c r="J964" s="37">
        <v>29355</v>
      </c>
      <c r="K964" s="142" t="s">
        <v>1417</v>
      </c>
      <c r="L964" s="142" t="s">
        <v>1974</v>
      </c>
      <c r="P964" s="347"/>
      <c r="Q964" s="347"/>
      <c r="R964" s="183"/>
      <c r="S964" s="129"/>
    </row>
    <row r="965" spans="1:19" ht="14.25" hidden="1" customHeight="1" x14ac:dyDescent="0.25">
      <c r="A965" s="152" t="s">
        <v>5674</v>
      </c>
      <c r="B965" s="57" t="s">
        <v>11</v>
      </c>
      <c r="C965" s="57" t="s">
        <v>7338</v>
      </c>
      <c r="D965" s="57" t="s">
        <v>7094</v>
      </c>
      <c r="E965" s="57" t="s">
        <v>7095</v>
      </c>
      <c r="F965" s="57" t="s">
        <v>7096</v>
      </c>
      <c r="G965" s="57">
        <v>1487</v>
      </c>
      <c r="H965" s="57">
        <v>200</v>
      </c>
      <c r="I965" s="57">
        <v>9198</v>
      </c>
      <c r="J965" s="58">
        <v>29355</v>
      </c>
      <c r="K965" s="57" t="s">
        <v>1417</v>
      </c>
      <c r="L965" s="57" t="s">
        <v>1974</v>
      </c>
      <c r="P965" s="347"/>
      <c r="Q965" s="347"/>
      <c r="S965" s="129"/>
    </row>
    <row r="966" spans="1:19" ht="14.25" hidden="1" customHeight="1" x14ac:dyDescent="0.25">
      <c r="A966" s="199" t="s">
        <v>5674</v>
      </c>
      <c r="B966" s="154" t="s">
        <v>3781</v>
      </c>
      <c r="C966" s="154" t="s">
        <v>4850</v>
      </c>
      <c r="D966" s="154" t="s">
        <v>4589</v>
      </c>
      <c r="E966" s="154" t="s">
        <v>4590</v>
      </c>
      <c r="F966" s="154" t="s">
        <v>4591</v>
      </c>
      <c r="G966" s="154">
        <v>303</v>
      </c>
      <c r="H966" s="154">
        <v>1</v>
      </c>
      <c r="I966" s="154">
        <v>9198</v>
      </c>
      <c r="J966" s="155">
        <v>29355</v>
      </c>
      <c r="K966" s="154" t="s">
        <v>1417</v>
      </c>
      <c r="L966" s="154" t="s">
        <v>1974</v>
      </c>
      <c r="P966" s="347"/>
      <c r="Q966" s="347"/>
      <c r="S966" s="129"/>
    </row>
    <row r="967" spans="1:19" ht="14.25" hidden="1" customHeight="1" x14ac:dyDescent="0.25">
      <c r="A967" s="147" t="s">
        <v>5675</v>
      </c>
      <c r="B967" s="20" t="s">
        <v>597</v>
      </c>
      <c r="C967" s="20" t="s">
        <v>3333</v>
      </c>
      <c r="D967" s="20" t="s">
        <v>3132</v>
      </c>
      <c r="E967" s="20" t="s">
        <v>3133</v>
      </c>
      <c r="F967" s="20" t="s">
        <v>3134</v>
      </c>
      <c r="G967" s="20">
        <v>1221</v>
      </c>
      <c r="H967" s="20">
        <v>5</v>
      </c>
      <c r="I967" s="20">
        <v>9198</v>
      </c>
      <c r="J967" s="36">
        <v>29355</v>
      </c>
      <c r="K967" s="20" t="s">
        <v>654</v>
      </c>
      <c r="L967" s="20" t="s">
        <v>1974</v>
      </c>
      <c r="P967" s="347">
        <v>209</v>
      </c>
      <c r="Q967" s="348">
        <f>P967*100%/(1000)</f>
        <v>0.20899999999999999</v>
      </c>
      <c r="S967" s="129"/>
    </row>
    <row r="968" spans="1:19" ht="14.25" hidden="1" customHeight="1" x14ac:dyDescent="0.25">
      <c r="A968" s="141" t="s">
        <v>5675</v>
      </c>
      <c r="B968" s="61" t="s">
        <v>34</v>
      </c>
      <c r="C968" s="61" t="s">
        <v>3334</v>
      </c>
      <c r="D968" s="61" t="s">
        <v>3135</v>
      </c>
      <c r="E968" s="61" t="s">
        <v>3136</v>
      </c>
      <c r="F968" s="61" t="s">
        <v>3137</v>
      </c>
      <c r="G968" s="61">
        <v>1220</v>
      </c>
      <c r="H968" s="61">
        <v>202</v>
      </c>
      <c r="I968" s="61">
        <v>9198</v>
      </c>
      <c r="J968" s="62">
        <v>29355</v>
      </c>
      <c r="K968" s="61" t="s">
        <v>654</v>
      </c>
      <c r="L968" s="61" t="s">
        <v>1974</v>
      </c>
      <c r="P968" s="347"/>
      <c r="Q968" s="347"/>
      <c r="S968" s="129"/>
    </row>
    <row r="969" spans="1:19" ht="14.25" hidden="1" customHeight="1" x14ac:dyDescent="0.25">
      <c r="A969" s="142" t="s">
        <v>5675</v>
      </c>
      <c r="B969" s="134" t="s">
        <v>249</v>
      </c>
      <c r="C969" s="134" t="s">
        <v>3335</v>
      </c>
      <c r="D969" s="134" t="s">
        <v>3138</v>
      </c>
      <c r="E969" s="134" t="s">
        <v>3139</v>
      </c>
      <c r="F969" s="134" t="s">
        <v>3140</v>
      </c>
      <c r="G969" s="134">
        <v>1222</v>
      </c>
      <c r="H969" s="134">
        <v>1</v>
      </c>
      <c r="I969" s="134">
        <v>9198</v>
      </c>
      <c r="J969" s="37">
        <v>29355</v>
      </c>
      <c r="K969" s="134" t="s">
        <v>654</v>
      </c>
      <c r="L969" s="9" t="s">
        <v>1974</v>
      </c>
      <c r="P969" s="347"/>
      <c r="Q969" s="347"/>
      <c r="R969" s="183"/>
      <c r="S969" s="129"/>
    </row>
    <row r="970" spans="1:19" ht="14.25" hidden="1" customHeight="1" x14ac:dyDescent="0.25">
      <c r="A970" s="154" t="s">
        <v>5675</v>
      </c>
      <c r="B970" s="154" t="s">
        <v>3781</v>
      </c>
      <c r="C970" s="154" t="s">
        <v>6806</v>
      </c>
      <c r="D970" s="154" t="s">
        <v>6790</v>
      </c>
      <c r="E970" s="154" t="s">
        <v>6788</v>
      </c>
      <c r="F970" s="154" t="s">
        <v>6789</v>
      </c>
      <c r="G970" s="154">
        <v>2214</v>
      </c>
      <c r="H970" s="154">
        <v>1</v>
      </c>
      <c r="I970" s="154">
        <v>9198</v>
      </c>
      <c r="J970" s="154">
        <v>29355</v>
      </c>
      <c r="K970" s="154" t="s">
        <v>654</v>
      </c>
      <c r="L970" s="154" t="s">
        <v>1974</v>
      </c>
      <c r="P970" s="347"/>
      <c r="Q970" s="347"/>
      <c r="R970" s="183"/>
      <c r="S970" s="129"/>
    </row>
    <row r="971" spans="1:19" ht="14.25" hidden="1" customHeight="1" x14ac:dyDescent="0.3">
      <c r="A971" s="199" t="s">
        <v>6432</v>
      </c>
      <c r="B971" s="154" t="s">
        <v>3781</v>
      </c>
      <c r="C971" s="154" t="s">
        <v>1626</v>
      </c>
      <c r="D971" s="199"/>
      <c r="E971" s="199"/>
      <c r="F971" s="199" t="s">
        <v>6431</v>
      </c>
      <c r="G971" s="199">
        <v>2376</v>
      </c>
      <c r="H971" s="199">
        <v>1</v>
      </c>
      <c r="I971" s="199" t="s">
        <v>1454</v>
      </c>
      <c r="J971" s="199" t="s">
        <v>1454</v>
      </c>
      <c r="K971" s="154" t="s">
        <v>654</v>
      </c>
      <c r="L971" s="154" t="s">
        <v>1974</v>
      </c>
      <c r="P971">
        <v>1</v>
      </c>
      <c r="Q971" s="303">
        <f>P971*100%/(1000)</f>
        <v>1E-3</v>
      </c>
      <c r="R971" s="183"/>
      <c r="S971" s="129"/>
    </row>
    <row r="972" spans="1:19" ht="14.25" hidden="1" customHeight="1" x14ac:dyDescent="0.25">
      <c r="A972" s="165" t="s">
        <v>5676</v>
      </c>
      <c r="B972" s="167" t="s">
        <v>3825</v>
      </c>
      <c r="C972" s="167" t="s">
        <v>6982</v>
      </c>
      <c r="D972" s="167" t="s">
        <v>4143</v>
      </c>
      <c r="E972" s="167" t="s">
        <v>4144</v>
      </c>
      <c r="F972" s="167" t="s">
        <v>4145</v>
      </c>
      <c r="G972" s="167">
        <v>2369</v>
      </c>
      <c r="H972" s="167">
        <v>60</v>
      </c>
      <c r="I972" s="167">
        <v>9198</v>
      </c>
      <c r="J972" s="166">
        <v>29355</v>
      </c>
      <c r="K972" s="167" t="s">
        <v>428</v>
      </c>
      <c r="L972" s="167" t="s">
        <v>1974</v>
      </c>
      <c r="P972" s="347">
        <v>202</v>
      </c>
      <c r="Q972" s="348">
        <f>P972*100%/(1000)</f>
        <v>0.20200000000000001</v>
      </c>
      <c r="R972" s="146" t="s">
        <v>4513</v>
      </c>
      <c r="S972" s="189" t="s">
        <v>6062</v>
      </c>
    </row>
    <row r="973" spans="1:19" ht="14.25" hidden="1" customHeight="1" x14ac:dyDescent="0.25">
      <c r="A973" s="147" t="s">
        <v>5676</v>
      </c>
      <c r="B973" s="20" t="s">
        <v>597</v>
      </c>
      <c r="C973" s="20" t="s">
        <v>1399</v>
      </c>
      <c r="D973" s="20" t="s">
        <v>1203</v>
      </c>
      <c r="E973" s="20" t="s">
        <v>1204</v>
      </c>
      <c r="F973" s="20" t="s">
        <v>1205</v>
      </c>
      <c r="G973" s="20">
        <v>2141</v>
      </c>
      <c r="H973" s="20">
        <v>8</v>
      </c>
      <c r="I973" s="20">
        <v>9198</v>
      </c>
      <c r="J973" s="36">
        <v>29355</v>
      </c>
      <c r="K973" s="20" t="s">
        <v>1116</v>
      </c>
      <c r="L973" s="20" t="s">
        <v>1974</v>
      </c>
      <c r="P973" s="347"/>
      <c r="Q973" s="347"/>
      <c r="R973" s="146" t="s">
        <v>2924</v>
      </c>
      <c r="S973" s="129" t="s">
        <v>2910</v>
      </c>
    </row>
    <row r="974" spans="1:19" ht="14.25" hidden="1" customHeight="1" x14ac:dyDescent="0.25">
      <c r="A974" s="141" t="s">
        <v>5676</v>
      </c>
      <c r="B974" s="61" t="s">
        <v>34</v>
      </c>
      <c r="C974" s="61" t="s">
        <v>1400</v>
      </c>
      <c r="D974" s="61" t="s">
        <v>1206</v>
      </c>
      <c r="E974" s="61" t="s">
        <v>1207</v>
      </c>
      <c r="F974" s="61"/>
      <c r="G974" s="61">
        <v>2143</v>
      </c>
      <c r="H974" s="61">
        <v>90</v>
      </c>
      <c r="I974" s="61">
        <v>9198</v>
      </c>
      <c r="J974" s="62">
        <v>29355</v>
      </c>
      <c r="K974" s="61" t="s">
        <v>1116</v>
      </c>
      <c r="L974" s="61" t="s">
        <v>1974</v>
      </c>
      <c r="P974" s="347"/>
      <c r="Q974" s="347"/>
      <c r="R974" s="146" t="s">
        <v>3694</v>
      </c>
      <c r="S974" s="129"/>
    </row>
    <row r="975" spans="1:19" ht="14.25" hidden="1" customHeight="1" x14ac:dyDescent="0.25">
      <c r="A975" s="149" t="s">
        <v>5676</v>
      </c>
      <c r="B975" s="46" t="s">
        <v>1014</v>
      </c>
      <c r="C975" s="46" t="s">
        <v>1618</v>
      </c>
      <c r="D975" s="46" t="s">
        <v>1448</v>
      </c>
      <c r="E975" s="46" t="s">
        <v>1449</v>
      </c>
      <c r="F975" s="46" t="s">
        <v>1450</v>
      </c>
      <c r="G975" s="46">
        <v>2694</v>
      </c>
      <c r="H975" s="46">
        <v>10</v>
      </c>
      <c r="I975" s="46">
        <v>9198</v>
      </c>
      <c r="J975" s="47">
        <v>29355</v>
      </c>
      <c r="K975" s="46" t="s">
        <v>428</v>
      </c>
      <c r="L975" s="46" t="s">
        <v>1974</v>
      </c>
      <c r="P975" s="347"/>
      <c r="Q975" s="347"/>
      <c r="R975" s="146" t="s">
        <v>4334</v>
      </c>
      <c r="S975" s="255" t="s">
        <v>4335</v>
      </c>
    </row>
    <row r="976" spans="1:19" ht="15" hidden="1" customHeight="1" x14ac:dyDescent="0.25">
      <c r="A976" s="20" t="s">
        <v>7325</v>
      </c>
      <c r="B976" s="20" t="s">
        <v>597</v>
      </c>
      <c r="C976" s="20" t="s">
        <v>7364</v>
      </c>
      <c r="D976" s="20"/>
      <c r="E976" s="20"/>
      <c r="F976" s="20" t="s">
        <v>7374</v>
      </c>
      <c r="G976" s="20">
        <v>2380</v>
      </c>
      <c r="H976" s="20">
        <v>2</v>
      </c>
      <c r="I976" s="20" t="s">
        <v>1454</v>
      </c>
      <c r="J976" s="36" t="s">
        <v>1454</v>
      </c>
      <c r="K976" s="20" t="s">
        <v>654</v>
      </c>
      <c r="L976" s="20"/>
      <c r="M976" s="4"/>
      <c r="N976" s="4"/>
      <c r="P976" s="347">
        <v>183</v>
      </c>
      <c r="Q976" s="347"/>
      <c r="R976" s="146"/>
      <c r="S976" s="129"/>
    </row>
    <row r="977" spans="1:23" ht="15" hidden="1" customHeight="1" x14ac:dyDescent="0.25">
      <c r="A977" s="57" t="s">
        <v>7325</v>
      </c>
      <c r="B977" s="57" t="s">
        <v>11</v>
      </c>
      <c r="C977" s="57" t="s">
        <v>7366</v>
      </c>
      <c r="D977" s="57"/>
      <c r="E977" s="57"/>
      <c r="F977" s="57" t="s">
        <v>7373</v>
      </c>
      <c r="G977" s="57">
        <v>2403</v>
      </c>
      <c r="H977" s="57">
        <v>150</v>
      </c>
      <c r="I977" s="57" t="s">
        <v>1454</v>
      </c>
      <c r="J977" s="58" t="s">
        <v>1454</v>
      </c>
      <c r="K977" s="57" t="s">
        <v>654</v>
      </c>
      <c r="L977" s="57"/>
      <c r="M977" s="4"/>
      <c r="N977" s="4"/>
      <c r="P977" s="347"/>
      <c r="Q977" s="347"/>
      <c r="S977" s="129"/>
    </row>
    <row r="978" spans="1:23" ht="15" hidden="1" customHeight="1" x14ac:dyDescent="0.25">
      <c r="A978" s="61" t="s">
        <v>7325</v>
      </c>
      <c r="B978" s="61" t="s">
        <v>34</v>
      </c>
      <c r="C978" s="61" t="s">
        <v>7365</v>
      </c>
      <c r="D978" s="61"/>
      <c r="E978" s="61"/>
      <c r="F978" s="61" t="s">
        <v>7375</v>
      </c>
      <c r="G978" s="61">
        <v>2392</v>
      </c>
      <c r="H978" s="61">
        <v>30</v>
      </c>
      <c r="I978" s="61" t="s">
        <v>1454</v>
      </c>
      <c r="J978" s="62" t="s">
        <v>1454</v>
      </c>
      <c r="K978" s="61" t="s">
        <v>654</v>
      </c>
      <c r="L978" s="61"/>
      <c r="M978" s="4"/>
      <c r="N978" s="4"/>
      <c r="P978" s="347"/>
      <c r="Q978" s="347"/>
      <c r="S978" s="129"/>
    </row>
    <row r="979" spans="1:23" ht="15" hidden="1" customHeight="1" x14ac:dyDescent="0.25">
      <c r="A979" s="9" t="s">
        <v>7325</v>
      </c>
      <c r="B979" s="9" t="s">
        <v>6092</v>
      </c>
      <c r="C979" s="9" t="s">
        <v>7367</v>
      </c>
      <c r="D979" s="9"/>
      <c r="E979" s="9"/>
      <c r="F979" s="9" t="s">
        <v>7376</v>
      </c>
      <c r="G979" s="9">
        <v>2404</v>
      </c>
      <c r="H979" s="9">
        <v>1</v>
      </c>
      <c r="I979" s="9" t="s">
        <v>1454</v>
      </c>
      <c r="J979" s="37" t="s">
        <v>1454</v>
      </c>
      <c r="K979" s="9" t="s">
        <v>654</v>
      </c>
      <c r="L979" s="9"/>
      <c r="M979" s="4"/>
      <c r="N979" s="4"/>
      <c r="P979" s="347"/>
      <c r="Q979" s="347"/>
      <c r="R979" s="183"/>
      <c r="S979" s="129"/>
    </row>
    <row r="980" spans="1:23" ht="15" hidden="1" customHeight="1" x14ac:dyDescent="0.25">
      <c r="A980" s="325" t="s">
        <v>7325</v>
      </c>
      <c r="B980" s="325" t="s">
        <v>249</v>
      </c>
      <c r="C980" s="325" t="s">
        <v>1507</v>
      </c>
      <c r="D980" s="325"/>
      <c r="E980" s="325"/>
      <c r="F980" s="325" t="s">
        <v>7546</v>
      </c>
      <c r="G980" s="325">
        <v>2481</v>
      </c>
      <c r="H980" s="325">
        <v>1</v>
      </c>
      <c r="I980" s="9" t="s">
        <v>1454</v>
      </c>
      <c r="J980" s="37" t="s">
        <v>1454</v>
      </c>
      <c r="K980" s="9" t="s">
        <v>654</v>
      </c>
      <c r="L980" s="325"/>
      <c r="M980" s="4"/>
      <c r="N980" s="4"/>
      <c r="P980" s="334"/>
      <c r="Q980" s="334"/>
      <c r="R980" s="183"/>
      <c r="S980" s="129"/>
    </row>
    <row r="981" spans="1:23" ht="14.25" hidden="1" customHeight="1" x14ac:dyDescent="0.25">
      <c r="A981" s="152" t="s">
        <v>5677</v>
      </c>
      <c r="B981" s="57" t="s">
        <v>11</v>
      </c>
      <c r="C981" s="57" t="s">
        <v>1987</v>
      </c>
      <c r="D981" s="57" t="s">
        <v>1780</v>
      </c>
      <c r="E981" s="57" t="s">
        <v>1781</v>
      </c>
      <c r="F981" s="57" t="s">
        <v>1782</v>
      </c>
      <c r="G981" s="57">
        <v>1836</v>
      </c>
      <c r="H981" s="57">
        <v>1024</v>
      </c>
      <c r="I981" s="57">
        <v>9198</v>
      </c>
      <c r="J981" s="58">
        <v>29355</v>
      </c>
      <c r="K981" s="57" t="s">
        <v>428</v>
      </c>
      <c r="L981" s="57" t="s">
        <v>1974</v>
      </c>
      <c r="P981" s="347">
        <v>1362</v>
      </c>
      <c r="Q981" s="348">
        <f>P981*100%/(1000)</f>
        <v>1.3620000000000001</v>
      </c>
      <c r="R981" s="198" t="s">
        <v>2924</v>
      </c>
      <c r="S981" s="129" t="s">
        <v>2907</v>
      </c>
    </row>
    <row r="982" spans="1:23" ht="14.25" hidden="1" customHeight="1" x14ac:dyDescent="0.25">
      <c r="A982" s="141" t="s">
        <v>5677</v>
      </c>
      <c r="B982" s="61" t="s">
        <v>34</v>
      </c>
      <c r="C982" s="61" t="s">
        <v>1299</v>
      </c>
      <c r="D982" s="61" t="s">
        <v>1217</v>
      </c>
      <c r="E982" s="61" t="s">
        <v>1218</v>
      </c>
      <c r="F982" s="61" t="s">
        <v>1219</v>
      </c>
      <c r="G982" s="61">
        <v>2461</v>
      </c>
      <c r="H982" s="61">
        <v>337</v>
      </c>
      <c r="I982" s="61">
        <v>9198</v>
      </c>
      <c r="J982" s="62">
        <v>29355</v>
      </c>
      <c r="K982" s="61" t="s">
        <v>428</v>
      </c>
      <c r="L982" s="61" t="s">
        <v>1974</v>
      </c>
      <c r="P982" s="347"/>
      <c r="Q982" s="347"/>
      <c r="R982" s="146" t="s">
        <v>3693</v>
      </c>
      <c r="S982" s="146" t="s">
        <v>4107</v>
      </c>
      <c r="V982" s="198" t="s">
        <v>6062</v>
      </c>
      <c r="W982" s="262" t="s">
        <v>6221</v>
      </c>
    </row>
    <row r="983" spans="1:23" ht="14.25" hidden="1" customHeight="1" x14ac:dyDescent="0.25">
      <c r="A983" s="142" t="s">
        <v>5677</v>
      </c>
      <c r="B983" s="9" t="s">
        <v>249</v>
      </c>
      <c r="C983" s="9" t="s">
        <v>1300</v>
      </c>
      <c r="D983" s="9" t="s">
        <v>1214</v>
      </c>
      <c r="E983" s="9" t="s">
        <v>1215</v>
      </c>
      <c r="F983" s="9" t="s">
        <v>1216</v>
      </c>
      <c r="G983" s="9">
        <v>588</v>
      </c>
      <c r="H983" s="9">
        <v>1</v>
      </c>
      <c r="I983" s="9">
        <v>64728</v>
      </c>
      <c r="J983" s="37">
        <v>29355</v>
      </c>
      <c r="K983" s="9" t="s">
        <v>428</v>
      </c>
      <c r="L983" s="9" t="s">
        <v>1974</v>
      </c>
      <c r="P983" s="347"/>
      <c r="Q983" s="347"/>
      <c r="R983" s="177" t="s">
        <v>4307</v>
      </c>
    </row>
    <row r="984" spans="1:23" ht="14.25" hidden="1" customHeight="1" x14ac:dyDescent="0.25">
      <c r="A984" s="147" t="s">
        <v>5678</v>
      </c>
      <c r="B984" s="20" t="s">
        <v>597</v>
      </c>
      <c r="C984" s="20" t="s">
        <v>1646</v>
      </c>
      <c r="D984" s="20" t="s">
        <v>1631</v>
      </c>
      <c r="E984" s="20" t="s">
        <v>1630</v>
      </c>
      <c r="F984" s="20" t="s">
        <v>1629</v>
      </c>
      <c r="G984" s="20">
        <v>2433</v>
      </c>
      <c r="H984" s="20">
        <v>15</v>
      </c>
      <c r="I984" s="20">
        <v>9198</v>
      </c>
      <c r="J984" s="36">
        <v>65232</v>
      </c>
      <c r="K984" s="20" t="s">
        <v>432</v>
      </c>
      <c r="L984" s="20" t="s">
        <v>1974</v>
      </c>
      <c r="P984" s="347">
        <v>339</v>
      </c>
      <c r="Q984" s="348">
        <f>P984*100%/(1000)</f>
        <v>0.33900000000000002</v>
      </c>
      <c r="S984" s="129"/>
    </row>
    <row r="985" spans="1:23" ht="14.25" hidden="1" customHeight="1" x14ac:dyDescent="0.25">
      <c r="A985" s="141" t="s">
        <v>5678</v>
      </c>
      <c r="B985" s="61" t="s">
        <v>34</v>
      </c>
      <c r="C985" s="61" t="s">
        <v>846</v>
      </c>
      <c r="D985" s="61" t="s">
        <v>504</v>
      </c>
      <c r="E985" s="61" t="s">
        <v>505</v>
      </c>
      <c r="F985" s="61" t="s">
        <v>506</v>
      </c>
      <c r="G985" s="61">
        <v>1637</v>
      </c>
      <c r="H985" s="61">
        <v>294</v>
      </c>
      <c r="I985" s="61">
        <v>9198</v>
      </c>
      <c r="J985" s="62">
        <v>65232</v>
      </c>
      <c r="K985" s="61" t="s">
        <v>432</v>
      </c>
      <c r="L985" s="61" t="s">
        <v>1974</v>
      </c>
      <c r="P985" s="347"/>
      <c r="Q985" s="347"/>
      <c r="S985" s="129"/>
    </row>
    <row r="986" spans="1:23" ht="14.25" hidden="1" customHeight="1" x14ac:dyDescent="0.25">
      <c r="A986" s="165" t="s">
        <v>5678</v>
      </c>
      <c r="B986" s="167" t="s">
        <v>3825</v>
      </c>
      <c r="C986" s="167" t="s">
        <v>4135</v>
      </c>
      <c r="D986" s="167" t="s">
        <v>3838</v>
      </c>
      <c r="E986" s="167" t="s">
        <v>3839</v>
      </c>
      <c r="F986" s="167" t="s">
        <v>3840</v>
      </c>
      <c r="G986" s="167">
        <v>3655</v>
      </c>
      <c r="H986" s="167">
        <v>30</v>
      </c>
      <c r="I986" s="167">
        <v>9198</v>
      </c>
      <c r="J986" s="166">
        <v>65232</v>
      </c>
      <c r="K986" s="167" t="s">
        <v>428</v>
      </c>
      <c r="L986" s="167" t="s">
        <v>1974</v>
      </c>
      <c r="P986" s="347"/>
      <c r="Q986" s="347"/>
      <c r="S986" s="129"/>
    </row>
    <row r="987" spans="1:23" ht="14.25" hidden="1" customHeight="1" x14ac:dyDescent="0.25">
      <c r="A987" s="147" t="s">
        <v>5679</v>
      </c>
      <c r="B987" s="20" t="s">
        <v>597</v>
      </c>
      <c r="C987" s="20" t="s">
        <v>2695</v>
      </c>
      <c r="D987" s="20" t="s">
        <v>2486</v>
      </c>
      <c r="E987" s="20" t="s">
        <v>2487</v>
      </c>
      <c r="F987" s="20" t="s">
        <v>2488</v>
      </c>
      <c r="G987" s="20">
        <v>438</v>
      </c>
      <c r="H987" s="20">
        <v>9</v>
      </c>
      <c r="I987" s="20">
        <v>9198</v>
      </c>
      <c r="J987" s="36">
        <v>29355</v>
      </c>
      <c r="K987" s="20" t="s">
        <v>1691</v>
      </c>
      <c r="L987" s="20" t="s">
        <v>1974</v>
      </c>
      <c r="P987" s="347">
        <v>157</v>
      </c>
      <c r="Q987" s="348">
        <f>P987*100%/(1000)</f>
        <v>0.157</v>
      </c>
      <c r="S987" s="129"/>
    </row>
    <row r="988" spans="1:23" ht="14.25" hidden="1" customHeight="1" x14ac:dyDescent="0.25">
      <c r="A988" s="141" t="s">
        <v>5679</v>
      </c>
      <c r="B988" s="61" t="s">
        <v>34</v>
      </c>
      <c r="C988" s="61" t="s">
        <v>2696</v>
      </c>
      <c r="D988" s="61" t="s">
        <v>2483</v>
      </c>
      <c r="E988" s="61" t="s">
        <v>2484</v>
      </c>
      <c r="F988" s="61" t="s">
        <v>2485</v>
      </c>
      <c r="G988" s="61">
        <v>489</v>
      </c>
      <c r="H988" s="61">
        <v>147</v>
      </c>
      <c r="I988" s="61">
        <v>9198</v>
      </c>
      <c r="J988" s="62">
        <v>29355</v>
      </c>
      <c r="K988" s="61" t="s">
        <v>1691</v>
      </c>
      <c r="L988" s="61" t="s">
        <v>1974</v>
      </c>
      <c r="P988" s="347"/>
      <c r="Q988" s="347"/>
      <c r="S988" s="129"/>
    </row>
    <row r="989" spans="1:23" ht="14.25" hidden="1" customHeight="1" x14ac:dyDescent="0.25">
      <c r="A989" s="142" t="s">
        <v>5679</v>
      </c>
      <c r="B989" s="9" t="s">
        <v>249</v>
      </c>
      <c r="C989" s="9" t="s">
        <v>2697</v>
      </c>
      <c r="D989" s="9" t="s">
        <v>2617</v>
      </c>
      <c r="E989" s="9" t="s">
        <v>2618</v>
      </c>
      <c r="F989" s="9" t="s">
        <v>2619</v>
      </c>
      <c r="G989" s="9">
        <v>491</v>
      </c>
      <c r="H989" s="9">
        <v>1</v>
      </c>
      <c r="I989" s="9">
        <v>9198</v>
      </c>
      <c r="J989" s="37">
        <v>29355</v>
      </c>
      <c r="K989" s="9" t="s">
        <v>1691</v>
      </c>
      <c r="L989" s="9" t="s">
        <v>1974</v>
      </c>
      <c r="P989" s="347"/>
      <c r="Q989" s="347"/>
      <c r="S989" s="129"/>
    </row>
    <row r="990" spans="1:23" ht="14.25" hidden="1" customHeight="1" x14ac:dyDescent="0.25">
      <c r="A990" s="147" t="s">
        <v>5680</v>
      </c>
      <c r="B990" s="20" t="s">
        <v>597</v>
      </c>
      <c r="C990" s="20" t="s">
        <v>1645</v>
      </c>
      <c r="D990" s="20" t="s">
        <v>2507</v>
      </c>
      <c r="E990" s="20" t="s">
        <v>2508</v>
      </c>
      <c r="F990" s="20" t="s">
        <v>2509</v>
      </c>
      <c r="G990" s="20">
        <v>3234</v>
      </c>
      <c r="H990" s="20">
        <v>10</v>
      </c>
      <c r="I990" s="20">
        <v>64601</v>
      </c>
      <c r="J990" s="36">
        <v>65232</v>
      </c>
      <c r="K990" s="20" t="s">
        <v>432</v>
      </c>
      <c r="L990" s="20" t="s">
        <v>1974</v>
      </c>
      <c r="P990" s="347">
        <v>153</v>
      </c>
      <c r="Q990" s="348">
        <f>P990*100%/(1000)</f>
        <v>0.153</v>
      </c>
      <c r="S990" s="129"/>
    </row>
    <row r="991" spans="1:23" ht="14.25" hidden="1" customHeight="1" x14ac:dyDescent="0.25">
      <c r="A991" s="141" t="s">
        <v>5680</v>
      </c>
      <c r="B991" s="61" t="s">
        <v>34</v>
      </c>
      <c r="C991" s="61" t="s">
        <v>847</v>
      </c>
      <c r="D991" s="61" t="s">
        <v>2512</v>
      </c>
      <c r="E991" s="61" t="s">
        <v>2511</v>
      </c>
      <c r="F991" s="61" t="s">
        <v>2510</v>
      </c>
      <c r="G991" s="61">
        <v>3233</v>
      </c>
      <c r="H991" s="61">
        <v>128</v>
      </c>
      <c r="I991" s="61">
        <v>64601</v>
      </c>
      <c r="J991" s="62">
        <v>65232</v>
      </c>
      <c r="K991" s="61" t="s">
        <v>432</v>
      </c>
      <c r="L991" s="61" t="s">
        <v>1974</v>
      </c>
      <c r="P991" s="347"/>
      <c r="Q991" s="347"/>
      <c r="S991" s="129"/>
    </row>
    <row r="992" spans="1:23" ht="14.25" hidden="1" customHeight="1" x14ac:dyDescent="0.25">
      <c r="A992" s="149" t="s">
        <v>5680</v>
      </c>
      <c r="B992" s="46" t="s">
        <v>1014</v>
      </c>
      <c r="C992" s="46" t="s">
        <v>1779</v>
      </c>
      <c r="D992" s="46" t="s">
        <v>2513</v>
      </c>
      <c r="E992" s="46" t="s">
        <v>2514</v>
      </c>
      <c r="F992" s="46" t="s">
        <v>2515</v>
      </c>
      <c r="G992" s="46">
        <v>3235</v>
      </c>
      <c r="H992" s="46">
        <v>15</v>
      </c>
      <c r="I992" s="46">
        <v>64601</v>
      </c>
      <c r="J992" s="47">
        <v>65232</v>
      </c>
      <c r="K992" s="46" t="s">
        <v>428</v>
      </c>
      <c r="L992" s="46" t="s">
        <v>1974</v>
      </c>
      <c r="P992" s="347"/>
      <c r="Q992" s="347"/>
      <c r="R992" s="183"/>
      <c r="S992" s="129"/>
    </row>
    <row r="993" spans="1:19" ht="14.25" hidden="1" customHeight="1" x14ac:dyDescent="0.3">
      <c r="A993" s="141" t="s">
        <v>6452</v>
      </c>
      <c r="B993" s="141" t="s">
        <v>34</v>
      </c>
      <c r="C993" s="141" t="s">
        <v>6862</v>
      </c>
      <c r="D993" s="141"/>
      <c r="E993" s="141"/>
      <c r="F993" s="141" t="s">
        <v>6863</v>
      </c>
      <c r="G993" s="141">
        <v>2384</v>
      </c>
      <c r="H993" s="141">
        <v>50</v>
      </c>
      <c r="I993" s="141" t="s">
        <v>1454</v>
      </c>
      <c r="J993" s="141" t="s">
        <v>1454</v>
      </c>
      <c r="K993" s="141" t="s">
        <v>435</v>
      </c>
      <c r="L993" s="141"/>
      <c r="P993">
        <v>50</v>
      </c>
      <c r="Q993" s="303"/>
      <c r="R993" s="183"/>
      <c r="S993" s="129"/>
    </row>
    <row r="994" spans="1:19" ht="14.25" hidden="1" customHeight="1" x14ac:dyDescent="0.25">
      <c r="A994" s="20" t="s">
        <v>7294</v>
      </c>
      <c r="B994" s="20" t="s">
        <v>597</v>
      </c>
      <c r="C994" s="20" t="s">
        <v>1626</v>
      </c>
      <c r="D994" s="20"/>
      <c r="E994" s="20"/>
      <c r="F994" s="20"/>
      <c r="G994" s="20"/>
      <c r="H994" s="20"/>
      <c r="I994" s="20"/>
      <c r="J994" s="20"/>
      <c r="K994" s="20"/>
      <c r="L994" s="20"/>
      <c r="P994" s="347">
        <v>94</v>
      </c>
      <c r="Q994" s="348">
        <f>P994*100%/(100000)</f>
        <v>9.3999999999999997E-4</v>
      </c>
      <c r="R994" s="183"/>
      <c r="S994" s="129"/>
    </row>
    <row r="995" spans="1:19" ht="14.25" hidden="1" customHeight="1" x14ac:dyDescent="0.25">
      <c r="A995" s="317" t="s">
        <v>7294</v>
      </c>
      <c r="B995" s="317" t="s">
        <v>34</v>
      </c>
      <c r="C995" s="317" t="s">
        <v>1626</v>
      </c>
      <c r="D995" s="317"/>
      <c r="E995" s="317"/>
      <c r="F995" s="317"/>
      <c r="G995" s="317"/>
      <c r="H995" s="317"/>
      <c r="I995" s="317"/>
      <c r="J995" s="317"/>
      <c r="K995" s="317"/>
      <c r="L995" s="317"/>
      <c r="P995" s="347"/>
      <c r="Q995" s="347"/>
      <c r="R995" s="183"/>
      <c r="S995" s="129"/>
    </row>
    <row r="996" spans="1:19" ht="14.25" hidden="1" customHeight="1" x14ac:dyDescent="0.25">
      <c r="A996" s="9" t="s">
        <v>7294</v>
      </c>
      <c r="B996" s="9" t="s">
        <v>249</v>
      </c>
      <c r="C996" s="9" t="s">
        <v>1626</v>
      </c>
      <c r="D996" s="9"/>
      <c r="E996" s="9"/>
      <c r="F996" s="9"/>
      <c r="G996" s="9"/>
      <c r="H996" s="9"/>
      <c r="I996" s="9"/>
      <c r="J996" s="9"/>
      <c r="K996" s="9"/>
      <c r="L996" s="9"/>
      <c r="P996" s="347"/>
      <c r="Q996" s="347"/>
      <c r="R996" s="183"/>
      <c r="S996" s="129"/>
    </row>
    <row r="997" spans="1:19" ht="14.25" hidden="1" customHeight="1" x14ac:dyDescent="0.25">
      <c r="A997" s="57" t="s">
        <v>7294</v>
      </c>
      <c r="B997" s="57" t="s">
        <v>11</v>
      </c>
      <c r="C997" s="57" t="s">
        <v>1626</v>
      </c>
      <c r="D997" s="57"/>
      <c r="E997" s="57"/>
      <c r="F997" s="57"/>
      <c r="G997" s="57"/>
      <c r="H997" s="57"/>
      <c r="I997" s="57"/>
      <c r="J997" s="57"/>
      <c r="K997" s="57"/>
      <c r="L997" s="57"/>
      <c r="P997" s="347"/>
      <c r="Q997" s="347"/>
      <c r="R997" s="183"/>
      <c r="S997" s="129"/>
    </row>
    <row r="998" spans="1:19" ht="14.25" hidden="1" customHeight="1" x14ac:dyDescent="0.25">
      <c r="A998" s="9" t="s">
        <v>7294</v>
      </c>
      <c r="B998" s="9" t="s">
        <v>6092</v>
      </c>
      <c r="C998" s="9" t="s">
        <v>1626</v>
      </c>
      <c r="D998" s="9"/>
      <c r="E998" s="9"/>
      <c r="F998" s="9"/>
      <c r="G998" s="9"/>
      <c r="H998" s="9"/>
      <c r="I998" s="9"/>
      <c r="J998" s="9"/>
      <c r="K998" s="9"/>
      <c r="L998" s="9"/>
      <c r="P998" s="347"/>
      <c r="Q998" s="347"/>
      <c r="R998" s="183"/>
      <c r="S998" s="129"/>
    </row>
    <row r="999" spans="1:19" ht="14.25" hidden="1" customHeight="1" x14ac:dyDescent="0.3">
      <c r="A999" s="147" t="s">
        <v>5681</v>
      </c>
      <c r="B999" s="20" t="s">
        <v>597</v>
      </c>
      <c r="C999" s="20" t="s">
        <v>1507</v>
      </c>
      <c r="D999" s="20" t="s">
        <v>3428</v>
      </c>
      <c r="E999" s="20" t="s">
        <v>3429</v>
      </c>
      <c r="F999" s="20" t="s">
        <v>3430</v>
      </c>
      <c r="G999" s="20"/>
      <c r="H999" s="20">
        <v>4</v>
      </c>
      <c r="I999" s="20"/>
      <c r="J999" s="36">
        <v>29355</v>
      </c>
      <c r="K999" s="20" t="s">
        <v>430</v>
      </c>
      <c r="L999" s="20" t="s">
        <v>1974</v>
      </c>
      <c r="P999">
        <v>4</v>
      </c>
      <c r="Q999" s="303">
        <f>P999*100%/(1000)</f>
        <v>4.0000000000000001E-3</v>
      </c>
      <c r="R999" s="183"/>
      <c r="S999" s="129"/>
    </row>
    <row r="1000" spans="1:19" ht="14.25" hidden="1" customHeight="1" x14ac:dyDescent="0.25">
      <c r="A1000" s="152" t="s">
        <v>5682</v>
      </c>
      <c r="B1000" s="57" t="s">
        <v>11</v>
      </c>
      <c r="C1000" s="57" t="s">
        <v>2347</v>
      </c>
      <c r="D1000" s="57" t="s">
        <v>2344</v>
      </c>
      <c r="E1000" s="57" t="s">
        <v>2345</v>
      </c>
      <c r="F1000" s="57" t="s">
        <v>2346</v>
      </c>
      <c r="G1000" s="57">
        <v>2456</v>
      </c>
      <c r="H1000" s="57">
        <v>250</v>
      </c>
      <c r="I1000" s="57">
        <v>9198</v>
      </c>
      <c r="J1000" s="58">
        <v>29355</v>
      </c>
      <c r="K1000" s="57" t="s">
        <v>428</v>
      </c>
      <c r="L1000" s="57" t="s">
        <v>1974</v>
      </c>
      <c r="P1000" s="347">
        <v>365</v>
      </c>
      <c r="Q1000" s="348">
        <f>P1000*100%/(1000)</f>
        <v>0.36499999999999999</v>
      </c>
      <c r="S1000" s="129"/>
    </row>
    <row r="1001" spans="1:19" ht="14.25" hidden="1" customHeight="1" x14ac:dyDescent="0.25">
      <c r="A1001" s="141" t="s">
        <v>5682</v>
      </c>
      <c r="B1001" s="61" t="s">
        <v>34</v>
      </c>
      <c r="C1001" s="61" t="s">
        <v>2368</v>
      </c>
      <c r="D1001" s="61" t="s">
        <v>2354</v>
      </c>
      <c r="E1001" s="61" t="s">
        <v>2355</v>
      </c>
      <c r="F1001" s="61" t="s">
        <v>2356</v>
      </c>
      <c r="G1001" s="61">
        <v>1761</v>
      </c>
      <c r="H1001" s="61">
        <v>114</v>
      </c>
      <c r="I1001" s="61">
        <v>9198</v>
      </c>
      <c r="J1001" s="62">
        <v>29355</v>
      </c>
      <c r="K1001" s="61" t="s">
        <v>428</v>
      </c>
      <c r="L1001" s="61" t="s">
        <v>1974</v>
      </c>
      <c r="P1001" s="347"/>
      <c r="Q1001" s="347"/>
      <c r="S1001" s="129"/>
    </row>
    <row r="1002" spans="1:19" ht="14.25" hidden="1" customHeight="1" x14ac:dyDescent="0.25">
      <c r="A1002" s="142" t="s">
        <v>5682</v>
      </c>
      <c r="B1002" s="9" t="s">
        <v>249</v>
      </c>
      <c r="C1002" s="9" t="s">
        <v>2348</v>
      </c>
      <c r="D1002" s="9" t="s">
        <v>2341</v>
      </c>
      <c r="E1002" s="9" t="s">
        <v>2342</v>
      </c>
      <c r="F1002" s="9" t="s">
        <v>2343</v>
      </c>
      <c r="G1002" s="9">
        <v>2457</v>
      </c>
      <c r="H1002" s="9">
        <v>1</v>
      </c>
      <c r="I1002" s="9">
        <v>9198</v>
      </c>
      <c r="J1002" s="37">
        <v>29355</v>
      </c>
      <c r="K1002" s="9" t="s">
        <v>428</v>
      </c>
      <c r="L1002" s="9" t="s">
        <v>1974</v>
      </c>
      <c r="P1002" s="347"/>
      <c r="Q1002" s="347"/>
      <c r="S1002" s="129"/>
    </row>
    <row r="1003" spans="1:19" ht="14.25" hidden="1" customHeight="1" x14ac:dyDescent="0.3">
      <c r="A1003" s="147" t="s">
        <v>5683</v>
      </c>
      <c r="B1003" s="20" t="s">
        <v>597</v>
      </c>
      <c r="C1003" s="20" t="s">
        <v>7146</v>
      </c>
      <c r="D1003" s="20" t="s">
        <v>3756</v>
      </c>
      <c r="E1003" s="20" t="s">
        <v>3757</v>
      </c>
      <c r="F1003" s="20" t="s">
        <v>3758</v>
      </c>
      <c r="G1003" s="20"/>
      <c r="H1003" s="20">
        <v>4</v>
      </c>
      <c r="I1003" s="20"/>
      <c r="J1003" s="36">
        <v>29355</v>
      </c>
      <c r="K1003" s="20" t="s">
        <v>430</v>
      </c>
      <c r="L1003" s="20" t="s">
        <v>1974</v>
      </c>
      <c r="P1003">
        <v>4</v>
      </c>
      <c r="Q1003" s="303">
        <f>P1003*100%/(1000)</f>
        <v>4.0000000000000001E-3</v>
      </c>
      <c r="R1003" s="183"/>
      <c r="S1003" s="129"/>
    </row>
    <row r="1004" spans="1:19" ht="14.25" hidden="1" customHeight="1" x14ac:dyDescent="0.25">
      <c r="A1004" s="147" t="s">
        <v>5684</v>
      </c>
      <c r="B1004" s="20" t="s">
        <v>597</v>
      </c>
      <c r="C1004" s="20" t="s">
        <v>7145</v>
      </c>
      <c r="D1004" s="20" t="s">
        <v>2450</v>
      </c>
      <c r="E1004" s="20" t="s">
        <v>2451</v>
      </c>
      <c r="F1004" s="20" t="s">
        <v>2452</v>
      </c>
      <c r="G1004" s="20">
        <v>1509</v>
      </c>
      <c r="H1004" s="20">
        <v>27</v>
      </c>
      <c r="I1004" s="20">
        <v>9198</v>
      </c>
      <c r="J1004" s="36">
        <v>29355</v>
      </c>
      <c r="K1004" s="20" t="s">
        <v>654</v>
      </c>
      <c r="L1004" s="20" t="s">
        <v>1979</v>
      </c>
      <c r="P1004" s="347">
        <v>3135</v>
      </c>
      <c r="Q1004" s="348">
        <f>P1004*100%/(4000)</f>
        <v>0.78374999999999995</v>
      </c>
      <c r="R1004" s="145" t="s">
        <v>2924</v>
      </c>
      <c r="S1004" s="129" t="s">
        <v>2908</v>
      </c>
    </row>
    <row r="1005" spans="1:19" ht="14.25" hidden="1" customHeight="1" x14ac:dyDescent="0.25">
      <c r="A1005" s="152" t="s">
        <v>5684</v>
      </c>
      <c r="B1005" s="57" t="s">
        <v>11</v>
      </c>
      <c r="C1005" s="57" t="s">
        <v>2036</v>
      </c>
      <c r="D1005" s="57" t="s">
        <v>1999</v>
      </c>
      <c r="E1005" s="57" t="s">
        <v>2000</v>
      </c>
      <c r="F1005" s="57" t="s">
        <v>2001</v>
      </c>
      <c r="G1005" s="57">
        <v>2801</v>
      </c>
      <c r="H1005" s="57">
        <v>2104</v>
      </c>
      <c r="I1005" s="57">
        <v>9198</v>
      </c>
      <c r="J1005" s="58">
        <v>29355</v>
      </c>
      <c r="K1005" s="57" t="s">
        <v>654</v>
      </c>
      <c r="L1005" s="57" t="s">
        <v>1979</v>
      </c>
      <c r="P1005" s="347"/>
      <c r="Q1005" s="347"/>
      <c r="R1005" s="146" t="s">
        <v>3691</v>
      </c>
      <c r="S1005" s="129"/>
    </row>
    <row r="1006" spans="1:19" ht="14.25" hidden="1" customHeight="1" x14ac:dyDescent="0.25">
      <c r="A1006" s="152" t="s">
        <v>5684</v>
      </c>
      <c r="B1006" s="57" t="s">
        <v>2826</v>
      </c>
      <c r="C1006" s="57" t="s">
        <v>2827</v>
      </c>
      <c r="D1006" s="57" t="s">
        <v>2820</v>
      </c>
      <c r="E1006" s="57" t="s">
        <v>2821</v>
      </c>
      <c r="F1006" s="57" t="s">
        <v>2822</v>
      </c>
      <c r="G1006" s="57">
        <v>1249</v>
      </c>
      <c r="H1006" s="57">
        <v>415</v>
      </c>
      <c r="I1006" s="57">
        <v>9198</v>
      </c>
      <c r="J1006" s="58">
        <v>29355</v>
      </c>
      <c r="K1006" s="57" t="s">
        <v>654</v>
      </c>
      <c r="L1006" s="57" t="s">
        <v>1979</v>
      </c>
      <c r="P1006" s="347"/>
      <c r="Q1006" s="347"/>
      <c r="R1006" s="146" t="s">
        <v>4107</v>
      </c>
      <c r="S1006" s="129"/>
    </row>
    <row r="1007" spans="1:19" ht="14.25" hidden="1" customHeight="1" x14ac:dyDescent="0.25">
      <c r="A1007" s="141" t="s">
        <v>5684</v>
      </c>
      <c r="B1007" s="61" t="s">
        <v>34</v>
      </c>
      <c r="C1007" s="61" t="s">
        <v>2700</v>
      </c>
      <c r="D1007" s="61" t="s">
        <v>2570</v>
      </c>
      <c r="E1007" s="61" t="s">
        <v>2571</v>
      </c>
      <c r="F1007" s="61" t="s">
        <v>2572</v>
      </c>
      <c r="G1007" s="61">
        <v>1510</v>
      </c>
      <c r="H1007" s="61">
        <v>558</v>
      </c>
      <c r="I1007" s="61">
        <v>9198</v>
      </c>
      <c r="J1007" s="62">
        <v>29355</v>
      </c>
      <c r="K1007" s="61" t="s">
        <v>654</v>
      </c>
      <c r="L1007" s="61" t="s">
        <v>1979</v>
      </c>
      <c r="P1007" s="347"/>
      <c r="Q1007" s="347"/>
      <c r="R1007" s="146" t="s">
        <v>4990</v>
      </c>
      <c r="S1007" s="129"/>
    </row>
    <row r="1008" spans="1:19" ht="14.25" hidden="1" customHeight="1" x14ac:dyDescent="0.25">
      <c r="A1008" s="142" t="s">
        <v>5684</v>
      </c>
      <c r="B1008" s="9" t="s">
        <v>249</v>
      </c>
      <c r="C1008" s="9" t="s">
        <v>2035</v>
      </c>
      <c r="D1008" s="9" t="s">
        <v>2002</v>
      </c>
      <c r="E1008" s="9" t="s">
        <v>2003</v>
      </c>
      <c r="F1008" s="9" t="s">
        <v>2004</v>
      </c>
      <c r="G1008" s="9">
        <v>2799</v>
      </c>
      <c r="H1008" s="9">
        <v>1</v>
      </c>
      <c r="I1008" s="9">
        <v>9198</v>
      </c>
      <c r="J1008" s="37">
        <v>29355</v>
      </c>
      <c r="K1008" s="9" t="s">
        <v>654</v>
      </c>
      <c r="L1008" s="9" t="s">
        <v>1979</v>
      </c>
      <c r="P1008" s="347"/>
      <c r="Q1008" s="347"/>
      <c r="S1008" s="129"/>
    </row>
    <row r="1009" spans="1:19" ht="14.25" hidden="1" customHeight="1" x14ac:dyDescent="0.25">
      <c r="A1009" s="149" t="s">
        <v>5684</v>
      </c>
      <c r="B1009" s="46" t="s">
        <v>1014</v>
      </c>
      <c r="C1009" s="46" t="s">
        <v>2713</v>
      </c>
      <c r="D1009" s="46" t="s">
        <v>2005</v>
      </c>
      <c r="E1009" s="46" t="s">
        <v>2006</v>
      </c>
      <c r="F1009" s="46" t="s">
        <v>2007</v>
      </c>
      <c r="G1009" s="46">
        <v>3054</v>
      </c>
      <c r="H1009" s="46">
        <v>30</v>
      </c>
      <c r="I1009" s="46">
        <v>9198</v>
      </c>
      <c r="J1009" s="47">
        <v>29355</v>
      </c>
      <c r="K1009" s="46" t="s">
        <v>428</v>
      </c>
      <c r="L1009" s="46" t="s">
        <v>1979</v>
      </c>
      <c r="P1009" s="347"/>
      <c r="Q1009" s="347"/>
      <c r="S1009" s="129"/>
    </row>
    <row r="1010" spans="1:19" ht="14.25" hidden="1" customHeight="1" x14ac:dyDescent="0.25">
      <c r="A1010" s="141" t="s">
        <v>5685</v>
      </c>
      <c r="B1010" s="61" t="s">
        <v>34</v>
      </c>
      <c r="C1010" s="61" t="s">
        <v>4499</v>
      </c>
      <c r="D1010" s="61" t="s">
        <v>4367</v>
      </c>
      <c r="E1010" s="61" t="s">
        <v>4368</v>
      </c>
      <c r="F1010" s="61" t="s">
        <v>4369</v>
      </c>
      <c r="G1010" s="61">
        <v>2522</v>
      </c>
      <c r="H1010" s="61">
        <v>384</v>
      </c>
      <c r="I1010" s="61">
        <v>9198</v>
      </c>
      <c r="J1010" s="62">
        <v>29355</v>
      </c>
      <c r="K1010" s="61" t="s">
        <v>574</v>
      </c>
      <c r="L1010" s="61" t="s">
        <v>1974</v>
      </c>
      <c r="P1010" s="347">
        <v>404</v>
      </c>
      <c r="Q1010" s="348">
        <f>P1010*100%/(1000)</f>
        <v>0.40400000000000003</v>
      </c>
      <c r="S1010" s="129"/>
    </row>
    <row r="1011" spans="1:19" ht="14.25" hidden="1" customHeight="1" x14ac:dyDescent="0.25">
      <c r="A1011" s="147" t="s">
        <v>5685</v>
      </c>
      <c r="B1011" s="20" t="s">
        <v>597</v>
      </c>
      <c r="C1011" s="20" t="s">
        <v>4500</v>
      </c>
      <c r="D1011" s="20" t="s">
        <v>4370</v>
      </c>
      <c r="E1011" s="20" t="s">
        <v>4371</v>
      </c>
      <c r="F1011" s="20" t="s">
        <v>4372</v>
      </c>
      <c r="G1011" s="20">
        <v>2521</v>
      </c>
      <c r="H1011" s="20">
        <v>20</v>
      </c>
      <c r="I1011" s="20">
        <v>9198</v>
      </c>
      <c r="J1011" s="36">
        <v>29355</v>
      </c>
      <c r="K1011" s="20" t="s">
        <v>574</v>
      </c>
      <c r="L1011" s="20" t="s">
        <v>1974</v>
      </c>
      <c r="P1011" s="347"/>
      <c r="Q1011" s="347"/>
      <c r="S1011" s="129"/>
    </row>
    <row r="1012" spans="1:19" ht="14.25" hidden="1" customHeight="1" x14ac:dyDescent="0.25">
      <c r="A1012" s="141" t="s">
        <v>5686</v>
      </c>
      <c r="B1012" s="61" t="s">
        <v>34</v>
      </c>
      <c r="C1012" s="61" t="s">
        <v>848</v>
      </c>
      <c r="D1012" s="61" t="s">
        <v>514</v>
      </c>
      <c r="E1012" s="61" t="s">
        <v>515</v>
      </c>
      <c r="F1012" s="61" t="s">
        <v>513</v>
      </c>
      <c r="G1012" s="61">
        <v>283</v>
      </c>
      <c r="H1012" s="61">
        <v>125</v>
      </c>
      <c r="I1012" s="61">
        <v>64724</v>
      </c>
      <c r="J1012" s="62">
        <v>65233</v>
      </c>
      <c r="K1012" s="61" t="s">
        <v>431</v>
      </c>
      <c r="L1012" s="61" t="s">
        <v>1974</v>
      </c>
      <c r="P1012" s="347">
        <v>386</v>
      </c>
      <c r="Q1012" s="348">
        <f>P1012*100%/(1000)</f>
        <v>0.38600000000000001</v>
      </c>
      <c r="S1012" s="129"/>
    </row>
    <row r="1013" spans="1:19" ht="14.25" hidden="1" customHeight="1" x14ac:dyDescent="0.25">
      <c r="A1013" s="142" t="s">
        <v>5686</v>
      </c>
      <c r="B1013" s="9" t="s">
        <v>249</v>
      </c>
      <c r="C1013" s="9" t="s">
        <v>849</v>
      </c>
      <c r="D1013" s="9" t="s">
        <v>2016</v>
      </c>
      <c r="E1013" s="9" t="s">
        <v>2015</v>
      </c>
      <c r="F1013" s="9" t="s">
        <v>2014</v>
      </c>
      <c r="G1013" s="9">
        <v>284</v>
      </c>
      <c r="H1013" s="9">
        <v>1</v>
      </c>
      <c r="I1013" s="9">
        <v>64724</v>
      </c>
      <c r="J1013" s="37">
        <v>65233</v>
      </c>
      <c r="K1013" s="9" t="s">
        <v>431</v>
      </c>
      <c r="L1013" s="9" t="s">
        <v>1974</v>
      </c>
      <c r="P1013" s="347"/>
      <c r="Q1013" s="347"/>
      <c r="R1013" s="183"/>
      <c r="S1013" s="129"/>
    </row>
    <row r="1014" spans="1:19" ht="14.25" hidden="1" customHeight="1" x14ac:dyDescent="0.25">
      <c r="A1014" s="57" t="s">
        <v>5686</v>
      </c>
      <c r="B1014" s="57" t="s">
        <v>11</v>
      </c>
      <c r="C1014" s="57" t="s">
        <v>6782</v>
      </c>
      <c r="D1014" s="57" t="s">
        <v>6595</v>
      </c>
      <c r="E1014" s="57" t="s">
        <v>6596</v>
      </c>
      <c r="F1014" s="57" t="s">
        <v>6597</v>
      </c>
      <c r="G1014" s="57">
        <v>285</v>
      </c>
      <c r="H1014" s="57">
        <v>160</v>
      </c>
      <c r="I1014" s="57">
        <v>64724</v>
      </c>
      <c r="J1014" s="57">
        <v>29355</v>
      </c>
      <c r="K1014" s="57" t="s">
        <v>522</v>
      </c>
      <c r="L1014" s="57" t="s">
        <v>1974</v>
      </c>
      <c r="P1014" s="347"/>
      <c r="Q1014" s="347"/>
      <c r="R1014" s="183"/>
      <c r="S1014" s="129"/>
    </row>
    <row r="1015" spans="1:19" ht="14.25" hidden="1" customHeight="1" x14ac:dyDescent="0.25">
      <c r="A1015" s="20" t="s">
        <v>5686</v>
      </c>
      <c r="B1015" s="20" t="s">
        <v>597</v>
      </c>
      <c r="C1015" s="20" t="s">
        <v>6783</v>
      </c>
      <c r="D1015" s="20" t="s">
        <v>6598</v>
      </c>
      <c r="E1015" s="20" t="s">
        <v>6599</v>
      </c>
      <c r="F1015" s="20" t="s">
        <v>6600</v>
      </c>
      <c r="G1015" s="20">
        <v>287</v>
      </c>
      <c r="H1015" s="20">
        <v>10</v>
      </c>
      <c r="I1015" s="20">
        <v>64724</v>
      </c>
      <c r="J1015" s="20">
        <v>65233</v>
      </c>
      <c r="K1015" s="20" t="s">
        <v>431</v>
      </c>
      <c r="L1015" s="20" t="s">
        <v>1974</v>
      </c>
      <c r="P1015" s="347"/>
      <c r="Q1015" s="347"/>
      <c r="R1015" s="183"/>
      <c r="S1015" s="129"/>
    </row>
    <row r="1016" spans="1:19" ht="14.25" hidden="1" customHeight="1" x14ac:dyDescent="0.25">
      <c r="A1016" s="147" t="s">
        <v>5687</v>
      </c>
      <c r="B1016" s="20" t="s">
        <v>597</v>
      </c>
      <c r="C1016" s="20" t="s">
        <v>1303</v>
      </c>
      <c r="D1016" s="20" t="s">
        <v>1258</v>
      </c>
      <c r="E1016" s="20" t="s">
        <v>1259</v>
      </c>
      <c r="F1016" s="20" t="s">
        <v>1260</v>
      </c>
      <c r="G1016" s="20">
        <v>1807</v>
      </c>
      <c r="H1016" s="20">
        <v>12</v>
      </c>
      <c r="I1016" s="20">
        <v>9198</v>
      </c>
      <c r="J1016" s="36">
        <v>29355</v>
      </c>
      <c r="K1016" s="20" t="s">
        <v>1116</v>
      </c>
      <c r="L1016" s="20" t="s">
        <v>1974</v>
      </c>
      <c r="P1016" s="347">
        <v>102</v>
      </c>
      <c r="Q1016" s="348">
        <f>P1016*100%/(1000)</f>
        <v>0.10199999999999999</v>
      </c>
      <c r="S1016" s="129"/>
    </row>
    <row r="1017" spans="1:19" ht="14.25" hidden="1" customHeight="1" x14ac:dyDescent="0.25">
      <c r="A1017" s="141" t="s">
        <v>5687</v>
      </c>
      <c r="B1017" s="61" t="s">
        <v>34</v>
      </c>
      <c r="C1017" s="61" t="s">
        <v>1301</v>
      </c>
      <c r="D1017" s="61" t="s">
        <v>1252</v>
      </c>
      <c r="E1017" s="61" t="s">
        <v>1253</v>
      </c>
      <c r="F1017" s="61" t="s">
        <v>1254</v>
      </c>
      <c r="G1017" s="61">
        <v>1830</v>
      </c>
      <c r="H1017" s="61">
        <v>89</v>
      </c>
      <c r="I1017" s="61">
        <v>9198</v>
      </c>
      <c r="J1017" s="62">
        <v>29355</v>
      </c>
      <c r="K1017" s="61" t="s">
        <v>1116</v>
      </c>
      <c r="L1017" s="61" t="s">
        <v>1974</v>
      </c>
      <c r="P1017" s="347"/>
      <c r="Q1017" s="347"/>
      <c r="R1017" s="183"/>
      <c r="S1017" s="129"/>
    </row>
    <row r="1018" spans="1:19" ht="14.25" hidden="1" customHeight="1" x14ac:dyDescent="0.25">
      <c r="A1018" s="142" t="s">
        <v>5687</v>
      </c>
      <c r="B1018" s="9" t="s">
        <v>249</v>
      </c>
      <c r="C1018" s="9" t="s">
        <v>1302</v>
      </c>
      <c r="D1018" s="9" t="s">
        <v>1255</v>
      </c>
      <c r="E1018" s="9" t="s">
        <v>1256</v>
      </c>
      <c r="F1018" s="9" t="s">
        <v>1257</v>
      </c>
      <c r="G1018" s="9">
        <v>1808</v>
      </c>
      <c r="H1018" s="9">
        <v>1</v>
      </c>
      <c r="I1018" s="9">
        <v>9198</v>
      </c>
      <c r="J1018" s="37">
        <v>29355</v>
      </c>
      <c r="K1018" s="9" t="s">
        <v>1116</v>
      </c>
      <c r="L1018" s="9" t="s">
        <v>1974</v>
      </c>
      <c r="P1018" s="347"/>
      <c r="Q1018" s="347"/>
      <c r="S1018" s="129"/>
    </row>
    <row r="1019" spans="1:19" ht="14.25" hidden="1" customHeight="1" x14ac:dyDescent="0.25">
      <c r="A1019" s="147" t="s">
        <v>5688</v>
      </c>
      <c r="B1019" s="20" t="s">
        <v>597</v>
      </c>
      <c r="C1019" s="20" t="s">
        <v>4095</v>
      </c>
      <c r="D1019" s="20" t="s">
        <v>3893</v>
      </c>
      <c r="E1019" s="20" t="s">
        <v>3894</v>
      </c>
      <c r="F1019" s="20" t="s">
        <v>3895</v>
      </c>
      <c r="G1019" s="20">
        <v>2349</v>
      </c>
      <c r="H1019" s="20">
        <v>4</v>
      </c>
      <c r="I1019" s="20">
        <v>9198</v>
      </c>
      <c r="J1019" s="36">
        <v>29355</v>
      </c>
      <c r="K1019" s="20" t="s">
        <v>430</v>
      </c>
      <c r="L1019" s="20" t="s">
        <v>1974</v>
      </c>
      <c r="P1019" s="347">
        <v>56</v>
      </c>
      <c r="Q1019" s="348">
        <f>P1019*100%/(1000)</f>
        <v>5.6000000000000001E-2</v>
      </c>
      <c r="S1019" s="129"/>
    </row>
    <row r="1020" spans="1:19" ht="14.25" hidden="1" customHeight="1" x14ac:dyDescent="0.25">
      <c r="A1020" s="141" t="s">
        <v>5688</v>
      </c>
      <c r="B1020" s="61" t="s">
        <v>34</v>
      </c>
      <c r="C1020" s="61" t="s">
        <v>4096</v>
      </c>
      <c r="D1020" s="61" t="s">
        <v>3896</v>
      </c>
      <c r="E1020" s="61" t="s">
        <v>3897</v>
      </c>
      <c r="F1020" s="61" t="s">
        <v>3898</v>
      </c>
      <c r="G1020" s="61">
        <v>2167</v>
      </c>
      <c r="H1020" s="61">
        <v>50</v>
      </c>
      <c r="I1020" s="61">
        <v>9198</v>
      </c>
      <c r="J1020" s="62">
        <v>29355</v>
      </c>
      <c r="K1020" s="61" t="s">
        <v>430</v>
      </c>
      <c r="L1020" s="61" t="s">
        <v>1974</v>
      </c>
      <c r="P1020" s="347"/>
      <c r="Q1020" s="347"/>
      <c r="S1020" s="129"/>
    </row>
    <row r="1021" spans="1:19" ht="14.25" hidden="1" customHeight="1" x14ac:dyDescent="0.25">
      <c r="A1021" s="142" t="s">
        <v>5688</v>
      </c>
      <c r="B1021" s="9" t="s">
        <v>249</v>
      </c>
      <c r="C1021" s="9" t="s">
        <v>4333</v>
      </c>
      <c r="D1021" s="9" t="s">
        <v>4024</v>
      </c>
      <c r="E1021" s="9" t="s">
        <v>4025</v>
      </c>
      <c r="F1021" s="9" t="s">
        <v>4026</v>
      </c>
      <c r="G1021" s="9">
        <v>2314</v>
      </c>
      <c r="H1021" s="9">
        <v>2</v>
      </c>
      <c r="I1021" s="9">
        <v>9198</v>
      </c>
      <c r="J1021" s="37">
        <v>29355</v>
      </c>
      <c r="K1021" s="9" t="s">
        <v>430</v>
      </c>
      <c r="L1021" s="9" t="s">
        <v>1974</v>
      </c>
      <c r="P1021" s="347"/>
      <c r="Q1021" s="347"/>
      <c r="S1021" s="129"/>
    </row>
    <row r="1022" spans="1:19" ht="14.25" hidden="1" customHeight="1" x14ac:dyDescent="0.25">
      <c r="A1022" s="141" t="s">
        <v>5689</v>
      </c>
      <c r="B1022" s="61" t="s">
        <v>34</v>
      </c>
      <c r="C1022" s="61" t="s">
        <v>850</v>
      </c>
      <c r="D1022" s="61" t="s">
        <v>518</v>
      </c>
      <c r="E1022" s="61" t="s">
        <v>519</v>
      </c>
      <c r="F1022" s="61" t="s">
        <v>516</v>
      </c>
      <c r="G1022" s="61">
        <v>265</v>
      </c>
      <c r="H1022" s="61">
        <v>111</v>
      </c>
      <c r="I1022" s="61">
        <v>64724</v>
      </c>
      <c r="J1022" s="62">
        <v>65233</v>
      </c>
      <c r="K1022" s="61" t="s">
        <v>431</v>
      </c>
      <c r="L1022" s="61" t="s">
        <v>1974</v>
      </c>
      <c r="P1022" s="347">
        <v>112</v>
      </c>
      <c r="Q1022" s="348">
        <f>P1022*100%/(1000)</f>
        <v>0.112</v>
      </c>
      <c r="R1022" s="183"/>
      <c r="S1022" s="129"/>
    </row>
    <row r="1023" spans="1:19" ht="14.25" hidden="1" customHeight="1" x14ac:dyDescent="0.25">
      <c r="A1023" s="142" t="s">
        <v>5689</v>
      </c>
      <c r="B1023" s="9" t="s">
        <v>249</v>
      </c>
      <c r="C1023" s="9" t="s">
        <v>851</v>
      </c>
      <c r="D1023" s="9" t="s">
        <v>520</v>
      </c>
      <c r="E1023" s="9" t="s">
        <v>521</v>
      </c>
      <c r="F1023" s="9" t="s">
        <v>517</v>
      </c>
      <c r="G1023" s="9">
        <v>266</v>
      </c>
      <c r="H1023" s="9">
        <v>1</v>
      </c>
      <c r="I1023" s="9">
        <v>64724</v>
      </c>
      <c r="J1023" s="37">
        <v>65233</v>
      </c>
      <c r="K1023" s="9" t="s">
        <v>431</v>
      </c>
      <c r="L1023" s="9" t="s">
        <v>1974</v>
      </c>
      <c r="P1023" s="347"/>
      <c r="Q1023" s="347"/>
      <c r="S1023" s="129"/>
    </row>
    <row r="1024" spans="1:19" ht="14.25" hidden="1" customHeight="1" x14ac:dyDescent="0.25">
      <c r="A1024" s="147" t="s">
        <v>5690</v>
      </c>
      <c r="B1024" s="20" t="s">
        <v>597</v>
      </c>
      <c r="C1024" s="20" t="s">
        <v>4968</v>
      </c>
      <c r="D1024" s="20" t="s">
        <v>4857</v>
      </c>
      <c r="E1024" s="20" t="s">
        <v>4858</v>
      </c>
      <c r="F1024" s="20" t="s">
        <v>4859</v>
      </c>
      <c r="G1024" s="20">
        <v>201</v>
      </c>
      <c r="H1024" s="20">
        <v>10</v>
      </c>
      <c r="I1024" s="20">
        <v>9198</v>
      </c>
      <c r="J1024" s="36">
        <v>29355</v>
      </c>
      <c r="K1024" s="20" t="s">
        <v>522</v>
      </c>
      <c r="L1024" s="20" t="s">
        <v>1975</v>
      </c>
      <c r="P1024" s="347">
        <v>961</v>
      </c>
      <c r="Q1024" s="348">
        <f>P1024*100%/(2000)</f>
        <v>0.48049999999999998</v>
      </c>
      <c r="R1024" s="198" t="s">
        <v>6062</v>
      </c>
      <c r="S1024" s="129"/>
    </row>
    <row r="1025" spans="1:19" ht="14.25" hidden="1" customHeight="1" x14ac:dyDescent="0.25">
      <c r="A1025" s="141" t="s">
        <v>5690</v>
      </c>
      <c r="B1025" s="61" t="s">
        <v>34</v>
      </c>
      <c r="C1025" s="61" t="s">
        <v>4969</v>
      </c>
      <c r="D1025" s="61" t="s">
        <v>4860</v>
      </c>
      <c r="E1025" s="61" t="s">
        <v>4861</v>
      </c>
      <c r="F1025" s="61" t="s">
        <v>4862</v>
      </c>
      <c r="G1025" s="61">
        <v>203</v>
      </c>
      <c r="H1025" s="61">
        <v>650</v>
      </c>
      <c r="I1025" s="61">
        <v>9198</v>
      </c>
      <c r="J1025" s="62">
        <v>29355</v>
      </c>
      <c r="K1025" s="61" t="s">
        <v>522</v>
      </c>
      <c r="L1025" s="61" t="s">
        <v>1975</v>
      </c>
      <c r="P1025" s="347"/>
      <c r="Q1025" s="347"/>
      <c r="R1025" s="262" t="s">
        <v>6221</v>
      </c>
      <c r="S1025" s="129"/>
    </row>
    <row r="1026" spans="1:19" ht="14.25" hidden="1" customHeight="1" x14ac:dyDescent="0.25">
      <c r="A1026" s="142" t="s">
        <v>5690</v>
      </c>
      <c r="B1026" s="142" t="s">
        <v>249</v>
      </c>
      <c r="C1026" s="142" t="s">
        <v>4970</v>
      </c>
      <c r="D1026" s="142" t="s">
        <v>4863</v>
      </c>
      <c r="E1026" s="142" t="s">
        <v>4864</v>
      </c>
      <c r="F1026" s="142" t="s">
        <v>4865</v>
      </c>
      <c r="G1026" s="142">
        <v>202</v>
      </c>
      <c r="H1026" s="142">
        <v>1</v>
      </c>
      <c r="I1026" s="142">
        <v>9198</v>
      </c>
      <c r="J1026" s="37">
        <v>29355</v>
      </c>
      <c r="K1026" s="142" t="s">
        <v>522</v>
      </c>
      <c r="L1026" s="142" t="s">
        <v>1975</v>
      </c>
      <c r="P1026" s="347"/>
      <c r="Q1026" s="347"/>
      <c r="S1026" s="129"/>
    </row>
    <row r="1027" spans="1:19" ht="14.25" hidden="1" customHeight="1" x14ac:dyDescent="0.25">
      <c r="A1027" s="152" t="s">
        <v>5690</v>
      </c>
      <c r="B1027" s="57" t="s">
        <v>11</v>
      </c>
      <c r="C1027" s="57" t="s">
        <v>4971</v>
      </c>
      <c r="D1027" s="57" t="s">
        <v>4866</v>
      </c>
      <c r="E1027" s="57" t="s">
        <v>4867</v>
      </c>
      <c r="F1027" s="57" t="s">
        <v>4868</v>
      </c>
      <c r="G1027" s="57">
        <v>204</v>
      </c>
      <c r="H1027" s="57">
        <v>300</v>
      </c>
      <c r="I1027" s="57">
        <v>9198</v>
      </c>
      <c r="J1027" s="58">
        <v>29355</v>
      </c>
      <c r="K1027" s="57" t="s">
        <v>522</v>
      </c>
      <c r="L1027" s="57" t="s">
        <v>1975</v>
      </c>
      <c r="P1027" s="347"/>
      <c r="Q1027" s="347"/>
      <c r="R1027" s="183"/>
      <c r="S1027" s="129"/>
    </row>
    <row r="1028" spans="1:19" ht="15" hidden="1" customHeight="1" x14ac:dyDescent="0.25">
      <c r="A1028" s="9" t="s">
        <v>5691</v>
      </c>
      <c r="B1028" s="9" t="s">
        <v>249</v>
      </c>
      <c r="C1028" s="9" t="s">
        <v>1507</v>
      </c>
      <c r="D1028" s="9" t="s">
        <v>5764</v>
      </c>
      <c r="E1028" s="9" t="s">
        <v>5765</v>
      </c>
      <c r="F1028" s="9" t="s">
        <v>5766</v>
      </c>
      <c r="G1028" s="9"/>
      <c r="H1028" s="9">
        <v>1</v>
      </c>
      <c r="I1028" s="9">
        <v>9198</v>
      </c>
      <c r="J1028" s="9">
        <v>29355</v>
      </c>
      <c r="K1028" s="9" t="s">
        <v>440</v>
      </c>
      <c r="L1028" s="9" t="s">
        <v>1974</v>
      </c>
      <c r="P1028" s="347">
        <v>102</v>
      </c>
      <c r="Q1028" s="348">
        <f>P1028*100%*10/(2000)</f>
        <v>0.51</v>
      </c>
      <c r="R1028" s="189" t="s">
        <v>6062</v>
      </c>
      <c r="S1028" s="146"/>
    </row>
    <row r="1029" spans="1:19" ht="15" hidden="1" customHeight="1" x14ac:dyDescent="0.25">
      <c r="A1029" s="154" t="s">
        <v>5691</v>
      </c>
      <c r="B1029" s="154" t="s">
        <v>3781</v>
      </c>
      <c r="C1029" s="154" t="s">
        <v>1507</v>
      </c>
      <c r="D1029" s="154" t="s">
        <v>5761</v>
      </c>
      <c r="E1029" s="154" t="s">
        <v>5762</v>
      </c>
      <c r="F1029" s="154" t="s">
        <v>5763</v>
      </c>
      <c r="G1029" s="154"/>
      <c r="H1029" s="154">
        <v>1</v>
      </c>
      <c r="I1029" s="154">
        <v>9198</v>
      </c>
      <c r="J1029" s="154">
        <v>29355</v>
      </c>
      <c r="K1029" s="154" t="s">
        <v>654</v>
      </c>
      <c r="L1029" s="154" t="s">
        <v>1974</v>
      </c>
      <c r="P1029" s="347"/>
      <c r="Q1029" s="347"/>
      <c r="R1029" s="146"/>
      <c r="S1029" s="145"/>
    </row>
    <row r="1030" spans="1:19" ht="15" hidden="1" customHeight="1" x14ac:dyDescent="0.25">
      <c r="A1030" s="57" t="s">
        <v>5691</v>
      </c>
      <c r="B1030" s="57" t="s">
        <v>11</v>
      </c>
      <c r="C1030" s="57" t="s">
        <v>1507</v>
      </c>
      <c r="D1030" s="57" t="s">
        <v>7540</v>
      </c>
      <c r="E1030" s="57" t="s">
        <v>7538</v>
      </c>
      <c r="F1030" s="57" t="s">
        <v>7539</v>
      </c>
      <c r="G1030" s="57"/>
      <c r="H1030" s="57">
        <v>150</v>
      </c>
      <c r="I1030" s="57">
        <v>9198</v>
      </c>
      <c r="J1030" s="57">
        <v>29355</v>
      </c>
      <c r="K1030" s="57" t="s">
        <v>1417</v>
      </c>
      <c r="L1030" s="57" t="s">
        <v>1974</v>
      </c>
      <c r="P1030" s="347"/>
      <c r="Q1030" s="347"/>
      <c r="R1030" s="145"/>
      <c r="S1030" s="145"/>
    </row>
    <row r="1031" spans="1:19" ht="15" hidden="1" customHeight="1" x14ac:dyDescent="0.25">
      <c r="A1031" s="20" t="s">
        <v>5691</v>
      </c>
      <c r="B1031" s="20" t="s">
        <v>597</v>
      </c>
      <c r="C1031" s="20" t="s">
        <v>1507</v>
      </c>
      <c r="D1031" s="20" t="s">
        <v>7541</v>
      </c>
      <c r="E1031" s="20" t="s">
        <v>7542</v>
      </c>
      <c r="F1031" s="20" t="s">
        <v>7543</v>
      </c>
      <c r="G1031" s="20"/>
      <c r="H1031" s="20">
        <v>8</v>
      </c>
      <c r="I1031" s="20">
        <v>9198</v>
      </c>
      <c r="J1031" s="20">
        <v>29355</v>
      </c>
      <c r="K1031" s="20" t="s">
        <v>440</v>
      </c>
      <c r="L1031" s="20" t="s">
        <v>1974</v>
      </c>
      <c r="P1031" s="347"/>
      <c r="Q1031" s="347"/>
      <c r="R1031" s="145"/>
      <c r="S1031" s="145"/>
    </row>
    <row r="1032" spans="1:19" ht="15" hidden="1" customHeight="1" x14ac:dyDescent="0.25">
      <c r="A1032" s="141" t="s">
        <v>5691</v>
      </c>
      <c r="B1032" s="61" t="s">
        <v>34</v>
      </c>
      <c r="C1032" s="61" t="s">
        <v>1677</v>
      </c>
      <c r="D1032" s="61" t="s">
        <v>1641</v>
      </c>
      <c r="E1032" s="61" t="s">
        <v>1642</v>
      </c>
      <c r="F1032" s="61" t="s">
        <v>1643</v>
      </c>
      <c r="G1032" s="61">
        <v>2814</v>
      </c>
      <c r="H1032" s="61">
        <v>100</v>
      </c>
      <c r="I1032" s="61">
        <v>9198</v>
      </c>
      <c r="J1032" s="62">
        <v>29355</v>
      </c>
      <c r="K1032" s="61" t="s">
        <v>440</v>
      </c>
      <c r="L1032" s="61" t="s">
        <v>1974</v>
      </c>
      <c r="P1032" s="347"/>
      <c r="Q1032" s="347"/>
      <c r="R1032" s="145" t="s">
        <v>4895</v>
      </c>
      <c r="S1032" s="145" t="s">
        <v>4960</v>
      </c>
    </row>
    <row r="1033" spans="1:19" ht="15" hidden="1" customHeight="1" x14ac:dyDescent="0.25">
      <c r="A1033" s="141" t="s">
        <v>7042</v>
      </c>
      <c r="B1033" s="141" t="s">
        <v>34</v>
      </c>
      <c r="C1033" s="141" t="s">
        <v>7043</v>
      </c>
      <c r="D1033" s="141"/>
      <c r="E1033" s="141"/>
      <c r="F1033" s="141" t="s">
        <v>7034</v>
      </c>
      <c r="G1033" s="141">
        <v>2410</v>
      </c>
      <c r="H1033" s="141">
        <v>150</v>
      </c>
      <c r="I1033" s="141" t="s">
        <v>1454</v>
      </c>
      <c r="J1033" s="62" t="s">
        <v>1454</v>
      </c>
      <c r="K1033" s="141" t="s">
        <v>428</v>
      </c>
      <c r="L1033" s="141" t="s">
        <v>1974</v>
      </c>
      <c r="P1033" s="347">
        <v>151</v>
      </c>
      <c r="Q1033" s="348">
        <f>P1033*100%/(1000)</f>
        <v>0.151</v>
      </c>
      <c r="R1033" s="145"/>
      <c r="S1033" s="145"/>
    </row>
    <row r="1034" spans="1:19" ht="15" hidden="1" customHeight="1" x14ac:dyDescent="0.25">
      <c r="A1034" s="142" t="s">
        <v>7042</v>
      </c>
      <c r="B1034" s="9" t="s">
        <v>249</v>
      </c>
      <c r="C1034" s="9" t="s">
        <v>7044</v>
      </c>
      <c r="D1034" s="9"/>
      <c r="E1034" s="9"/>
      <c r="F1034" s="9" t="s">
        <v>7033</v>
      </c>
      <c r="G1034" s="9">
        <v>2414</v>
      </c>
      <c r="H1034" s="9">
        <v>1</v>
      </c>
      <c r="I1034" s="9" t="s">
        <v>1454</v>
      </c>
      <c r="J1034" s="37" t="s">
        <v>1454</v>
      </c>
      <c r="K1034" s="9" t="s">
        <v>428</v>
      </c>
      <c r="L1034" s="9" t="s">
        <v>1974</v>
      </c>
      <c r="P1034" s="347"/>
      <c r="Q1034" s="347"/>
      <c r="R1034" s="145"/>
      <c r="S1034" s="145"/>
    </row>
    <row r="1035" spans="1:19" ht="14.25" hidden="1" customHeight="1" x14ac:dyDescent="0.25">
      <c r="A1035" s="141" t="s">
        <v>5692</v>
      </c>
      <c r="B1035" s="61" t="s">
        <v>34</v>
      </c>
      <c r="C1035" s="61" t="s">
        <v>1614</v>
      </c>
      <c r="D1035" s="61" t="s">
        <v>1342</v>
      </c>
      <c r="E1035" s="61" t="s">
        <v>1343</v>
      </c>
      <c r="F1035" s="61" t="s">
        <v>1344</v>
      </c>
      <c r="G1035" s="61">
        <v>1257</v>
      </c>
      <c r="H1035" s="61">
        <v>11</v>
      </c>
      <c r="I1035" s="61">
        <v>9198</v>
      </c>
      <c r="J1035" s="62">
        <v>29355</v>
      </c>
      <c r="K1035" s="61" t="s">
        <v>436</v>
      </c>
      <c r="L1035" s="61" t="s">
        <v>1974</v>
      </c>
      <c r="P1035" s="347">
        <v>13</v>
      </c>
      <c r="Q1035" s="348">
        <f>P1035*100%/(1000)</f>
        <v>1.2999999999999999E-2</v>
      </c>
      <c r="R1035" s="183"/>
      <c r="S1035" s="129"/>
    </row>
    <row r="1036" spans="1:19" ht="14.25" hidden="1" customHeight="1" x14ac:dyDescent="0.25">
      <c r="A1036" s="142" t="s">
        <v>5692</v>
      </c>
      <c r="B1036" s="9" t="s">
        <v>249</v>
      </c>
      <c r="C1036" s="9" t="s">
        <v>1615</v>
      </c>
      <c r="D1036" s="9" t="s">
        <v>1345</v>
      </c>
      <c r="E1036" s="9" t="s">
        <v>1346</v>
      </c>
      <c r="F1036" s="9" t="s">
        <v>1347</v>
      </c>
      <c r="G1036" s="9">
        <v>1267</v>
      </c>
      <c r="H1036" s="9">
        <v>1</v>
      </c>
      <c r="I1036" s="9">
        <v>9198</v>
      </c>
      <c r="J1036" s="37">
        <v>29355</v>
      </c>
      <c r="K1036" s="9" t="s">
        <v>436</v>
      </c>
      <c r="L1036" s="9" t="s">
        <v>1974</v>
      </c>
      <c r="P1036" s="347"/>
      <c r="Q1036" s="347"/>
      <c r="S1036" s="129"/>
    </row>
    <row r="1037" spans="1:19" ht="14.25" hidden="1" customHeight="1" x14ac:dyDescent="0.25">
      <c r="A1037" s="199" t="s">
        <v>5692</v>
      </c>
      <c r="B1037" s="154" t="s">
        <v>3781</v>
      </c>
      <c r="C1037" s="154" t="s">
        <v>4308</v>
      </c>
      <c r="D1037" s="154" t="s">
        <v>3800</v>
      </c>
      <c r="E1037" s="154" t="s">
        <v>3801</v>
      </c>
      <c r="F1037" s="154" t="s">
        <v>3802</v>
      </c>
      <c r="G1037" s="154">
        <v>1277</v>
      </c>
      <c r="H1037" s="154">
        <v>1</v>
      </c>
      <c r="I1037" s="154">
        <v>9198</v>
      </c>
      <c r="J1037" s="155">
        <v>29355</v>
      </c>
      <c r="K1037" s="154" t="s">
        <v>436</v>
      </c>
      <c r="L1037" s="154" t="s">
        <v>1974</v>
      </c>
      <c r="P1037" s="347"/>
      <c r="Q1037" s="347"/>
      <c r="S1037" s="129"/>
    </row>
    <row r="1038" spans="1:19" ht="14.25" hidden="1" customHeight="1" x14ac:dyDescent="0.25">
      <c r="A1038" s="147" t="s">
        <v>5693</v>
      </c>
      <c r="B1038" s="20" t="s">
        <v>597</v>
      </c>
      <c r="C1038" s="20" t="s">
        <v>852</v>
      </c>
      <c r="D1038" s="20" t="s">
        <v>553</v>
      </c>
      <c r="E1038" s="20" t="s">
        <v>554</v>
      </c>
      <c r="F1038" s="20" t="s">
        <v>555</v>
      </c>
      <c r="G1038" s="20">
        <v>276</v>
      </c>
      <c r="H1038" s="20">
        <v>14</v>
      </c>
      <c r="I1038" s="20">
        <v>9198</v>
      </c>
      <c r="J1038" s="36">
        <v>65008</v>
      </c>
      <c r="K1038" s="20" t="s">
        <v>428</v>
      </c>
      <c r="L1038" s="20" t="s">
        <v>1974</v>
      </c>
      <c r="P1038" s="347">
        <v>348</v>
      </c>
      <c r="Q1038" s="348">
        <f>P1038*100%/(1000)</f>
        <v>0.34799999999999998</v>
      </c>
      <c r="S1038" s="129"/>
    </row>
    <row r="1039" spans="1:19" ht="14.25" hidden="1" customHeight="1" x14ac:dyDescent="0.25">
      <c r="A1039" s="152" t="s">
        <v>5693</v>
      </c>
      <c r="B1039" s="57" t="s">
        <v>11</v>
      </c>
      <c r="C1039" s="57" t="s">
        <v>2263</v>
      </c>
      <c r="D1039" s="57" t="s">
        <v>2240</v>
      </c>
      <c r="E1039" s="57" t="s">
        <v>2241</v>
      </c>
      <c r="F1039" s="57" t="s">
        <v>2242</v>
      </c>
      <c r="G1039" s="57">
        <v>3039</v>
      </c>
      <c r="H1039" s="57">
        <v>150</v>
      </c>
      <c r="I1039" s="57">
        <v>9198</v>
      </c>
      <c r="J1039" s="58">
        <v>65008</v>
      </c>
      <c r="K1039" s="57" t="s">
        <v>428</v>
      </c>
      <c r="L1039" s="57" t="s">
        <v>1974</v>
      </c>
      <c r="P1039" s="347"/>
      <c r="Q1039" s="347"/>
      <c r="S1039" s="129"/>
    </row>
    <row r="1040" spans="1:19" ht="14.25" hidden="1" customHeight="1" x14ac:dyDescent="0.25">
      <c r="A1040" s="141" t="s">
        <v>5693</v>
      </c>
      <c r="B1040" s="61" t="s">
        <v>34</v>
      </c>
      <c r="C1040" s="61" t="s">
        <v>853</v>
      </c>
      <c r="D1040" s="61" t="s">
        <v>1108</v>
      </c>
      <c r="E1040" s="61" t="s">
        <v>1106</v>
      </c>
      <c r="F1040" s="61" t="s">
        <v>1107</v>
      </c>
      <c r="G1040" s="61">
        <v>4055</v>
      </c>
      <c r="H1040" s="61">
        <v>183</v>
      </c>
      <c r="I1040" s="61">
        <v>9198</v>
      </c>
      <c r="J1040" s="62">
        <v>65008</v>
      </c>
      <c r="K1040" s="61" t="s">
        <v>1458</v>
      </c>
      <c r="L1040" s="61" t="s">
        <v>1974</v>
      </c>
      <c r="P1040" s="347"/>
      <c r="Q1040" s="347"/>
      <c r="R1040" s="183"/>
      <c r="S1040" s="129"/>
    </row>
    <row r="1041" spans="1:23" ht="14.25" hidden="1" customHeight="1" x14ac:dyDescent="0.25">
      <c r="A1041" s="142" t="s">
        <v>5693</v>
      </c>
      <c r="B1041" s="9" t="s">
        <v>249</v>
      </c>
      <c r="C1041" s="9" t="s">
        <v>854</v>
      </c>
      <c r="D1041" s="9" t="s">
        <v>550</v>
      </c>
      <c r="E1041" s="9" t="s">
        <v>551</v>
      </c>
      <c r="F1041" s="9" t="s">
        <v>552</v>
      </c>
      <c r="G1041" s="9">
        <v>294</v>
      </c>
      <c r="H1041" s="9">
        <v>1</v>
      </c>
      <c r="I1041" s="9">
        <v>9198</v>
      </c>
      <c r="J1041" s="37">
        <v>65008</v>
      </c>
      <c r="K1041" s="9" t="s">
        <v>1458</v>
      </c>
      <c r="L1041" s="9" t="s">
        <v>1974</v>
      </c>
      <c r="P1041" s="347"/>
      <c r="Q1041" s="347"/>
      <c r="R1041" s="183"/>
      <c r="S1041" s="129"/>
    </row>
    <row r="1042" spans="1:23" ht="14.25" hidden="1" customHeight="1" x14ac:dyDescent="0.25">
      <c r="A1042" s="152" t="s">
        <v>5694</v>
      </c>
      <c r="B1042" s="57" t="s">
        <v>11</v>
      </c>
      <c r="C1042" s="57" t="s">
        <v>2174</v>
      </c>
      <c r="D1042" s="57" t="s">
        <v>2113</v>
      </c>
      <c r="E1042" s="57" t="s">
        <v>2114</v>
      </c>
      <c r="F1042" s="57" t="s">
        <v>2115</v>
      </c>
      <c r="G1042" s="57">
        <v>354</v>
      </c>
      <c r="H1042" s="57">
        <v>750</v>
      </c>
      <c r="I1042" s="57">
        <v>9198</v>
      </c>
      <c r="J1042" s="58">
        <v>65231</v>
      </c>
      <c r="K1042" s="57" t="s">
        <v>428</v>
      </c>
      <c r="L1042" s="57" t="s">
        <v>1975</v>
      </c>
      <c r="P1042" s="347">
        <v>1261</v>
      </c>
      <c r="Q1042" s="348">
        <f>P1042*100%/(2000)</f>
        <v>0.63049999999999995</v>
      </c>
      <c r="R1042" s="146" t="s">
        <v>3693</v>
      </c>
      <c r="S1042" s="260"/>
    </row>
    <row r="1043" spans="1:23" ht="14.25" hidden="1" customHeight="1" x14ac:dyDescent="0.25">
      <c r="A1043" s="141" t="s">
        <v>5694</v>
      </c>
      <c r="B1043" s="61" t="s">
        <v>34</v>
      </c>
      <c r="C1043" s="61" t="s">
        <v>855</v>
      </c>
      <c r="D1043" s="61" t="s">
        <v>259</v>
      </c>
      <c r="E1043" s="61" t="s">
        <v>260</v>
      </c>
      <c r="F1043" s="61" t="s">
        <v>261</v>
      </c>
      <c r="G1043" s="61">
        <v>249</v>
      </c>
      <c r="H1043" s="61">
        <v>260</v>
      </c>
      <c r="I1043" s="61">
        <v>9198</v>
      </c>
      <c r="J1043" s="62">
        <v>65231</v>
      </c>
      <c r="K1043" s="61" t="s">
        <v>1458</v>
      </c>
      <c r="L1043" s="61" t="s">
        <v>1975</v>
      </c>
      <c r="P1043" s="347"/>
      <c r="Q1043" s="347"/>
      <c r="R1043" s="146" t="s">
        <v>4107</v>
      </c>
      <c r="S1043" s="129" t="s">
        <v>2907</v>
      </c>
    </row>
    <row r="1044" spans="1:23" ht="14.25" hidden="1" customHeight="1" x14ac:dyDescent="0.25">
      <c r="A1044" s="142" t="s">
        <v>5694</v>
      </c>
      <c r="B1044" s="9" t="s">
        <v>249</v>
      </c>
      <c r="C1044" s="9" t="s">
        <v>856</v>
      </c>
      <c r="D1044" s="9" t="s">
        <v>262</v>
      </c>
      <c r="E1044" s="9" t="s">
        <v>263</v>
      </c>
      <c r="F1044" s="9" t="s">
        <v>264</v>
      </c>
      <c r="G1044" s="9">
        <v>343</v>
      </c>
      <c r="H1044" s="9">
        <v>1</v>
      </c>
      <c r="I1044" s="9">
        <v>9198</v>
      </c>
      <c r="J1044" s="37">
        <v>65231</v>
      </c>
      <c r="K1044" s="9" t="s">
        <v>1458</v>
      </c>
      <c r="L1044" s="9" t="s">
        <v>1975</v>
      </c>
      <c r="P1044" s="347"/>
      <c r="Q1044" s="347"/>
      <c r="R1044" s="146" t="s">
        <v>4108</v>
      </c>
      <c r="S1044" s="129" t="s">
        <v>4331</v>
      </c>
      <c r="W1044" s="189" t="s">
        <v>4638</v>
      </c>
    </row>
    <row r="1045" spans="1:23" ht="14.25" hidden="1" customHeight="1" x14ac:dyDescent="0.25">
      <c r="A1045" s="147" t="s">
        <v>5695</v>
      </c>
      <c r="B1045" s="20" t="s">
        <v>597</v>
      </c>
      <c r="C1045" s="20" t="s">
        <v>3563</v>
      </c>
      <c r="D1045" s="20" t="s">
        <v>3487</v>
      </c>
      <c r="E1045" s="20" t="s">
        <v>3488</v>
      </c>
      <c r="F1045" s="20" t="s">
        <v>3489</v>
      </c>
      <c r="G1045" s="20">
        <v>600</v>
      </c>
      <c r="H1045" s="20">
        <v>6</v>
      </c>
      <c r="I1045" s="20">
        <v>9198</v>
      </c>
      <c r="J1045" s="36">
        <v>29355</v>
      </c>
      <c r="K1045" s="20" t="s">
        <v>440</v>
      </c>
      <c r="L1045" s="20" t="s">
        <v>1974</v>
      </c>
      <c r="P1045" s="347">
        <v>458</v>
      </c>
      <c r="Q1045" s="348">
        <f>P1045*100%/(1000)</f>
        <v>0.45800000000000002</v>
      </c>
      <c r="S1045" s="129"/>
    </row>
    <row r="1046" spans="1:23" ht="14.25" hidden="1" customHeight="1" x14ac:dyDescent="0.25">
      <c r="A1046" s="141" t="s">
        <v>5695</v>
      </c>
      <c r="B1046" s="61" t="s">
        <v>34</v>
      </c>
      <c r="C1046" s="61" t="s">
        <v>3564</v>
      </c>
      <c r="D1046" s="61" t="s">
        <v>3490</v>
      </c>
      <c r="E1046" s="61" t="s">
        <v>3491</v>
      </c>
      <c r="F1046" s="61" t="s">
        <v>3492</v>
      </c>
      <c r="G1046" s="61">
        <v>601</v>
      </c>
      <c r="H1046" s="61">
        <v>250</v>
      </c>
      <c r="I1046" s="61">
        <v>9198</v>
      </c>
      <c r="J1046" s="62">
        <v>29355</v>
      </c>
      <c r="K1046" s="61" t="s">
        <v>440</v>
      </c>
      <c r="L1046" s="61" t="s">
        <v>1974</v>
      </c>
      <c r="P1046" s="347"/>
      <c r="Q1046" s="347"/>
      <c r="R1046" s="183"/>
      <c r="S1046" s="129"/>
    </row>
    <row r="1047" spans="1:23" ht="14.25" hidden="1" customHeight="1" x14ac:dyDescent="0.25">
      <c r="A1047" s="142" t="s">
        <v>5695</v>
      </c>
      <c r="B1047" s="9" t="s">
        <v>249</v>
      </c>
      <c r="C1047" s="9" t="s">
        <v>3565</v>
      </c>
      <c r="D1047" s="9" t="s">
        <v>3493</v>
      </c>
      <c r="E1047" s="9" t="s">
        <v>3494</v>
      </c>
      <c r="F1047" s="9" t="s">
        <v>3495</v>
      </c>
      <c r="G1047" s="9">
        <v>602</v>
      </c>
      <c r="H1047" s="9">
        <v>1</v>
      </c>
      <c r="I1047" s="9">
        <v>9198</v>
      </c>
      <c r="J1047" s="37">
        <v>29355</v>
      </c>
      <c r="K1047" s="9" t="s">
        <v>440</v>
      </c>
      <c r="L1047" s="9" t="s">
        <v>1974</v>
      </c>
      <c r="P1047" s="347"/>
      <c r="Q1047" s="347"/>
      <c r="R1047" s="183"/>
      <c r="S1047" s="129"/>
    </row>
    <row r="1048" spans="1:23" ht="14.25" hidden="1" customHeight="1" x14ac:dyDescent="0.25">
      <c r="A1048" s="199" t="s">
        <v>5695</v>
      </c>
      <c r="B1048" s="154" t="s">
        <v>3781</v>
      </c>
      <c r="C1048" s="154" t="s">
        <v>4379</v>
      </c>
      <c r="D1048" s="154" t="s">
        <v>4192</v>
      </c>
      <c r="E1048" s="154" t="s">
        <v>4193</v>
      </c>
      <c r="F1048" s="154" t="s">
        <v>4194</v>
      </c>
      <c r="G1048" s="154">
        <v>603</v>
      </c>
      <c r="H1048" s="154">
        <v>1</v>
      </c>
      <c r="I1048" s="154">
        <v>9198</v>
      </c>
      <c r="J1048" s="155">
        <v>29355</v>
      </c>
      <c r="K1048" s="154" t="s">
        <v>440</v>
      </c>
      <c r="L1048" s="154" t="s">
        <v>1974</v>
      </c>
      <c r="P1048" s="347"/>
      <c r="Q1048" s="347"/>
      <c r="R1048" s="183"/>
      <c r="S1048" s="129"/>
    </row>
    <row r="1049" spans="1:23" ht="14.25" hidden="1" customHeight="1" x14ac:dyDescent="0.25">
      <c r="A1049" s="57" t="s">
        <v>5695</v>
      </c>
      <c r="B1049" s="57" t="s">
        <v>11</v>
      </c>
      <c r="C1049" s="57" t="s">
        <v>7427</v>
      </c>
      <c r="D1049" s="57" t="s">
        <v>7171</v>
      </c>
      <c r="E1049" s="57" t="s">
        <v>7172</v>
      </c>
      <c r="F1049" s="57" t="s">
        <v>7173</v>
      </c>
      <c r="G1049" s="57">
        <v>503</v>
      </c>
      <c r="H1049" s="57">
        <v>200</v>
      </c>
      <c r="I1049" s="57">
        <v>9198</v>
      </c>
      <c r="J1049" s="57">
        <v>29355</v>
      </c>
      <c r="K1049" s="57" t="s">
        <v>440</v>
      </c>
      <c r="L1049" s="57" t="s">
        <v>1974</v>
      </c>
      <c r="P1049" s="347"/>
      <c r="Q1049" s="347"/>
      <c r="R1049" s="183"/>
      <c r="S1049" s="129"/>
    </row>
    <row r="1050" spans="1:23" ht="14.25" hidden="1" customHeight="1" x14ac:dyDescent="0.25">
      <c r="A1050" s="147" t="s">
        <v>5696</v>
      </c>
      <c r="B1050" s="20" t="s">
        <v>597</v>
      </c>
      <c r="C1050" s="20" t="s">
        <v>3327</v>
      </c>
      <c r="D1050" s="20" t="s">
        <v>3153</v>
      </c>
      <c r="E1050" s="20" t="s">
        <v>3154</v>
      </c>
      <c r="F1050" s="20" t="s">
        <v>3155</v>
      </c>
      <c r="G1050" s="20">
        <v>2338</v>
      </c>
      <c r="H1050" s="20">
        <v>4</v>
      </c>
      <c r="I1050" s="20">
        <v>9198</v>
      </c>
      <c r="J1050" s="36">
        <v>29355</v>
      </c>
      <c r="K1050" s="20" t="s">
        <v>430</v>
      </c>
      <c r="L1050" s="20" t="s">
        <v>1974</v>
      </c>
      <c r="P1050" s="347">
        <v>61</v>
      </c>
      <c r="Q1050" s="348">
        <f>P1050*100%/(1000)</f>
        <v>6.0999999999999999E-2</v>
      </c>
      <c r="S1050" s="129"/>
    </row>
    <row r="1051" spans="1:23" ht="14.25" hidden="1" customHeight="1" x14ac:dyDescent="0.25">
      <c r="A1051" s="141" t="s">
        <v>5696</v>
      </c>
      <c r="B1051" s="61" t="s">
        <v>34</v>
      </c>
      <c r="C1051" s="61" t="s">
        <v>3328</v>
      </c>
      <c r="D1051" s="61" t="s">
        <v>3156</v>
      </c>
      <c r="E1051" s="61" t="s">
        <v>3157</v>
      </c>
      <c r="F1051" s="61" t="s">
        <v>3158</v>
      </c>
      <c r="G1051" s="61">
        <v>2988</v>
      </c>
      <c r="H1051" s="61">
        <v>54</v>
      </c>
      <c r="I1051" s="61">
        <v>9198</v>
      </c>
      <c r="J1051" s="62">
        <v>29355</v>
      </c>
      <c r="K1051" s="61" t="s">
        <v>430</v>
      </c>
      <c r="L1051" s="61" t="s">
        <v>1974</v>
      </c>
      <c r="P1051" s="347"/>
      <c r="Q1051" s="347"/>
      <c r="R1051" s="183"/>
      <c r="S1051" s="129"/>
    </row>
    <row r="1052" spans="1:23" ht="14.25" hidden="1" customHeight="1" x14ac:dyDescent="0.25">
      <c r="A1052" s="142" t="s">
        <v>5696</v>
      </c>
      <c r="B1052" s="9" t="s">
        <v>249</v>
      </c>
      <c r="C1052" s="9" t="s">
        <v>3361</v>
      </c>
      <c r="D1052" s="9" t="s">
        <v>3308</v>
      </c>
      <c r="E1052" s="9" t="s">
        <v>3309</v>
      </c>
      <c r="F1052" s="9" t="s">
        <v>3310</v>
      </c>
      <c r="G1052" s="9">
        <v>2462</v>
      </c>
      <c r="H1052" s="9">
        <v>2</v>
      </c>
      <c r="I1052" s="9">
        <v>9198</v>
      </c>
      <c r="J1052" s="37">
        <v>29355</v>
      </c>
      <c r="K1052" s="9" t="s">
        <v>430</v>
      </c>
      <c r="L1052" s="9" t="s">
        <v>1974</v>
      </c>
      <c r="P1052" s="347"/>
      <c r="Q1052" s="347"/>
      <c r="S1052" s="129"/>
    </row>
    <row r="1053" spans="1:23" ht="14.25" hidden="1" customHeight="1" x14ac:dyDescent="0.25">
      <c r="A1053" s="199" t="s">
        <v>5696</v>
      </c>
      <c r="B1053" s="154" t="s">
        <v>3781</v>
      </c>
      <c r="C1053" s="154" t="s">
        <v>4851</v>
      </c>
      <c r="D1053" s="154" t="s">
        <v>4822</v>
      </c>
      <c r="E1053" s="154" t="s">
        <v>4823</v>
      </c>
      <c r="F1053" s="154" t="s">
        <v>4824</v>
      </c>
      <c r="G1053" s="154">
        <v>2503</v>
      </c>
      <c r="H1053" s="154">
        <v>1</v>
      </c>
      <c r="I1053" s="154">
        <v>9198</v>
      </c>
      <c r="J1053" s="155">
        <v>29355</v>
      </c>
      <c r="K1053" s="154" t="s">
        <v>654</v>
      </c>
      <c r="L1053" s="154" t="s">
        <v>1974</v>
      </c>
      <c r="P1053" s="347"/>
      <c r="Q1053" s="347"/>
      <c r="S1053" s="129"/>
    </row>
    <row r="1054" spans="1:23" ht="14.25" hidden="1" customHeight="1" x14ac:dyDescent="0.25">
      <c r="A1054" s="152" t="s">
        <v>5697</v>
      </c>
      <c r="B1054" s="57" t="s">
        <v>11</v>
      </c>
      <c r="C1054" s="57" t="s">
        <v>2991</v>
      </c>
      <c r="D1054" s="57" t="s">
        <v>2973</v>
      </c>
      <c r="E1054" s="57" t="s">
        <v>2974</v>
      </c>
      <c r="F1054" s="57" t="s">
        <v>2975</v>
      </c>
      <c r="G1054" s="57">
        <v>2584</v>
      </c>
      <c r="H1054" s="57">
        <v>160</v>
      </c>
      <c r="I1054" s="57">
        <v>9198</v>
      </c>
      <c r="J1054" s="58">
        <v>65231</v>
      </c>
      <c r="K1054" s="57" t="s">
        <v>428</v>
      </c>
      <c r="L1054" s="57" t="s">
        <v>1974</v>
      </c>
      <c r="P1054" s="347">
        <v>267</v>
      </c>
      <c r="Q1054" s="348">
        <f>P1054*100%/(1000)</f>
        <v>0.26700000000000002</v>
      </c>
      <c r="S1054" s="129"/>
    </row>
    <row r="1055" spans="1:23" ht="14.25" hidden="1" customHeight="1" x14ac:dyDescent="0.25">
      <c r="A1055" s="141" t="s">
        <v>5697</v>
      </c>
      <c r="B1055" s="61" t="s">
        <v>34</v>
      </c>
      <c r="C1055" s="61" t="s">
        <v>857</v>
      </c>
      <c r="D1055" s="61" t="s">
        <v>662</v>
      </c>
      <c r="E1055" s="61" t="s">
        <v>664</v>
      </c>
      <c r="F1055" s="61" t="s">
        <v>665</v>
      </c>
      <c r="G1055" s="61">
        <v>2411</v>
      </c>
      <c r="H1055" s="61">
        <v>106</v>
      </c>
      <c r="I1055" s="61">
        <v>9198</v>
      </c>
      <c r="J1055" s="62">
        <v>65231</v>
      </c>
      <c r="K1055" s="61" t="s">
        <v>1458</v>
      </c>
      <c r="L1055" s="61" t="s">
        <v>1974</v>
      </c>
      <c r="P1055" s="347"/>
      <c r="Q1055" s="347"/>
      <c r="S1055" s="129"/>
    </row>
    <row r="1056" spans="1:23" ht="14.25" hidden="1" customHeight="1" x14ac:dyDescent="0.25">
      <c r="A1056" s="142" t="s">
        <v>5697</v>
      </c>
      <c r="B1056" s="9" t="s">
        <v>249</v>
      </c>
      <c r="C1056" s="9" t="s">
        <v>858</v>
      </c>
      <c r="D1056" s="9" t="s">
        <v>663</v>
      </c>
      <c r="E1056" s="9" t="s">
        <v>666</v>
      </c>
      <c r="F1056" s="9" t="s">
        <v>667</v>
      </c>
      <c r="G1056" s="9">
        <v>2412</v>
      </c>
      <c r="H1056" s="9">
        <v>1</v>
      </c>
      <c r="I1056" s="9">
        <v>9198</v>
      </c>
      <c r="J1056" s="37">
        <v>65231</v>
      </c>
      <c r="K1056" s="9" t="s">
        <v>1458</v>
      </c>
      <c r="L1056" s="9" t="s">
        <v>1974</v>
      </c>
      <c r="P1056" s="347"/>
      <c r="Q1056" s="347"/>
      <c r="S1056" s="129"/>
    </row>
    <row r="1057" spans="1:19" ht="14.25" hidden="1" customHeight="1" x14ac:dyDescent="0.25">
      <c r="A1057" s="147" t="s">
        <v>4681</v>
      </c>
      <c r="B1057" s="20" t="s">
        <v>597</v>
      </c>
      <c r="C1057" s="20" t="s">
        <v>4656</v>
      </c>
      <c r="D1057" s="20"/>
      <c r="E1057" s="20"/>
      <c r="F1057" s="20" t="s">
        <v>4678</v>
      </c>
      <c r="G1057" s="20">
        <v>2306</v>
      </c>
      <c r="H1057" s="20">
        <v>10</v>
      </c>
      <c r="I1057" s="36" t="s">
        <v>1454</v>
      </c>
      <c r="J1057" s="36" t="s">
        <v>1454</v>
      </c>
      <c r="K1057" s="20" t="s">
        <v>574</v>
      </c>
      <c r="L1057" s="147" t="s">
        <v>1974</v>
      </c>
      <c r="P1057" s="347">
        <v>90</v>
      </c>
      <c r="Q1057" s="348">
        <f>P1057*100%/(1000)</f>
        <v>0.09</v>
      </c>
      <c r="S1057" s="129"/>
    </row>
    <row r="1058" spans="1:19" ht="14.25" hidden="1" customHeight="1" x14ac:dyDescent="0.25">
      <c r="A1058" s="141" t="s">
        <v>4681</v>
      </c>
      <c r="B1058" s="61" t="s">
        <v>34</v>
      </c>
      <c r="C1058" s="61" t="s">
        <v>4657</v>
      </c>
      <c r="D1058" s="61"/>
      <c r="E1058" s="61"/>
      <c r="F1058" s="61" t="s">
        <v>4679</v>
      </c>
      <c r="G1058" s="61">
        <v>2307</v>
      </c>
      <c r="H1058" s="61">
        <v>80</v>
      </c>
      <c r="I1058" s="62" t="s">
        <v>1454</v>
      </c>
      <c r="J1058" s="62" t="s">
        <v>1454</v>
      </c>
      <c r="K1058" s="61" t="s">
        <v>574</v>
      </c>
      <c r="L1058" s="141" t="s">
        <v>1974</v>
      </c>
      <c r="P1058" s="347"/>
      <c r="Q1058" s="347"/>
      <c r="S1058" s="129"/>
    </row>
    <row r="1059" spans="1:19" ht="14.25" hidden="1" customHeight="1" x14ac:dyDescent="0.25">
      <c r="A1059" s="20" t="s">
        <v>5698</v>
      </c>
      <c r="B1059" s="20" t="s">
        <v>597</v>
      </c>
      <c r="C1059" s="20" t="s">
        <v>5110</v>
      </c>
      <c r="D1059" s="20" t="s">
        <v>3612</v>
      </c>
      <c r="E1059" s="20" t="s">
        <v>3613</v>
      </c>
      <c r="F1059" s="20" t="s">
        <v>3614</v>
      </c>
      <c r="G1059" s="20">
        <v>370</v>
      </c>
      <c r="H1059" s="20">
        <v>4</v>
      </c>
      <c r="I1059" s="20">
        <v>9198</v>
      </c>
      <c r="J1059" s="36">
        <v>29355</v>
      </c>
      <c r="K1059" s="20" t="s">
        <v>1417</v>
      </c>
      <c r="L1059" s="20" t="s">
        <v>1974</v>
      </c>
      <c r="P1059" s="347">
        <v>256</v>
      </c>
      <c r="Q1059" s="348">
        <f>P1059*100%/(1000)</f>
        <v>0.25600000000000001</v>
      </c>
      <c r="S1059" s="129"/>
    </row>
    <row r="1060" spans="1:19" ht="14.25" hidden="1" customHeight="1" x14ac:dyDescent="0.25">
      <c r="A1060" s="61" t="s">
        <v>5698</v>
      </c>
      <c r="B1060" s="61" t="s">
        <v>34</v>
      </c>
      <c r="C1060" s="61" t="s">
        <v>5111</v>
      </c>
      <c r="D1060" s="61" t="s">
        <v>3615</v>
      </c>
      <c r="E1060" s="61" t="s">
        <v>3616</v>
      </c>
      <c r="F1060" s="61" t="s">
        <v>3617</v>
      </c>
      <c r="G1060" s="61">
        <v>372</v>
      </c>
      <c r="H1060" s="61">
        <v>100</v>
      </c>
      <c r="I1060" s="61">
        <v>9198</v>
      </c>
      <c r="J1060" s="62">
        <v>29355</v>
      </c>
      <c r="K1060" s="61" t="s">
        <v>1417</v>
      </c>
      <c r="L1060" s="61" t="s">
        <v>1974</v>
      </c>
      <c r="P1060" s="347"/>
      <c r="Q1060" s="347"/>
      <c r="S1060" s="129"/>
    </row>
    <row r="1061" spans="1:19" ht="14.25" hidden="1" customHeight="1" x14ac:dyDescent="0.25">
      <c r="A1061" s="9" t="s">
        <v>5698</v>
      </c>
      <c r="B1061" s="9" t="s">
        <v>249</v>
      </c>
      <c r="C1061" s="9" t="s">
        <v>5112</v>
      </c>
      <c r="D1061" s="9" t="s">
        <v>3618</v>
      </c>
      <c r="E1061" s="9" t="s">
        <v>3619</v>
      </c>
      <c r="F1061" s="9" t="s">
        <v>3620</v>
      </c>
      <c r="G1061" s="9">
        <v>371</v>
      </c>
      <c r="H1061" s="9">
        <v>1</v>
      </c>
      <c r="I1061" s="9">
        <v>9198</v>
      </c>
      <c r="J1061" s="37">
        <v>29355</v>
      </c>
      <c r="K1061" s="9" t="s">
        <v>1417</v>
      </c>
      <c r="L1061" s="9" t="s">
        <v>1974</v>
      </c>
      <c r="P1061" s="347"/>
      <c r="Q1061" s="347"/>
      <c r="S1061" s="129"/>
    </row>
    <row r="1062" spans="1:19" ht="14.25" hidden="1" customHeight="1" x14ac:dyDescent="0.25">
      <c r="A1062" s="57" t="s">
        <v>5698</v>
      </c>
      <c r="B1062" s="57" t="s">
        <v>11</v>
      </c>
      <c r="C1062" s="57" t="s">
        <v>7332</v>
      </c>
      <c r="D1062" s="57" t="s">
        <v>7082</v>
      </c>
      <c r="E1062" s="57" t="s">
        <v>7083</v>
      </c>
      <c r="F1062" s="57" t="s">
        <v>7084</v>
      </c>
      <c r="G1062" s="57">
        <v>456</v>
      </c>
      <c r="H1062" s="57">
        <v>150</v>
      </c>
      <c r="I1062" s="57">
        <v>9198</v>
      </c>
      <c r="J1062" s="58">
        <v>29355</v>
      </c>
      <c r="K1062" s="57" t="s">
        <v>1417</v>
      </c>
      <c r="L1062" s="57" t="s">
        <v>1974</v>
      </c>
      <c r="P1062" s="347"/>
      <c r="Q1062" s="347"/>
      <c r="S1062" s="129"/>
    </row>
    <row r="1063" spans="1:19" ht="14.25" hidden="1" customHeight="1" x14ac:dyDescent="0.25">
      <c r="A1063" s="154" t="s">
        <v>5698</v>
      </c>
      <c r="B1063" s="154" t="s">
        <v>3781</v>
      </c>
      <c r="C1063" s="154" t="s">
        <v>4542</v>
      </c>
      <c r="D1063" s="154" t="s">
        <v>4429</v>
      </c>
      <c r="E1063" s="154" t="s">
        <v>4430</v>
      </c>
      <c r="F1063" s="154" t="s">
        <v>4431</v>
      </c>
      <c r="G1063" s="154">
        <v>373</v>
      </c>
      <c r="H1063" s="154">
        <v>1</v>
      </c>
      <c r="I1063" s="154">
        <v>9198</v>
      </c>
      <c r="J1063" s="155">
        <v>29355</v>
      </c>
      <c r="K1063" s="154" t="s">
        <v>1417</v>
      </c>
      <c r="L1063" s="154" t="s">
        <v>1974</v>
      </c>
      <c r="P1063" s="347"/>
      <c r="Q1063" s="347"/>
      <c r="S1063" s="129"/>
    </row>
    <row r="1064" spans="1:19" ht="14.1" hidden="1" customHeight="1" x14ac:dyDescent="0.25">
      <c r="A1064" s="20" t="s">
        <v>5699</v>
      </c>
      <c r="B1064" s="20" t="s">
        <v>597</v>
      </c>
      <c r="C1064" s="20" t="s">
        <v>2230</v>
      </c>
      <c r="D1064" s="20" t="s">
        <v>2141</v>
      </c>
      <c r="E1064" s="20" t="s">
        <v>2142</v>
      </c>
      <c r="F1064" s="20" t="s">
        <v>2143</v>
      </c>
      <c r="G1064" s="20">
        <v>1929</v>
      </c>
      <c r="H1064" s="20">
        <v>4</v>
      </c>
      <c r="I1064" s="20">
        <v>9198</v>
      </c>
      <c r="J1064" s="36">
        <v>65231</v>
      </c>
      <c r="K1064" s="20" t="s">
        <v>428</v>
      </c>
      <c r="L1064" s="20" t="s">
        <v>2534</v>
      </c>
      <c r="P1064" s="347">
        <v>2259</v>
      </c>
      <c r="Q1064" s="348">
        <f>P1064*100%/(3000)</f>
        <v>0.753</v>
      </c>
      <c r="R1064" s="183"/>
      <c r="S1064" s="129"/>
    </row>
    <row r="1065" spans="1:19" ht="14.25" hidden="1" customHeight="1" x14ac:dyDescent="0.25">
      <c r="A1065" s="57" t="s">
        <v>5699</v>
      </c>
      <c r="B1065" s="57" t="s">
        <v>11</v>
      </c>
      <c r="C1065" s="57" t="s">
        <v>2226</v>
      </c>
      <c r="D1065" s="57" t="s">
        <v>2121</v>
      </c>
      <c r="E1065" s="57" t="s">
        <v>2122</v>
      </c>
      <c r="F1065" s="57" t="s">
        <v>2123</v>
      </c>
      <c r="G1065" s="57">
        <v>2975</v>
      </c>
      <c r="H1065" s="57">
        <v>1500</v>
      </c>
      <c r="I1065" s="57">
        <v>9198</v>
      </c>
      <c r="J1065" s="58">
        <v>65231</v>
      </c>
      <c r="K1065" s="57" t="s">
        <v>428</v>
      </c>
      <c r="L1065" s="57" t="s">
        <v>2534</v>
      </c>
      <c r="P1065" s="347"/>
      <c r="Q1065" s="347"/>
      <c r="S1065" s="129"/>
    </row>
    <row r="1066" spans="1:19" ht="14.25" hidden="1" customHeight="1" x14ac:dyDescent="0.25">
      <c r="A1066" s="61" t="s">
        <v>5699</v>
      </c>
      <c r="B1066" s="61" t="s">
        <v>34</v>
      </c>
      <c r="C1066" s="61" t="s">
        <v>859</v>
      </c>
      <c r="D1066" s="61" t="s">
        <v>1169</v>
      </c>
      <c r="E1066" s="61" t="s">
        <v>1167</v>
      </c>
      <c r="F1066" s="61" t="s">
        <v>1168</v>
      </c>
      <c r="G1066" s="61">
        <v>2974</v>
      </c>
      <c r="H1066" s="61">
        <v>750</v>
      </c>
      <c r="I1066" s="61">
        <v>9198</v>
      </c>
      <c r="J1066" s="62">
        <v>65231</v>
      </c>
      <c r="K1066" s="61" t="s">
        <v>428</v>
      </c>
      <c r="L1066" s="61" t="s">
        <v>2534</v>
      </c>
      <c r="P1066" s="347"/>
      <c r="Q1066" s="347"/>
      <c r="R1066" s="183"/>
      <c r="S1066" s="129"/>
    </row>
    <row r="1067" spans="1:19" ht="14.25" hidden="1" customHeight="1" x14ac:dyDescent="0.25">
      <c r="A1067" s="9" t="s">
        <v>5699</v>
      </c>
      <c r="B1067" s="9" t="s">
        <v>249</v>
      </c>
      <c r="C1067" s="9" t="s">
        <v>860</v>
      </c>
      <c r="D1067" s="9" t="s">
        <v>1172</v>
      </c>
      <c r="E1067" s="9" t="s">
        <v>1170</v>
      </c>
      <c r="F1067" s="9" t="s">
        <v>1171</v>
      </c>
      <c r="G1067" s="9">
        <v>2973</v>
      </c>
      <c r="H1067" s="9">
        <v>5</v>
      </c>
      <c r="I1067" s="9">
        <v>9198</v>
      </c>
      <c r="J1067" s="37">
        <v>65231</v>
      </c>
      <c r="K1067" s="9" t="s">
        <v>428</v>
      </c>
      <c r="L1067" s="9" t="s">
        <v>2534</v>
      </c>
      <c r="P1067" s="347"/>
      <c r="Q1067" s="347"/>
      <c r="R1067" s="183"/>
      <c r="S1067" s="129"/>
    </row>
    <row r="1068" spans="1:19" ht="14.25" hidden="1" customHeight="1" x14ac:dyDescent="0.25">
      <c r="A1068" s="61" t="s">
        <v>5700</v>
      </c>
      <c r="B1068" s="61" t="s">
        <v>34</v>
      </c>
      <c r="C1068" s="61" t="s">
        <v>4415</v>
      </c>
      <c r="D1068" s="61" t="s">
        <v>4100</v>
      </c>
      <c r="E1068" s="61" t="s">
        <v>4101</v>
      </c>
      <c r="F1068" s="61" t="s">
        <v>4102</v>
      </c>
      <c r="G1068" s="61">
        <v>500</v>
      </c>
      <c r="H1068" s="61">
        <v>50</v>
      </c>
      <c r="I1068" s="61">
        <v>9198</v>
      </c>
      <c r="J1068" s="62">
        <v>29355</v>
      </c>
      <c r="K1068" s="61" t="s">
        <v>1417</v>
      </c>
      <c r="L1068" s="61" t="s">
        <v>1974</v>
      </c>
      <c r="P1068" s="347">
        <v>52</v>
      </c>
      <c r="Q1068" s="348">
        <f>P1068*100%/(1000)</f>
        <v>5.1999999999999998E-2</v>
      </c>
      <c r="R1068" s="183"/>
      <c r="S1068" s="129"/>
    </row>
    <row r="1069" spans="1:19" ht="14.25" hidden="1" customHeight="1" x14ac:dyDescent="0.25">
      <c r="A1069" s="9" t="s">
        <v>5700</v>
      </c>
      <c r="B1069" s="9" t="s">
        <v>249</v>
      </c>
      <c r="C1069" s="9" t="s">
        <v>5116</v>
      </c>
      <c r="D1069" s="9" t="s">
        <v>5031</v>
      </c>
      <c r="E1069" s="9" t="s">
        <v>5032</v>
      </c>
      <c r="F1069" s="9" t="s">
        <v>5033</v>
      </c>
      <c r="G1069" s="9">
        <v>501</v>
      </c>
      <c r="H1069" s="9">
        <v>1</v>
      </c>
      <c r="I1069" s="9">
        <v>9198</v>
      </c>
      <c r="J1069" s="37">
        <v>29355</v>
      </c>
      <c r="K1069" s="9" t="s">
        <v>1417</v>
      </c>
      <c r="L1069" s="9" t="s">
        <v>1974</v>
      </c>
      <c r="P1069" s="347"/>
      <c r="Q1069" s="347"/>
      <c r="R1069" s="183"/>
      <c r="S1069" s="129"/>
    </row>
    <row r="1070" spans="1:19" ht="14.25" hidden="1" customHeight="1" x14ac:dyDescent="0.25">
      <c r="A1070" s="154" t="s">
        <v>5700</v>
      </c>
      <c r="B1070" s="154" t="s">
        <v>3781</v>
      </c>
      <c r="C1070" s="154" t="s">
        <v>5117</v>
      </c>
      <c r="D1070" s="154" t="s">
        <v>5028</v>
      </c>
      <c r="E1070" s="154" t="s">
        <v>5029</v>
      </c>
      <c r="F1070" s="154" t="s">
        <v>5030</v>
      </c>
      <c r="G1070" s="154">
        <v>502</v>
      </c>
      <c r="H1070" s="154">
        <v>1</v>
      </c>
      <c r="I1070" s="154">
        <v>9198</v>
      </c>
      <c r="J1070" s="155">
        <v>29355</v>
      </c>
      <c r="K1070" s="154" t="s">
        <v>1417</v>
      </c>
      <c r="L1070" s="154" t="s">
        <v>1974</v>
      </c>
      <c r="P1070" s="347"/>
      <c r="Q1070" s="347"/>
      <c r="R1070" s="183"/>
      <c r="S1070" s="129"/>
    </row>
    <row r="1071" spans="1:19" ht="14.25" hidden="1" customHeight="1" x14ac:dyDescent="0.25">
      <c r="A1071" s="57" t="s">
        <v>5700</v>
      </c>
      <c r="B1071" s="57" t="s">
        <v>11</v>
      </c>
      <c r="C1071" s="57" t="s">
        <v>1507</v>
      </c>
      <c r="D1071" s="57" t="s">
        <v>7467</v>
      </c>
      <c r="E1071" s="57" t="s">
        <v>7468</v>
      </c>
      <c r="F1071" s="57" t="s">
        <v>7469</v>
      </c>
      <c r="G1071" s="57"/>
      <c r="H1071" s="57">
        <v>150</v>
      </c>
      <c r="I1071" s="57">
        <v>9198</v>
      </c>
      <c r="J1071" s="57">
        <v>29355</v>
      </c>
      <c r="K1071" s="57" t="s">
        <v>1417</v>
      </c>
      <c r="L1071" s="57" t="s">
        <v>1974</v>
      </c>
      <c r="P1071" s="326"/>
      <c r="Q1071" s="326"/>
      <c r="R1071" s="183"/>
      <c r="S1071" s="129"/>
    </row>
    <row r="1072" spans="1:19" ht="14.25" hidden="1" customHeight="1" x14ac:dyDescent="0.25">
      <c r="A1072" s="20" t="s">
        <v>5700</v>
      </c>
      <c r="B1072" s="20" t="s">
        <v>597</v>
      </c>
      <c r="C1072" s="20" t="s">
        <v>1507</v>
      </c>
      <c r="D1072" s="20" t="s">
        <v>7470</v>
      </c>
      <c r="E1072" s="20" t="s">
        <v>7471</v>
      </c>
      <c r="F1072" s="20" t="s">
        <v>7472</v>
      </c>
      <c r="G1072" s="20"/>
      <c r="H1072" s="20">
        <v>3</v>
      </c>
      <c r="I1072" s="20">
        <v>9198</v>
      </c>
      <c r="J1072" s="20">
        <v>29355</v>
      </c>
      <c r="K1072" s="20" t="s">
        <v>1417</v>
      </c>
      <c r="L1072" s="20" t="s">
        <v>1974</v>
      </c>
      <c r="P1072" s="326"/>
      <c r="Q1072" s="326"/>
      <c r="R1072" s="183"/>
      <c r="S1072" s="129"/>
    </row>
    <row r="1073" spans="1:20" ht="14.25" hidden="1" customHeight="1" x14ac:dyDescent="0.25">
      <c r="A1073" s="20" t="s">
        <v>5701</v>
      </c>
      <c r="B1073" s="20" t="s">
        <v>597</v>
      </c>
      <c r="C1073" s="20" t="s">
        <v>6253</v>
      </c>
      <c r="D1073" s="20" t="s">
        <v>6231</v>
      </c>
      <c r="E1073" s="20" t="s">
        <v>6232</v>
      </c>
      <c r="F1073" s="20" t="s">
        <v>6233</v>
      </c>
      <c r="G1073" s="20">
        <v>2016</v>
      </c>
      <c r="H1073" s="20">
        <v>10</v>
      </c>
      <c r="I1073" s="20">
        <v>9198</v>
      </c>
      <c r="J1073" s="36">
        <v>29355</v>
      </c>
      <c r="K1073" s="20" t="s">
        <v>522</v>
      </c>
      <c r="L1073" s="20" t="s">
        <v>1974</v>
      </c>
      <c r="P1073" s="347">
        <v>758</v>
      </c>
      <c r="Q1073" s="348">
        <f>P1073*100%/(1000)</f>
        <v>0.75800000000000001</v>
      </c>
      <c r="R1073" s="183"/>
      <c r="S1073" s="129"/>
    </row>
    <row r="1074" spans="1:20" ht="14.25" hidden="1" customHeight="1" x14ac:dyDescent="0.25">
      <c r="A1074" s="61" t="s">
        <v>5701</v>
      </c>
      <c r="B1074" s="61" t="s">
        <v>34</v>
      </c>
      <c r="C1074" s="61" t="s">
        <v>4384</v>
      </c>
      <c r="D1074" s="61" t="s">
        <v>4039</v>
      </c>
      <c r="E1074" s="61" t="s">
        <v>4040</v>
      </c>
      <c r="F1074" s="61" t="s">
        <v>4041</v>
      </c>
      <c r="G1074" s="61">
        <v>2015</v>
      </c>
      <c r="H1074" s="61">
        <v>244</v>
      </c>
      <c r="I1074" s="61">
        <v>9198</v>
      </c>
      <c r="J1074" s="62">
        <v>29355</v>
      </c>
      <c r="K1074" s="61" t="s">
        <v>522</v>
      </c>
      <c r="L1074" s="61" t="s">
        <v>1974</v>
      </c>
      <c r="P1074" s="347"/>
      <c r="Q1074" s="347"/>
      <c r="R1074" s="183"/>
      <c r="S1074" s="129"/>
    </row>
    <row r="1075" spans="1:20" ht="14.25" hidden="1" customHeight="1" x14ac:dyDescent="0.25">
      <c r="A1075" s="142" t="s">
        <v>5701</v>
      </c>
      <c r="B1075" s="142" t="s">
        <v>249</v>
      </c>
      <c r="C1075" s="142" t="s">
        <v>4385</v>
      </c>
      <c r="D1075" s="142" t="s">
        <v>4042</v>
      </c>
      <c r="E1075" s="142" t="s">
        <v>4043</v>
      </c>
      <c r="F1075" s="142" t="s">
        <v>4044</v>
      </c>
      <c r="G1075" s="142">
        <v>2014</v>
      </c>
      <c r="H1075" s="142">
        <v>2</v>
      </c>
      <c r="I1075" s="142">
        <v>9198</v>
      </c>
      <c r="J1075" s="37">
        <v>29355</v>
      </c>
      <c r="K1075" s="142" t="s">
        <v>522</v>
      </c>
      <c r="L1075" s="142" t="s">
        <v>1974</v>
      </c>
      <c r="P1075" s="347"/>
      <c r="Q1075" s="347"/>
      <c r="R1075" s="183"/>
      <c r="S1075" s="129"/>
    </row>
    <row r="1076" spans="1:20" ht="14.25" hidden="1" customHeight="1" x14ac:dyDescent="0.25">
      <c r="A1076" s="57" t="s">
        <v>5701</v>
      </c>
      <c r="B1076" s="57" t="s">
        <v>11</v>
      </c>
      <c r="C1076" s="57" t="s">
        <v>6460</v>
      </c>
      <c r="D1076" s="57" t="s">
        <v>6326</v>
      </c>
      <c r="E1076" s="57" t="s">
        <v>6325</v>
      </c>
      <c r="F1076" s="57" t="s">
        <v>6327</v>
      </c>
      <c r="G1076" s="57">
        <v>2017</v>
      </c>
      <c r="H1076" s="57">
        <v>502</v>
      </c>
      <c r="I1076" s="57">
        <v>9198</v>
      </c>
      <c r="J1076" s="57">
        <v>29355</v>
      </c>
      <c r="K1076" s="57" t="s">
        <v>522</v>
      </c>
      <c r="L1076" s="57" t="s">
        <v>1974</v>
      </c>
      <c r="P1076" s="347"/>
      <c r="Q1076" s="347"/>
      <c r="R1076" s="183"/>
      <c r="S1076" s="129"/>
    </row>
    <row r="1077" spans="1:20" ht="14.25" hidden="1" customHeight="1" x14ac:dyDescent="0.25">
      <c r="A1077" s="46" t="s">
        <v>5702</v>
      </c>
      <c r="B1077" s="46" t="s">
        <v>1014</v>
      </c>
      <c r="C1077" s="46" t="s">
        <v>2482</v>
      </c>
      <c r="D1077" s="46" t="s">
        <v>2471</v>
      </c>
      <c r="E1077" s="46" t="s">
        <v>2472</v>
      </c>
      <c r="F1077" s="46" t="s">
        <v>2473</v>
      </c>
      <c r="G1077" s="46">
        <v>617</v>
      </c>
      <c r="H1077" s="46">
        <v>50</v>
      </c>
      <c r="I1077" s="46">
        <v>9198</v>
      </c>
      <c r="J1077" s="47">
        <v>29355</v>
      </c>
      <c r="K1077" s="46" t="s">
        <v>428</v>
      </c>
      <c r="L1077" s="46" t="s">
        <v>1974</v>
      </c>
      <c r="P1077" s="347">
        <v>100</v>
      </c>
      <c r="Q1077" s="348">
        <f>P1077*100%/(1000)</f>
        <v>0.1</v>
      </c>
      <c r="S1077" s="129"/>
    </row>
    <row r="1078" spans="1:20" ht="14.25" hidden="1" customHeight="1" x14ac:dyDescent="0.25">
      <c r="A1078" s="165" t="s">
        <v>5702</v>
      </c>
      <c r="B1078" s="165" t="s">
        <v>3825</v>
      </c>
      <c r="C1078" s="165" t="s">
        <v>4118</v>
      </c>
      <c r="D1078" s="165" t="s">
        <v>3869</v>
      </c>
      <c r="E1078" s="165" t="s">
        <v>3870</v>
      </c>
      <c r="F1078" s="165" t="s">
        <v>3871</v>
      </c>
      <c r="G1078" s="165">
        <v>1735</v>
      </c>
      <c r="H1078" s="165">
        <v>50</v>
      </c>
      <c r="I1078" s="165">
        <v>9198</v>
      </c>
      <c r="J1078" s="166">
        <v>29355</v>
      </c>
      <c r="K1078" s="165" t="s">
        <v>428</v>
      </c>
      <c r="L1078" s="165" t="s">
        <v>1974</v>
      </c>
      <c r="P1078" s="347"/>
      <c r="Q1078" s="347"/>
      <c r="S1078" s="129"/>
    </row>
    <row r="1079" spans="1:20" ht="14.25" hidden="1" customHeight="1" x14ac:dyDescent="0.25">
      <c r="A1079" s="20" t="s">
        <v>5703</v>
      </c>
      <c r="B1079" s="20" t="s">
        <v>597</v>
      </c>
      <c r="C1079" s="20" t="s">
        <v>6570</v>
      </c>
      <c r="D1079" s="20" t="s">
        <v>6494</v>
      </c>
      <c r="E1079" s="20" t="s">
        <v>6495</v>
      </c>
      <c r="F1079" s="20" t="s">
        <v>6496</v>
      </c>
      <c r="G1079" s="20">
        <v>1913</v>
      </c>
      <c r="H1079" s="20">
        <v>4</v>
      </c>
      <c r="I1079" s="20">
        <v>9198</v>
      </c>
      <c r="J1079" s="36">
        <v>29355</v>
      </c>
      <c r="K1079" s="20" t="s">
        <v>433</v>
      </c>
      <c r="L1079" s="20" t="s">
        <v>1974</v>
      </c>
      <c r="P1079" s="347">
        <v>181</v>
      </c>
      <c r="Q1079" s="348">
        <f>P1079*100%/(1000)</f>
        <v>0.18099999999999999</v>
      </c>
      <c r="S1079" s="129"/>
    </row>
    <row r="1080" spans="1:20" ht="14.25" hidden="1" customHeight="1" x14ac:dyDescent="0.25">
      <c r="A1080" s="61" t="s">
        <v>5703</v>
      </c>
      <c r="B1080" s="61" t="s">
        <v>34</v>
      </c>
      <c r="C1080" s="61" t="s">
        <v>3417</v>
      </c>
      <c r="D1080" s="61" t="s">
        <v>3269</v>
      </c>
      <c r="E1080" s="61" t="s">
        <v>3270</v>
      </c>
      <c r="F1080" s="61" t="s">
        <v>3271</v>
      </c>
      <c r="G1080" s="61">
        <v>2470</v>
      </c>
      <c r="H1080" s="61">
        <v>88</v>
      </c>
      <c r="I1080" s="61">
        <v>9198</v>
      </c>
      <c r="J1080" s="62">
        <v>29355</v>
      </c>
      <c r="K1080" s="61" t="s">
        <v>433</v>
      </c>
      <c r="L1080" s="61" t="s">
        <v>1974</v>
      </c>
      <c r="P1080" s="347"/>
      <c r="Q1080" s="347"/>
      <c r="S1080" s="129"/>
    </row>
    <row r="1081" spans="1:20" ht="14.25" hidden="1" customHeight="1" x14ac:dyDescent="0.25">
      <c r="A1081" s="57" t="s">
        <v>5703</v>
      </c>
      <c r="B1081" s="57" t="s">
        <v>11</v>
      </c>
      <c r="C1081" s="57" t="s">
        <v>6264</v>
      </c>
      <c r="D1081" s="57" t="s">
        <v>6281</v>
      </c>
      <c r="E1081" s="57" t="s">
        <v>6282</v>
      </c>
      <c r="F1081" s="57" t="s">
        <v>6283</v>
      </c>
      <c r="G1081" s="57">
        <v>2570</v>
      </c>
      <c r="H1081" s="57">
        <v>88</v>
      </c>
      <c r="I1081" s="57">
        <v>9198</v>
      </c>
      <c r="J1081" s="58">
        <v>29355</v>
      </c>
      <c r="K1081" s="57" t="s">
        <v>433</v>
      </c>
      <c r="L1081" s="57" t="s">
        <v>1974</v>
      </c>
      <c r="P1081" s="347"/>
      <c r="Q1081" s="347"/>
      <c r="S1081" s="129"/>
    </row>
    <row r="1082" spans="1:20" ht="14.25" hidden="1" customHeight="1" x14ac:dyDescent="0.25">
      <c r="A1082" s="9" t="s">
        <v>5703</v>
      </c>
      <c r="B1082" s="9" t="s">
        <v>249</v>
      </c>
      <c r="C1082" s="9" t="s">
        <v>3418</v>
      </c>
      <c r="D1082" s="9" t="s">
        <v>3272</v>
      </c>
      <c r="E1082" s="9" t="s">
        <v>3273</v>
      </c>
      <c r="F1082" s="9" t="s">
        <v>3274</v>
      </c>
      <c r="G1082" s="9">
        <v>2472</v>
      </c>
      <c r="H1082" s="9">
        <v>1</v>
      </c>
      <c r="I1082" s="9">
        <v>9198</v>
      </c>
      <c r="J1082" s="37">
        <v>29355</v>
      </c>
      <c r="K1082" s="9" t="s">
        <v>433</v>
      </c>
      <c r="L1082" s="9" t="s">
        <v>1974</v>
      </c>
      <c r="P1082" s="347"/>
      <c r="Q1082" s="347"/>
      <c r="S1082" s="129"/>
    </row>
    <row r="1083" spans="1:20" ht="14.25" hidden="1" customHeight="1" x14ac:dyDescent="0.25">
      <c r="A1083" s="20" t="s">
        <v>5704</v>
      </c>
      <c r="B1083" s="20" t="s">
        <v>597</v>
      </c>
      <c r="C1083" s="20" t="s">
        <v>862</v>
      </c>
      <c r="D1083" s="20" t="s">
        <v>618</v>
      </c>
      <c r="E1083" s="20" t="s">
        <v>619</v>
      </c>
      <c r="F1083" s="20" t="s">
        <v>614</v>
      </c>
      <c r="G1083" s="20">
        <v>2326</v>
      </c>
      <c r="H1083" s="20">
        <v>20</v>
      </c>
      <c r="I1083" s="20">
        <v>9198</v>
      </c>
      <c r="J1083" s="36">
        <v>65008</v>
      </c>
      <c r="K1083" s="20" t="s">
        <v>434</v>
      </c>
      <c r="L1083" s="20" t="s">
        <v>1974</v>
      </c>
      <c r="P1083" s="347">
        <v>754</v>
      </c>
      <c r="Q1083" s="348">
        <f>P1083*100%/(1000)</f>
        <v>0.754</v>
      </c>
      <c r="R1083" s="146" t="s">
        <v>2924</v>
      </c>
      <c r="S1083" s="129" t="s">
        <v>2909</v>
      </c>
    </row>
    <row r="1084" spans="1:20" ht="14.25" hidden="1" customHeight="1" x14ac:dyDescent="0.25">
      <c r="A1084" s="57" t="s">
        <v>5704</v>
      </c>
      <c r="B1084" s="57" t="s">
        <v>11</v>
      </c>
      <c r="C1084" s="57" t="s">
        <v>2264</v>
      </c>
      <c r="D1084" s="57" t="s">
        <v>2237</v>
      </c>
      <c r="E1084" s="57" t="s">
        <v>2238</v>
      </c>
      <c r="F1084" s="57" t="s">
        <v>2239</v>
      </c>
      <c r="G1084" s="57">
        <v>3041</v>
      </c>
      <c r="H1084" s="57">
        <v>255</v>
      </c>
      <c r="I1084" s="57">
        <v>9198</v>
      </c>
      <c r="J1084" s="58">
        <v>65008</v>
      </c>
      <c r="K1084" s="57" t="s">
        <v>574</v>
      </c>
      <c r="L1084" s="57" t="s">
        <v>1974</v>
      </c>
      <c r="P1084" s="347"/>
      <c r="Q1084" s="347"/>
      <c r="R1084" s="146" t="s">
        <v>3693</v>
      </c>
      <c r="S1084" s="198" t="s">
        <v>6062</v>
      </c>
      <c r="T1084" s="262" t="s">
        <v>6221</v>
      </c>
    </row>
    <row r="1085" spans="1:20" ht="14.25" hidden="1" customHeight="1" x14ac:dyDescent="0.25">
      <c r="A1085" s="61" t="s">
        <v>5704</v>
      </c>
      <c r="B1085" s="61" t="s">
        <v>34</v>
      </c>
      <c r="C1085" s="61" t="s">
        <v>861</v>
      </c>
      <c r="D1085" s="61" t="s">
        <v>616</v>
      </c>
      <c r="E1085" s="61" t="s">
        <v>617</v>
      </c>
      <c r="F1085" s="61" t="s">
        <v>615</v>
      </c>
      <c r="G1085" s="61">
        <v>805</v>
      </c>
      <c r="H1085" s="61">
        <v>479</v>
      </c>
      <c r="I1085" s="61">
        <v>9198</v>
      </c>
      <c r="J1085" s="62">
        <v>65008</v>
      </c>
      <c r="K1085" s="61" t="s">
        <v>434</v>
      </c>
      <c r="L1085" s="61" t="s">
        <v>1974</v>
      </c>
      <c r="P1085" s="347"/>
      <c r="Q1085" s="347"/>
      <c r="R1085" s="146" t="s">
        <v>4105</v>
      </c>
      <c r="S1085" s="129"/>
    </row>
    <row r="1086" spans="1:20" ht="14.25" hidden="1" customHeight="1" x14ac:dyDescent="0.25">
      <c r="A1086" s="20" t="s">
        <v>5705</v>
      </c>
      <c r="B1086" s="20" t="s">
        <v>597</v>
      </c>
      <c r="C1086" s="20" t="s">
        <v>1241</v>
      </c>
      <c r="D1086" s="20" t="s">
        <v>1197</v>
      </c>
      <c r="E1086" s="20" t="s">
        <v>1198</v>
      </c>
      <c r="F1086" s="20" t="s">
        <v>1199</v>
      </c>
      <c r="G1086" s="20">
        <v>2126</v>
      </c>
      <c r="H1086" s="20">
        <v>7</v>
      </c>
      <c r="I1086" s="20">
        <v>9198</v>
      </c>
      <c r="J1086" s="36">
        <v>29355</v>
      </c>
      <c r="K1086" s="20" t="s">
        <v>432</v>
      </c>
      <c r="L1086" s="20" t="s">
        <v>1974</v>
      </c>
      <c r="P1086" s="347">
        <v>167</v>
      </c>
      <c r="Q1086" s="348">
        <f>P1086*100%/(1000)</f>
        <v>0.16700000000000001</v>
      </c>
      <c r="S1086" s="129"/>
    </row>
    <row r="1087" spans="1:20" ht="14.25" hidden="1" customHeight="1" x14ac:dyDescent="0.25">
      <c r="A1087" s="61" t="s">
        <v>5705</v>
      </c>
      <c r="B1087" s="61" t="s">
        <v>34</v>
      </c>
      <c r="C1087" s="61" t="s">
        <v>1242</v>
      </c>
      <c r="D1087" s="61" t="s">
        <v>1200</v>
      </c>
      <c r="E1087" s="61" t="s">
        <v>1201</v>
      </c>
      <c r="F1087" s="61" t="s">
        <v>1202</v>
      </c>
      <c r="G1087" s="61">
        <v>2127</v>
      </c>
      <c r="H1087" s="61">
        <v>160</v>
      </c>
      <c r="I1087" s="61">
        <v>9198</v>
      </c>
      <c r="J1087" s="62">
        <v>29355</v>
      </c>
      <c r="K1087" s="61" t="s">
        <v>432</v>
      </c>
      <c r="L1087" s="61" t="s">
        <v>1974</v>
      </c>
      <c r="P1087" s="347"/>
      <c r="Q1087" s="347"/>
      <c r="S1087" s="129"/>
    </row>
    <row r="1088" spans="1:20" ht="14.25" hidden="1" customHeight="1" x14ac:dyDescent="0.25">
      <c r="A1088" s="317" t="s">
        <v>7535</v>
      </c>
      <c r="B1088" s="317" t="s">
        <v>34</v>
      </c>
      <c r="C1088" s="317" t="s">
        <v>1507</v>
      </c>
      <c r="D1088" s="317"/>
      <c r="E1088" s="317"/>
      <c r="F1088" s="317"/>
      <c r="G1088" s="317">
        <v>2476</v>
      </c>
      <c r="H1088" s="317">
        <v>50</v>
      </c>
      <c r="I1088" s="317" t="s">
        <v>1454</v>
      </c>
      <c r="J1088" s="62" t="s">
        <v>1454</v>
      </c>
      <c r="K1088" s="317" t="s">
        <v>440</v>
      </c>
      <c r="L1088" s="317" t="s">
        <v>1972</v>
      </c>
      <c r="P1088" s="329"/>
      <c r="Q1088" s="329"/>
      <c r="S1088" s="129"/>
    </row>
    <row r="1089" spans="1:19" ht="14.25" hidden="1" customHeight="1" x14ac:dyDescent="0.25">
      <c r="A1089" s="20" t="s">
        <v>7535</v>
      </c>
      <c r="B1089" s="20" t="s">
        <v>597</v>
      </c>
      <c r="C1089" s="20" t="s">
        <v>1507</v>
      </c>
      <c r="D1089" s="20"/>
      <c r="E1089" s="20"/>
      <c r="F1089" s="20"/>
      <c r="G1089" s="20">
        <v>2477</v>
      </c>
      <c r="H1089" s="20">
        <v>2</v>
      </c>
      <c r="I1089" s="20" t="s">
        <v>1454</v>
      </c>
      <c r="J1089" s="20" t="s">
        <v>1454</v>
      </c>
      <c r="K1089" s="20" t="s">
        <v>440</v>
      </c>
      <c r="L1089" s="20" t="s">
        <v>1972</v>
      </c>
      <c r="P1089" s="329"/>
      <c r="Q1089" s="329"/>
      <c r="S1089" s="129"/>
    </row>
    <row r="1090" spans="1:19" ht="14.25" hidden="1" customHeight="1" x14ac:dyDescent="0.25">
      <c r="A1090" s="154" t="s">
        <v>7535</v>
      </c>
      <c r="B1090" s="154" t="s">
        <v>3781</v>
      </c>
      <c r="C1090" s="154" t="s">
        <v>1507</v>
      </c>
      <c r="D1090" s="154"/>
      <c r="E1090" s="154"/>
      <c r="F1090" s="154"/>
      <c r="G1090" s="154">
        <v>2478</v>
      </c>
      <c r="H1090" s="154">
        <v>1</v>
      </c>
      <c r="I1090" s="154" t="s">
        <v>1454</v>
      </c>
      <c r="J1090" s="154" t="s">
        <v>1454</v>
      </c>
      <c r="K1090" s="154" t="s">
        <v>7537</v>
      </c>
      <c r="L1090" s="154" t="s">
        <v>1972</v>
      </c>
      <c r="P1090" s="329"/>
      <c r="Q1090" s="329"/>
      <c r="S1090" s="129"/>
    </row>
    <row r="1091" spans="1:19" ht="13.95" hidden="1" customHeight="1" x14ac:dyDescent="0.25">
      <c r="A1091" s="20" t="s">
        <v>5706</v>
      </c>
      <c r="B1091" s="20" t="s">
        <v>597</v>
      </c>
      <c r="C1091" s="20" t="s">
        <v>1507</v>
      </c>
      <c r="D1091" s="20" t="s">
        <v>4574</v>
      </c>
      <c r="E1091" s="20" t="s">
        <v>4575</v>
      </c>
      <c r="F1091" s="20" t="s">
        <v>4576</v>
      </c>
      <c r="G1091" s="20"/>
      <c r="H1091" s="20">
        <v>4</v>
      </c>
      <c r="I1091" s="20"/>
      <c r="J1091" s="36">
        <v>29355</v>
      </c>
      <c r="K1091" s="20" t="s">
        <v>1417</v>
      </c>
      <c r="L1091" s="20" t="s">
        <v>1974</v>
      </c>
      <c r="P1091" s="347">
        <v>5</v>
      </c>
      <c r="Q1091" s="348">
        <f>P1091*100%/(1000)</f>
        <v>5.0000000000000001E-3</v>
      </c>
      <c r="S1091" s="129"/>
    </row>
    <row r="1092" spans="1:19" ht="14.25" hidden="1" customHeight="1" x14ac:dyDescent="0.25">
      <c r="A1092" s="9" t="s">
        <v>5706</v>
      </c>
      <c r="B1092" s="9" t="s">
        <v>249</v>
      </c>
      <c r="C1092" s="9" t="s">
        <v>1507</v>
      </c>
      <c r="D1092" s="9" t="s">
        <v>4577</v>
      </c>
      <c r="E1092" s="9" t="s">
        <v>4578</v>
      </c>
      <c r="F1092" s="9" t="s">
        <v>4579</v>
      </c>
      <c r="G1092" s="9"/>
      <c r="H1092" s="9">
        <v>1</v>
      </c>
      <c r="I1092" s="9"/>
      <c r="J1092" s="37">
        <v>29355</v>
      </c>
      <c r="K1092" s="9" t="s">
        <v>1417</v>
      </c>
      <c r="L1092" s="9" t="s">
        <v>1974</v>
      </c>
      <c r="P1092" s="347"/>
      <c r="Q1092" s="347"/>
      <c r="R1092" s="183"/>
      <c r="S1092" s="260"/>
    </row>
    <row r="1093" spans="1:19" ht="14.25" hidden="1" customHeight="1" x14ac:dyDescent="0.3">
      <c r="A1093" s="20" t="s">
        <v>6791</v>
      </c>
      <c r="B1093" s="20" t="s">
        <v>597</v>
      </c>
      <c r="C1093" s="20" t="s">
        <v>1507</v>
      </c>
      <c r="D1093" s="20"/>
      <c r="E1093" s="20"/>
      <c r="F1093" s="20" t="s">
        <v>6792</v>
      </c>
      <c r="G1093" s="20">
        <v>2399</v>
      </c>
      <c r="H1093" s="20">
        <v>4</v>
      </c>
      <c r="I1093" s="20" t="s">
        <v>1454</v>
      </c>
      <c r="J1093" s="20" t="s">
        <v>1454</v>
      </c>
      <c r="K1093" s="20" t="s">
        <v>1417</v>
      </c>
      <c r="L1093" s="20" t="s">
        <v>1972</v>
      </c>
      <c r="P1093">
        <v>4</v>
      </c>
      <c r="Q1093" s="303">
        <f>P1093*100%/(1000)</f>
        <v>4.0000000000000001E-3</v>
      </c>
      <c r="R1093" s="183"/>
      <c r="S1093" s="260"/>
    </row>
    <row r="1094" spans="1:19" ht="14.25" hidden="1" customHeight="1" x14ac:dyDescent="0.3">
      <c r="A1094" s="61" t="s">
        <v>6791</v>
      </c>
      <c r="B1094" s="61" t="s">
        <v>34</v>
      </c>
      <c r="C1094" s="61" t="s">
        <v>1507</v>
      </c>
      <c r="D1094" s="61"/>
      <c r="E1094" s="61"/>
      <c r="F1094" s="61"/>
      <c r="G1094" s="61">
        <v>2451</v>
      </c>
      <c r="H1094" s="61">
        <v>50</v>
      </c>
      <c r="I1094" s="61" t="s">
        <v>1454</v>
      </c>
      <c r="J1094" s="61" t="s">
        <v>1454</v>
      </c>
      <c r="K1094" s="61" t="s">
        <v>1417</v>
      </c>
      <c r="L1094" s="61" t="s">
        <v>1972</v>
      </c>
      <c r="Q1094" s="303"/>
      <c r="R1094" s="183"/>
      <c r="S1094" s="260"/>
    </row>
    <row r="1095" spans="1:19" ht="14.25" hidden="1" customHeight="1" x14ac:dyDescent="0.3">
      <c r="A1095" s="57" t="s">
        <v>6791</v>
      </c>
      <c r="B1095" s="57" t="s">
        <v>11</v>
      </c>
      <c r="C1095" s="57" t="s">
        <v>1507</v>
      </c>
      <c r="D1095" s="57"/>
      <c r="E1095" s="57"/>
      <c r="F1095" s="57"/>
      <c r="G1095" s="57">
        <v>2452</v>
      </c>
      <c r="H1095" s="57">
        <v>100</v>
      </c>
      <c r="I1095" s="57" t="s">
        <v>1454</v>
      </c>
      <c r="J1095" s="57" t="s">
        <v>1454</v>
      </c>
      <c r="K1095" s="57" t="s">
        <v>1417</v>
      </c>
      <c r="L1095" s="57" t="s">
        <v>1972</v>
      </c>
      <c r="Q1095" s="303"/>
      <c r="R1095" s="183"/>
      <c r="S1095" s="260"/>
    </row>
    <row r="1096" spans="1:19" ht="14.25" hidden="1" customHeight="1" x14ac:dyDescent="0.3">
      <c r="A1096" s="9" t="s">
        <v>6791</v>
      </c>
      <c r="B1096" s="9" t="s">
        <v>6092</v>
      </c>
      <c r="C1096" s="9" t="s">
        <v>1507</v>
      </c>
      <c r="D1096" s="9"/>
      <c r="E1096" s="9"/>
      <c r="F1096" s="9"/>
      <c r="G1096" s="9">
        <v>2453</v>
      </c>
      <c r="H1096" s="9">
        <v>1</v>
      </c>
      <c r="I1096" s="9" t="s">
        <v>1454</v>
      </c>
      <c r="J1096" s="9" t="s">
        <v>1454</v>
      </c>
      <c r="K1096" s="9" t="s">
        <v>1417</v>
      </c>
      <c r="L1096" s="9" t="s">
        <v>1972</v>
      </c>
      <c r="Q1096" s="303"/>
      <c r="R1096" s="183"/>
      <c r="S1096" s="260"/>
    </row>
    <row r="1097" spans="1:19" ht="14.25" hidden="1" customHeight="1" x14ac:dyDescent="0.3">
      <c r="A1097" s="325" t="s">
        <v>6791</v>
      </c>
      <c r="B1097" s="325" t="s">
        <v>249</v>
      </c>
      <c r="C1097" s="9" t="s">
        <v>1507</v>
      </c>
      <c r="D1097" s="325"/>
      <c r="E1097" s="325"/>
      <c r="F1097" s="325"/>
      <c r="G1097" s="325">
        <v>2487</v>
      </c>
      <c r="H1097" s="325">
        <v>1</v>
      </c>
      <c r="I1097" s="9" t="s">
        <v>1454</v>
      </c>
      <c r="J1097" s="9" t="s">
        <v>1454</v>
      </c>
      <c r="K1097" s="9" t="s">
        <v>1417</v>
      </c>
      <c r="L1097" s="9" t="s">
        <v>1972</v>
      </c>
      <c r="Q1097" s="303"/>
      <c r="R1097" s="183"/>
      <c r="S1097" s="260"/>
    </row>
    <row r="1098" spans="1:19" ht="14.25" hidden="1" customHeight="1" x14ac:dyDescent="0.25">
      <c r="A1098" s="20" t="s">
        <v>5707</v>
      </c>
      <c r="B1098" s="20" t="s">
        <v>597</v>
      </c>
      <c r="C1098" s="20" t="s">
        <v>4524</v>
      </c>
      <c r="D1098" s="20" t="s">
        <v>4441</v>
      </c>
      <c r="E1098" s="20" t="s">
        <v>4442</v>
      </c>
      <c r="F1098" s="20" t="s">
        <v>4443</v>
      </c>
      <c r="G1098" s="20">
        <v>2258</v>
      </c>
      <c r="H1098" s="20">
        <v>2</v>
      </c>
      <c r="I1098" s="20">
        <v>64724</v>
      </c>
      <c r="J1098" s="36">
        <v>65233</v>
      </c>
      <c r="K1098" s="20" t="s">
        <v>431</v>
      </c>
      <c r="L1098" s="20" t="s">
        <v>1974</v>
      </c>
      <c r="P1098" s="347">
        <v>303</v>
      </c>
      <c r="Q1098" s="348">
        <f>P1098*100%/(1000)</f>
        <v>0.30299999999999999</v>
      </c>
      <c r="S1098" s="129"/>
    </row>
    <row r="1099" spans="1:19" ht="14.25" hidden="1" customHeight="1" x14ac:dyDescent="0.25">
      <c r="A1099" s="61" t="s">
        <v>5707</v>
      </c>
      <c r="B1099" s="61" t="s">
        <v>34</v>
      </c>
      <c r="C1099" s="61" t="s">
        <v>863</v>
      </c>
      <c r="D1099" s="61" t="s">
        <v>302</v>
      </c>
      <c r="E1099" s="61" t="s">
        <v>298</v>
      </c>
      <c r="F1099" s="61" t="s">
        <v>303</v>
      </c>
      <c r="G1099" s="61">
        <v>239</v>
      </c>
      <c r="H1099" s="61">
        <v>300</v>
      </c>
      <c r="I1099" s="61">
        <v>64724</v>
      </c>
      <c r="J1099" s="62">
        <v>65233</v>
      </c>
      <c r="K1099" s="61" t="s">
        <v>431</v>
      </c>
      <c r="L1099" s="61" t="s">
        <v>1974</v>
      </c>
      <c r="P1099" s="347"/>
      <c r="Q1099" s="347"/>
      <c r="R1099" s="183"/>
      <c r="S1099" s="129"/>
    </row>
    <row r="1100" spans="1:19" ht="14.25" hidden="1" customHeight="1" x14ac:dyDescent="0.25">
      <c r="A1100" s="9" t="s">
        <v>5707</v>
      </c>
      <c r="B1100" s="9" t="s">
        <v>249</v>
      </c>
      <c r="C1100" s="9" t="s">
        <v>864</v>
      </c>
      <c r="D1100" s="9" t="s">
        <v>301</v>
      </c>
      <c r="E1100" s="9" t="s">
        <v>299</v>
      </c>
      <c r="F1100" s="9" t="s">
        <v>300</v>
      </c>
      <c r="G1100" s="9">
        <v>240</v>
      </c>
      <c r="H1100" s="9">
        <v>1</v>
      </c>
      <c r="I1100" s="9">
        <v>64724</v>
      </c>
      <c r="J1100" s="37">
        <v>65233</v>
      </c>
      <c r="K1100" s="9" t="s">
        <v>431</v>
      </c>
      <c r="L1100" s="9" t="s">
        <v>1974</v>
      </c>
      <c r="P1100" s="347"/>
      <c r="Q1100" s="347"/>
      <c r="R1100" s="183"/>
      <c r="S1100" s="129"/>
    </row>
    <row r="1101" spans="1:19" ht="14.25" hidden="1" customHeight="1" x14ac:dyDescent="0.25">
      <c r="A1101" s="20" t="s">
        <v>5708</v>
      </c>
      <c r="B1101" s="20" t="s">
        <v>597</v>
      </c>
      <c r="C1101" s="20" t="s">
        <v>1604</v>
      </c>
      <c r="D1101" s="20" t="s">
        <v>1472</v>
      </c>
      <c r="E1101" s="20" t="s">
        <v>1473</v>
      </c>
      <c r="F1101" s="20" t="s">
        <v>1474</v>
      </c>
      <c r="G1101" s="20">
        <v>3839</v>
      </c>
      <c r="H1101" s="20">
        <v>12</v>
      </c>
      <c r="I1101" s="20">
        <v>9198</v>
      </c>
      <c r="J1101" s="36">
        <v>29355</v>
      </c>
      <c r="K1101" s="20" t="s">
        <v>1417</v>
      </c>
      <c r="L1101" s="20" t="s">
        <v>1971</v>
      </c>
      <c r="P1101" s="347">
        <v>302</v>
      </c>
      <c r="Q1101" s="348">
        <f>P1101*100%*10/(1000)</f>
        <v>3.02</v>
      </c>
      <c r="R1101" s="146" t="s">
        <v>2924</v>
      </c>
      <c r="S1101" s="129" t="s">
        <v>2908</v>
      </c>
    </row>
    <row r="1102" spans="1:19" ht="14.25" hidden="1" customHeight="1" x14ac:dyDescent="0.25">
      <c r="A1102" s="61" t="s">
        <v>5708</v>
      </c>
      <c r="B1102" s="61" t="s">
        <v>34</v>
      </c>
      <c r="C1102" s="61" t="s">
        <v>1424</v>
      </c>
      <c r="D1102" s="61" t="s">
        <v>1320</v>
      </c>
      <c r="E1102" s="61" t="s">
        <v>1321</v>
      </c>
      <c r="F1102" s="61" t="s">
        <v>1322</v>
      </c>
      <c r="G1102" s="61">
        <v>3838</v>
      </c>
      <c r="H1102" s="61">
        <v>90</v>
      </c>
      <c r="I1102" s="61">
        <v>9198</v>
      </c>
      <c r="J1102" s="62">
        <v>29355</v>
      </c>
      <c r="K1102" s="61" t="s">
        <v>1417</v>
      </c>
      <c r="L1102" s="61" t="s">
        <v>1971</v>
      </c>
      <c r="P1102" s="347"/>
      <c r="Q1102" s="347"/>
      <c r="R1102" s="198" t="s">
        <v>6062</v>
      </c>
      <c r="S1102" s="129"/>
    </row>
    <row r="1103" spans="1:19" ht="14.25" hidden="1" customHeight="1" x14ac:dyDescent="0.25">
      <c r="A1103" s="57" t="s">
        <v>5708</v>
      </c>
      <c r="B1103" s="57" t="s">
        <v>11</v>
      </c>
      <c r="C1103" s="57" t="s">
        <v>7329</v>
      </c>
      <c r="D1103" s="57" t="s">
        <v>7073</v>
      </c>
      <c r="E1103" s="57" t="s">
        <v>7074</v>
      </c>
      <c r="F1103" s="57" t="s">
        <v>7075</v>
      </c>
      <c r="G1103" s="57">
        <v>1221</v>
      </c>
      <c r="H1103" s="57">
        <v>200</v>
      </c>
      <c r="I1103" s="57">
        <v>9198</v>
      </c>
      <c r="J1103" s="58">
        <v>29355</v>
      </c>
      <c r="K1103" s="57" t="s">
        <v>1417</v>
      </c>
      <c r="L1103" s="57" t="s">
        <v>1971</v>
      </c>
      <c r="P1103" s="347"/>
      <c r="Q1103" s="347"/>
      <c r="R1103" s="183"/>
      <c r="S1103" s="129"/>
    </row>
    <row r="1104" spans="1:19" ht="14.25" hidden="1" customHeight="1" x14ac:dyDescent="0.25">
      <c r="A1104" s="20" t="s">
        <v>7563</v>
      </c>
      <c r="B1104" s="20" t="s">
        <v>597</v>
      </c>
      <c r="C1104" s="20"/>
      <c r="D1104" s="20" t="s">
        <v>3645</v>
      </c>
      <c r="E1104" s="20" t="s">
        <v>3646</v>
      </c>
      <c r="F1104" s="20" t="s">
        <v>3647</v>
      </c>
      <c r="G1104" s="20">
        <v>2005</v>
      </c>
      <c r="H1104" s="20">
        <v>4</v>
      </c>
      <c r="I1104" s="20">
        <v>9198</v>
      </c>
      <c r="J1104" s="36">
        <v>29355</v>
      </c>
      <c r="K1104" s="20" t="s">
        <v>1417</v>
      </c>
      <c r="L1104" s="20" t="s">
        <v>1974</v>
      </c>
      <c r="P1104" s="347">
        <v>45</v>
      </c>
      <c r="Q1104" s="348">
        <f>P1104*100%/(1000)</f>
        <v>4.4999999999999998E-2</v>
      </c>
      <c r="S1104" s="129"/>
    </row>
    <row r="1105" spans="1:19" ht="14.25" hidden="1" customHeight="1" x14ac:dyDescent="0.25">
      <c r="A1105" s="61" t="s">
        <v>7563</v>
      </c>
      <c r="B1105" s="61" t="s">
        <v>34</v>
      </c>
      <c r="C1105" s="61"/>
      <c r="D1105" s="61" t="s">
        <v>3648</v>
      </c>
      <c r="E1105" s="61" t="s">
        <v>3649</v>
      </c>
      <c r="F1105" s="61" t="s">
        <v>3650</v>
      </c>
      <c r="G1105" s="61">
        <v>2007</v>
      </c>
      <c r="H1105" s="61">
        <v>40</v>
      </c>
      <c r="I1105" s="61">
        <v>9198</v>
      </c>
      <c r="J1105" s="62">
        <v>29355</v>
      </c>
      <c r="K1105" s="61" t="s">
        <v>1417</v>
      </c>
      <c r="L1105" s="61" t="s">
        <v>1974</v>
      </c>
      <c r="P1105" s="347"/>
      <c r="Q1105" s="347"/>
      <c r="S1105" s="129"/>
    </row>
    <row r="1106" spans="1:19" ht="14.25" hidden="1" customHeight="1" x14ac:dyDescent="0.25">
      <c r="A1106" s="9" t="s">
        <v>7563</v>
      </c>
      <c r="B1106" s="9" t="s">
        <v>249</v>
      </c>
      <c r="C1106" s="9"/>
      <c r="D1106" s="9" t="s">
        <v>3651</v>
      </c>
      <c r="E1106" s="9" t="s">
        <v>3652</v>
      </c>
      <c r="F1106" s="9" t="s">
        <v>3653</v>
      </c>
      <c r="G1106" s="9">
        <v>2006</v>
      </c>
      <c r="H1106" s="9">
        <v>1</v>
      </c>
      <c r="I1106" s="9">
        <v>9198</v>
      </c>
      <c r="J1106" s="37">
        <v>29355</v>
      </c>
      <c r="K1106" s="9" t="s">
        <v>1417</v>
      </c>
      <c r="L1106" s="9" t="s">
        <v>1974</v>
      </c>
      <c r="P1106" s="347"/>
      <c r="Q1106" s="347"/>
      <c r="S1106" s="129"/>
    </row>
    <row r="1107" spans="1:19" ht="14.25" hidden="1" customHeight="1" x14ac:dyDescent="0.3">
      <c r="A1107" s="20" t="s">
        <v>5102</v>
      </c>
      <c r="B1107" s="20" t="s">
        <v>597</v>
      </c>
      <c r="C1107" s="20" t="s">
        <v>5104</v>
      </c>
      <c r="D1107" s="20"/>
      <c r="E1107" s="20"/>
      <c r="F1107" s="20" t="s">
        <v>5081</v>
      </c>
      <c r="G1107" s="20">
        <v>2324</v>
      </c>
      <c r="H1107" s="20">
        <v>18</v>
      </c>
      <c r="I1107" s="20" t="s">
        <v>1454</v>
      </c>
      <c r="J1107" s="36" t="s">
        <v>1454</v>
      </c>
      <c r="K1107" s="20" t="s">
        <v>654</v>
      </c>
      <c r="L1107" s="20" t="s">
        <v>1974</v>
      </c>
      <c r="P1107">
        <v>18</v>
      </c>
      <c r="Q1107" s="303">
        <f>P1107*100%/(1000)</f>
        <v>1.7999999999999999E-2</v>
      </c>
      <c r="S1107" s="129"/>
    </row>
    <row r="1108" spans="1:19" ht="14.25" hidden="1" customHeight="1" x14ac:dyDescent="0.25">
      <c r="A1108" s="61" t="s">
        <v>5103</v>
      </c>
      <c r="B1108" s="61" t="s">
        <v>34</v>
      </c>
      <c r="C1108" s="61" t="s">
        <v>5105</v>
      </c>
      <c r="D1108" s="61"/>
      <c r="E1108" s="61"/>
      <c r="F1108" s="61" t="s">
        <v>5082</v>
      </c>
      <c r="G1108" s="61">
        <v>2325</v>
      </c>
      <c r="H1108" s="61">
        <v>417</v>
      </c>
      <c r="I1108" s="61" t="s">
        <v>1454</v>
      </c>
      <c r="J1108" s="62" t="s">
        <v>1454</v>
      </c>
      <c r="K1108" s="61" t="s">
        <v>654</v>
      </c>
      <c r="L1108" s="61" t="s">
        <v>1974</v>
      </c>
      <c r="P1108" s="347">
        <v>668</v>
      </c>
      <c r="Q1108" s="348">
        <f>P1108*100%/(1000)</f>
        <v>0.66800000000000004</v>
      </c>
      <c r="S1108" s="129"/>
    </row>
    <row r="1109" spans="1:19" ht="14.25" hidden="1" customHeight="1" x14ac:dyDescent="0.25">
      <c r="A1109" s="57" t="s">
        <v>5103</v>
      </c>
      <c r="B1109" s="57" t="s">
        <v>11</v>
      </c>
      <c r="C1109" s="57" t="s">
        <v>5106</v>
      </c>
      <c r="D1109" s="57"/>
      <c r="E1109" s="57"/>
      <c r="F1109" s="57"/>
      <c r="G1109" s="57">
        <v>2326</v>
      </c>
      <c r="H1109" s="57">
        <v>250</v>
      </c>
      <c r="I1109" s="57" t="s">
        <v>1454</v>
      </c>
      <c r="J1109" s="58" t="s">
        <v>1454</v>
      </c>
      <c r="K1109" s="57" t="s">
        <v>654</v>
      </c>
      <c r="L1109" s="57" t="s">
        <v>1974</v>
      </c>
      <c r="P1109" s="347"/>
      <c r="Q1109" s="347"/>
      <c r="R1109" s="183"/>
      <c r="S1109" s="129"/>
    </row>
    <row r="1110" spans="1:19" ht="14.25" hidden="1" customHeight="1" x14ac:dyDescent="0.25">
      <c r="A1110" s="9" t="s">
        <v>5103</v>
      </c>
      <c r="B1110" s="9" t="s">
        <v>249</v>
      </c>
      <c r="C1110" s="9" t="s">
        <v>6499</v>
      </c>
      <c r="D1110" s="9"/>
      <c r="E1110" s="9"/>
      <c r="F1110" s="9" t="s">
        <v>6500</v>
      </c>
      <c r="G1110" s="9">
        <v>2393</v>
      </c>
      <c r="H1110" s="9">
        <v>1</v>
      </c>
      <c r="I1110" s="9" t="s">
        <v>1454</v>
      </c>
      <c r="J1110" s="9" t="s">
        <v>1454</v>
      </c>
      <c r="K1110" s="9" t="s">
        <v>654</v>
      </c>
      <c r="L1110" s="9" t="s">
        <v>1974</v>
      </c>
      <c r="P1110" s="347"/>
      <c r="Q1110" s="347"/>
      <c r="S1110" s="129"/>
    </row>
    <row r="1111" spans="1:19" ht="14.25" hidden="1" customHeight="1" x14ac:dyDescent="0.25">
      <c r="A1111" s="20" t="s">
        <v>5709</v>
      </c>
      <c r="B1111" s="20" t="s">
        <v>597</v>
      </c>
      <c r="C1111" s="20" t="s">
        <v>4606</v>
      </c>
      <c r="D1111" s="20" t="s">
        <v>3396</v>
      </c>
      <c r="E1111" s="20" t="s">
        <v>3397</v>
      </c>
      <c r="F1111" s="20" t="s">
        <v>3398</v>
      </c>
      <c r="G1111" s="20">
        <v>2608</v>
      </c>
      <c r="H1111" s="20">
        <v>4</v>
      </c>
      <c r="I1111" s="20">
        <v>9198</v>
      </c>
      <c r="J1111" s="36">
        <v>29355</v>
      </c>
      <c r="K1111" s="20" t="s">
        <v>1417</v>
      </c>
      <c r="L1111" s="20" t="s">
        <v>1974</v>
      </c>
      <c r="P1111" s="347">
        <v>47</v>
      </c>
      <c r="Q1111" s="348">
        <f>P1111*100%/(1000)</f>
        <v>4.7E-2</v>
      </c>
      <c r="S1111" s="129"/>
    </row>
    <row r="1112" spans="1:19" ht="14.25" hidden="1" customHeight="1" x14ac:dyDescent="0.25">
      <c r="A1112" s="61" t="s">
        <v>5709</v>
      </c>
      <c r="B1112" s="61" t="s">
        <v>34</v>
      </c>
      <c r="C1112" s="61" t="s">
        <v>4608</v>
      </c>
      <c r="D1112" s="61" t="s">
        <v>4408</v>
      </c>
      <c r="E1112" s="61" t="s">
        <v>4409</v>
      </c>
      <c r="F1112" s="61" t="s">
        <v>4410</v>
      </c>
      <c r="G1112" s="61">
        <v>2536</v>
      </c>
      <c r="H1112" s="61">
        <v>41</v>
      </c>
      <c r="I1112" s="61">
        <v>9198</v>
      </c>
      <c r="J1112" s="62">
        <v>29355</v>
      </c>
      <c r="K1112" s="61" t="s">
        <v>1417</v>
      </c>
      <c r="L1112" s="61" t="s">
        <v>1974</v>
      </c>
      <c r="P1112" s="347"/>
      <c r="Q1112" s="347"/>
      <c r="R1112" s="183"/>
      <c r="S1112" s="260"/>
    </row>
    <row r="1113" spans="1:19" ht="14.25" hidden="1" customHeight="1" x14ac:dyDescent="0.25">
      <c r="A1113" s="9" t="s">
        <v>5709</v>
      </c>
      <c r="B1113" s="9" t="s">
        <v>249</v>
      </c>
      <c r="C1113" s="9" t="s">
        <v>4607</v>
      </c>
      <c r="D1113" s="9" t="s">
        <v>3399</v>
      </c>
      <c r="E1113" s="9" t="s">
        <v>3400</v>
      </c>
      <c r="F1113" s="9" t="s">
        <v>3401</v>
      </c>
      <c r="G1113" s="9">
        <v>2600</v>
      </c>
      <c r="H1113" s="9">
        <v>1</v>
      </c>
      <c r="I1113" s="9">
        <v>9198</v>
      </c>
      <c r="J1113" s="37">
        <v>29355</v>
      </c>
      <c r="K1113" s="9" t="s">
        <v>1417</v>
      </c>
      <c r="L1113" s="9" t="s">
        <v>1974</v>
      </c>
      <c r="P1113" s="347"/>
      <c r="Q1113" s="347"/>
      <c r="R1113" s="183"/>
      <c r="S1113" s="260"/>
    </row>
    <row r="1114" spans="1:19" ht="14.25" hidden="1" customHeight="1" x14ac:dyDescent="0.25">
      <c r="A1114" s="154" t="s">
        <v>5709</v>
      </c>
      <c r="B1114" s="154" t="s">
        <v>3781</v>
      </c>
      <c r="C1114" s="154" t="s">
        <v>4609</v>
      </c>
      <c r="D1114" s="154" t="s">
        <v>4411</v>
      </c>
      <c r="E1114" s="154" t="s">
        <v>4412</v>
      </c>
      <c r="F1114" s="154" t="s">
        <v>4413</v>
      </c>
      <c r="G1114" s="154">
        <v>2526</v>
      </c>
      <c r="H1114" s="154">
        <v>1</v>
      </c>
      <c r="I1114" s="154">
        <v>9198</v>
      </c>
      <c r="J1114" s="155">
        <v>29355</v>
      </c>
      <c r="K1114" s="154" t="s">
        <v>1417</v>
      </c>
      <c r="L1114" s="154" t="s">
        <v>1974</v>
      </c>
      <c r="P1114" s="347"/>
      <c r="Q1114" s="347"/>
      <c r="S1114" s="129"/>
    </row>
    <row r="1115" spans="1:19" ht="14.25" hidden="1" customHeight="1" x14ac:dyDescent="0.25">
      <c r="A1115" s="20" t="s">
        <v>5710</v>
      </c>
      <c r="B1115" s="20" t="s">
        <v>597</v>
      </c>
      <c r="C1115" s="20" t="s">
        <v>2107</v>
      </c>
      <c r="D1115" s="20" t="s">
        <v>2063</v>
      </c>
      <c r="E1115" s="20" t="s">
        <v>2064</v>
      </c>
      <c r="F1115" s="20" t="s">
        <v>2065</v>
      </c>
      <c r="G1115" s="20">
        <v>396</v>
      </c>
      <c r="H1115" s="20">
        <v>15</v>
      </c>
      <c r="I1115" s="20">
        <v>9198</v>
      </c>
      <c r="J1115" s="36">
        <v>65233</v>
      </c>
      <c r="K1115" s="20" t="s">
        <v>431</v>
      </c>
      <c r="L1115" s="20" t="s">
        <v>1975</v>
      </c>
      <c r="P1115" s="347">
        <v>2033</v>
      </c>
      <c r="Q1115" s="348">
        <f>P1115*100%/(2000)</f>
        <v>1.0165</v>
      </c>
      <c r="R1115" s="145" t="s">
        <v>4895</v>
      </c>
      <c r="S1115" s="129"/>
    </row>
    <row r="1116" spans="1:19" ht="14.25" hidden="1" customHeight="1" x14ac:dyDescent="0.25">
      <c r="A1116" s="57" t="s">
        <v>5710</v>
      </c>
      <c r="B1116" s="57" t="s">
        <v>11</v>
      </c>
      <c r="C1116" s="57" t="s">
        <v>1992</v>
      </c>
      <c r="D1116" s="57" t="s">
        <v>1961</v>
      </c>
      <c r="E1116" s="57" t="s">
        <v>1962</v>
      </c>
      <c r="F1116" s="57" t="s">
        <v>1963</v>
      </c>
      <c r="G1116" s="57">
        <v>386</v>
      </c>
      <c r="H1116" s="57">
        <v>997</v>
      </c>
      <c r="I1116" s="57">
        <v>9198</v>
      </c>
      <c r="J1116" s="58">
        <v>65233</v>
      </c>
      <c r="K1116" s="57" t="s">
        <v>522</v>
      </c>
      <c r="L1116" s="57" t="s">
        <v>1975</v>
      </c>
      <c r="P1116" s="347"/>
      <c r="Q1116" s="347"/>
      <c r="R1116" s="198" t="s">
        <v>6062</v>
      </c>
      <c r="S1116" s="129"/>
    </row>
    <row r="1117" spans="1:19" ht="14.25" hidden="1" customHeight="1" x14ac:dyDescent="0.25">
      <c r="A1117" s="61" t="s">
        <v>5710</v>
      </c>
      <c r="B1117" s="61" t="s">
        <v>34</v>
      </c>
      <c r="C1117" s="61" t="s">
        <v>865</v>
      </c>
      <c r="D1117" s="61" t="s">
        <v>277</v>
      </c>
      <c r="E1117" s="61" t="s">
        <v>278</v>
      </c>
      <c r="F1117" s="61" t="s">
        <v>279</v>
      </c>
      <c r="G1117" s="61">
        <v>286</v>
      </c>
      <c r="H1117" s="61">
        <v>1020</v>
      </c>
      <c r="I1117" s="61">
        <v>64724</v>
      </c>
      <c r="J1117" s="62">
        <v>65233</v>
      </c>
      <c r="K1117" s="61" t="s">
        <v>431</v>
      </c>
      <c r="L1117" s="61" t="s">
        <v>1975</v>
      </c>
      <c r="P1117" s="347"/>
      <c r="Q1117" s="347"/>
      <c r="R1117" s="146" t="s">
        <v>6433</v>
      </c>
      <c r="S1117" s="129"/>
    </row>
    <row r="1118" spans="1:19" ht="14.25" hidden="1" customHeight="1" x14ac:dyDescent="0.25">
      <c r="A1118" s="9" t="s">
        <v>5710</v>
      </c>
      <c r="B1118" s="9" t="s">
        <v>249</v>
      </c>
      <c r="C1118" s="9" t="s">
        <v>866</v>
      </c>
      <c r="D1118" s="9" t="s">
        <v>280</v>
      </c>
      <c r="E1118" s="9" t="s">
        <v>281</v>
      </c>
      <c r="F1118" s="9" t="s">
        <v>282</v>
      </c>
      <c r="G1118" s="9">
        <v>287</v>
      </c>
      <c r="H1118" s="9">
        <v>1</v>
      </c>
      <c r="I1118" s="9">
        <v>64724</v>
      </c>
      <c r="J1118" s="37">
        <v>65233</v>
      </c>
      <c r="K1118" s="9" t="s">
        <v>431</v>
      </c>
      <c r="L1118" s="9" t="s">
        <v>1975</v>
      </c>
      <c r="P1118" s="347"/>
      <c r="Q1118" s="347"/>
      <c r="R1118" s="218"/>
      <c r="S1118" s="129"/>
    </row>
    <row r="1119" spans="1:19" ht="14.25" hidden="1" customHeight="1" x14ac:dyDescent="0.25">
      <c r="A1119" s="61" t="s">
        <v>5711</v>
      </c>
      <c r="B1119" s="61" t="s">
        <v>34</v>
      </c>
      <c r="C1119" s="61" t="s">
        <v>4278</v>
      </c>
      <c r="D1119" s="61" t="s">
        <v>4063</v>
      </c>
      <c r="E1119" s="61" t="s">
        <v>4064</v>
      </c>
      <c r="F1119" s="61" t="s">
        <v>4065</v>
      </c>
      <c r="G1119" s="61">
        <v>504</v>
      </c>
      <c r="H1119" s="61">
        <v>300</v>
      </c>
      <c r="I1119" s="61">
        <v>9198</v>
      </c>
      <c r="J1119" s="62">
        <v>29355</v>
      </c>
      <c r="K1119" s="61" t="s">
        <v>429</v>
      </c>
      <c r="L1119" s="61" t="s">
        <v>1974</v>
      </c>
      <c r="P1119" s="347">
        <v>823</v>
      </c>
      <c r="Q1119" s="348">
        <f>P1119*100%/(1000)</f>
        <v>0.82299999999999995</v>
      </c>
      <c r="R1119" s="218"/>
      <c r="S1119" s="129"/>
    </row>
    <row r="1120" spans="1:19" ht="14.25" hidden="1" customHeight="1" x14ac:dyDescent="0.25">
      <c r="A1120" s="57" t="s">
        <v>5711</v>
      </c>
      <c r="B1120" s="57" t="s">
        <v>11</v>
      </c>
      <c r="C1120" s="57" t="s">
        <v>4279</v>
      </c>
      <c r="D1120" s="57" t="s">
        <v>4066</v>
      </c>
      <c r="E1120" s="57" t="s">
        <v>4067</v>
      </c>
      <c r="F1120" s="57" t="s">
        <v>4068</v>
      </c>
      <c r="G1120" s="57">
        <v>503</v>
      </c>
      <c r="H1120" s="57">
        <v>518</v>
      </c>
      <c r="I1120" s="57">
        <v>9198</v>
      </c>
      <c r="J1120" s="58">
        <v>29355</v>
      </c>
      <c r="K1120" s="57" t="s">
        <v>522</v>
      </c>
      <c r="L1120" s="57" t="s">
        <v>1974</v>
      </c>
      <c r="P1120" s="347"/>
      <c r="Q1120" s="347"/>
      <c r="R1120" s="218"/>
      <c r="S1120" s="129"/>
    </row>
    <row r="1121" spans="1:19" ht="14.25" hidden="1" customHeight="1" x14ac:dyDescent="0.25">
      <c r="A1121" s="20" t="s">
        <v>5711</v>
      </c>
      <c r="B1121" s="20" t="s">
        <v>597</v>
      </c>
      <c r="C1121" s="20" t="s">
        <v>4688</v>
      </c>
      <c r="D1121" s="20" t="s">
        <v>4623</v>
      </c>
      <c r="E1121" s="20" t="s">
        <v>4624</v>
      </c>
      <c r="F1121" s="20" t="s">
        <v>4625</v>
      </c>
      <c r="G1121" s="20">
        <v>505</v>
      </c>
      <c r="H1121" s="20">
        <v>3</v>
      </c>
      <c r="I1121" s="20">
        <v>9198</v>
      </c>
      <c r="J1121" s="36">
        <v>29355</v>
      </c>
      <c r="K1121" s="20" t="s">
        <v>428</v>
      </c>
      <c r="L1121" s="20" t="s">
        <v>1974</v>
      </c>
      <c r="P1121" s="347"/>
      <c r="Q1121" s="347"/>
      <c r="R1121" s="218"/>
      <c r="S1121" s="129"/>
    </row>
    <row r="1122" spans="1:19" ht="14.25" hidden="1" customHeight="1" x14ac:dyDescent="0.25">
      <c r="A1122" s="142" t="s">
        <v>5711</v>
      </c>
      <c r="B1122" s="142" t="s">
        <v>249</v>
      </c>
      <c r="C1122" s="142" t="s">
        <v>4280</v>
      </c>
      <c r="D1122" s="142" t="s">
        <v>4069</v>
      </c>
      <c r="E1122" s="142" t="s">
        <v>4070</v>
      </c>
      <c r="F1122" s="142" t="s">
        <v>4071</v>
      </c>
      <c r="G1122" s="142">
        <v>502</v>
      </c>
      <c r="H1122" s="142">
        <v>1</v>
      </c>
      <c r="I1122" s="142">
        <v>9198</v>
      </c>
      <c r="J1122" s="37">
        <v>29355</v>
      </c>
      <c r="K1122" s="142" t="s">
        <v>429</v>
      </c>
      <c r="L1122" s="142" t="s">
        <v>1974</v>
      </c>
      <c r="P1122" s="347"/>
      <c r="Q1122" s="347"/>
      <c r="R1122" s="218"/>
      <c r="S1122" s="129"/>
    </row>
    <row r="1123" spans="1:19" ht="14.25" hidden="1" customHeight="1" x14ac:dyDescent="0.25">
      <c r="A1123" s="154" t="s">
        <v>5711</v>
      </c>
      <c r="B1123" s="154" t="s">
        <v>3781</v>
      </c>
      <c r="C1123" s="154" t="s">
        <v>6464</v>
      </c>
      <c r="D1123" s="154" t="s">
        <v>6370</v>
      </c>
      <c r="E1123" s="154" t="s">
        <v>6371</v>
      </c>
      <c r="F1123" s="154" t="s">
        <v>6372</v>
      </c>
      <c r="G1123" s="154">
        <v>2230</v>
      </c>
      <c r="H1123" s="154">
        <v>1</v>
      </c>
      <c r="I1123" s="154">
        <v>9198</v>
      </c>
      <c r="J1123" s="155">
        <v>29355</v>
      </c>
      <c r="K1123" s="154" t="s">
        <v>429</v>
      </c>
      <c r="L1123" s="154" t="s">
        <v>1974</v>
      </c>
      <c r="P1123" s="347"/>
      <c r="Q1123" s="347"/>
      <c r="R1123" s="218"/>
      <c r="S1123" s="129"/>
    </row>
    <row r="1124" spans="1:19" ht="14.25" hidden="1" customHeight="1" x14ac:dyDescent="0.3">
      <c r="A1124" s="46" t="s">
        <v>7303</v>
      </c>
      <c r="B1124" s="46" t="s">
        <v>1109</v>
      </c>
      <c r="C1124" s="46" t="s">
        <v>7372</v>
      </c>
      <c r="D1124" s="46"/>
      <c r="E1124" s="46"/>
      <c r="F1124" s="46"/>
      <c r="G1124" s="46">
        <v>2424</v>
      </c>
      <c r="H1124" s="46">
        <v>12</v>
      </c>
      <c r="I1124" s="46">
        <v>9198</v>
      </c>
      <c r="J1124" s="46">
        <v>29355</v>
      </c>
      <c r="K1124" s="46" t="s">
        <v>429</v>
      </c>
      <c r="L1124" s="46" t="s">
        <v>1974</v>
      </c>
      <c r="P1124">
        <v>12</v>
      </c>
      <c r="Q1124" s="303">
        <f>P1124*100%/(1000)</f>
        <v>1.2E-2</v>
      </c>
      <c r="R1124" s="218"/>
      <c r="S1124" s="129"/>
    </row>
    <row r="1125" spans="1:19" ht="14.85" hidden="1" customHeight="1" x14ac:dyDescent="0.25">
      <c r="A1125" s="20" t="s">
        <v>5712</v>
      </c>
      <c r="B1125" s="20" t="s">
        <v>597</v>
      </c>
      <c r="C1125" s="20" t="s">
        <v>1401</v>
      </c>
      <c r="D1125" s="20" t="s">
        <v>1232</v>
      </c>
      <c r="E1125" s="20" t="s">
        <v>1233</v>
      </c>
      <c r="F1125" s="20" t="s">
        <v>1234</v>
      </c>
      <c r="G1125" s="20">
        <v>1470</v>
      </c>
      <c r="H1125" s="20">
        <v>15</v>
      </c>
      <c r="I1125" s="20">
        <v>9198</v>
      </c>
      <c r="J1125" s="36">
        <v>65001</v>
      </c>
      <c r="K1125" s="20" t="s">
        <v>440</v>
      </c>
      <c r="L1125" s="20" t="s">
        <v>1975</v>
      </c>
      <c r="P1125" s="347">
        <v>965</v>
      </c>
      <c r="Q1125" s="348">
        <f>P1125*100%/(2000)</f>
        <v>0.48249999999999998</v>
      </c>
      <c r="R1125" s="213"/>
      <c r="S1125" s="129"/>
    </row>
    <row r="1126" spans="1:19" ht="14.1" hidden="1" customHeight="1" x14ac:dyDescent="0.25">
      <c r="A1126" s="57" t="s">
        <v>5712</v>
      </c>
      <c r="B1126" s="57" t="s">
        <v>11</v>
      </c>
      <c r="C1126" s="57" t="s">
        <v>2261</v>
      </c>
      <c r="D1126" s="57" t="s">
        <v>2212</v>
      </c>
      <c r="E1126" s="57" t="s">
        <v>2213</v>
      </c>
      <c r="F1126" s="57" t="s">
        <v>2214</v>
      </c>
      <c r="G1126" s="57">
        <v>1667</v>
      </c>
      <c r="H1126" s="57">
        <v>430</v>
      </c>
      <c r="I1126" s="57">
        <v>9198</v>
      </c>
      <c r="J1126" s="58">
        <v>65001</v>
      </c>
      <c r="K1126" s="57" t="s">
        <v>1417</v>
      </c>
      <c r="L1126" s="57" t="s">
        <v>1975</v>
      </c>
      <c r="P1126" s="347"/>
      <c r="Q1126" s="347"/>
      <c r="R1126" s="213"/>
      <c r="S1126" s="129"/>
    </row>
    <row r="1127" spans="1:19" ht="14.25" hidden="1" customHeight="1" x14ac:dyDescent="0.25">
      <c r="A1127" s="61" t="s">
        <v>5712</v>
      </c>
      <c r="B1127" s="61" t="s">
        <v>34</v>
      </c>
      <c r="C1127" s="61" t="s">
        <v>867</v>
      </c>
      <c r="D1127" s="61" t="s">
        <v>548</v>
      </c>
      <c r="E1127" s="61" t="s">
        <v>549</v>
      </c>
      <c r="F1127" s="61" t="s">
        <v>1572</v>
      </c>
      <c r="G1127" s="61">
        <v>1570</v>
      </c>
      <c r="H1127" s="61">
        <v>509</v>
      </c>
      <c r="I1127" s="61">
        <v>9198</v>
      </c>
      <c r="J1127" s="62">
        <v>65001</v>
      </c>
      <c r="K1127" s="61" t="s">
        <v>440</v>
      </c>
      <c r="L1127" s="61" t="s">
        <v>1975</v>
      </c>
      <c r="P1127" s="347"/>
      <c r="Q1127" s="347"/>
      <c r="R1127" s="213"/>
      <c r="S1127" s="129"/>
    </row>
    <row r="1128" spans="1:19" ht="14.25" hidden="1" customHeight="1" x14ac:dyDescent="0.25">
      <c r="A1128" s="9" t="s">
        <v>5712</v>
      </c>
      <c r="B1128" s="9" t="s">
        <v>249</v>
      </c>
      <c r="C1128" s="9" t="s">
        <v>2262</v>
      </c>
      <c r="D1128" s="9" t="s">
        <v>2209</v>
      </c>
      <c r="E1128" s="9" t="s">
        <v>2210</v>
      </c>
      <c r="F1128" s="9" t="s">
        <v>2211</v>
      </c>
      <c r="G1128" s="9">
        <v>1680</v>
      </c>
      <c r="H1128" s="9">
        <v>1</v>
      </c>
      <c r="I1128" s="9">
        <v>9198</v>
      </c>
      <c r="J1128" s="37">
        <v>65001</v>
      </c>
      <c r="K1128" s="9" t="s">
        <v>440</v>
      </c>
      <c r="L1128" s="9" t="s">
        <v>1975</v>
      </c>
      <c r="P1128" s="347"/>
      <c r="Q1128" s="347"/>
      <c r="R1128" s="213"/>
      <c r="S1128" s="129"/>
    </row>
    <row r="1129" spans="1:19" ht="14.1" hidden="1" customHeight="1" x14ac:dyDescent="0.25">
      <c r="A1129" s="61" t="s">
        <v>5713</v>
      </c>
      <c r="B1129" s="61" t="s">
        <v>34</v>
      </c>
      <c r="C1129" s="61" t="s">
        <v>868</v>
      </c>
      <c r="D1129" s="61" t="s">
        <v>353</v>
      </c>
      <c r="E1129" s="61" t="s">
        <v>351</v>
      </c>
      <c r="F1129" s="61" t="s">
        <v>352</v>
      </c>
      <c r="G1129" s="61">
        <v>300</v>
      </c>
      <c r="H1129" s="61">
        <v>105</v>
      </c>
      <c r="I1129" s="61">
        <v>9198</v>
      </c>
      <c r="J1129" s="62">
        <v>65231</v>
      </c>
      <c r="K1129" s="61" t="s">
        <v>1458</v>
      </c>
      <c r="L1129" s="61" t="s">
        <v>1971</v>
      </c>
      <c r="P1129" s="347">
        <v>106</v>
      </c>
      <c r="Q1129" s="348">
        <f>P1129*100%*10/(2000)</f>
        <v>0.53</v>
      </c>
      <c r="R1129" s="219"/>
      <c r="S1129" s="129"/>
    </row>
    <row r="1130" spans="1:19" ht="14.25" hidden="1" customHeight="1" x14ac:dyDescent="0.25">
      <c r="A1130" s="9" t="s">
        <v>5713</v>
      </c>
      <c r="B1130" s="9" t="s">
        <v>249</v>
      </c>
      <c r="C1130" s="9" t="s">
        <v>869</v>
      </c>
      <c r="D1130" s="9" t="s">
        <v>356</v>
      </c>
      <c r="E1130" s="9" t="s">
        <v>354</v>
      </c>
      <c r="F1130" s="9" t="s">
        <v>355</v>
      </c>
      <c r="G1130" s="9">
        <v>301</v>
      </c>
      <c r="H1130" s="9">
        <v>1</v>
      </c>
      <c r="I1130" s="9">
        <v>9198</v>
      </c>
      <c r="J1130" s="37">
        <v>65231</v>
      </c>
      <c r="K1130" s="9" t="s">
        <v>1458</v>
      </c>
      <c r="L1130" s="9" t="s">
        <v>1971</v>
      </c>
      <c r="P1130" s="347"/>
      <c r="Q1130" s="347"/>
      <c r="R1130" s="219"/>
      <c r="S1130" s="129"/>
    </row>
    <row r="1131" spans="1:19" ht="14.25" hidden="1" customHeight="1" x14ac:dyDescent="0.25">
      <c r="A1131" s="20" t="s">
        <v>5714</v>
      </c>
      <c r="B1131" s="20" t="s">
        <v>597</v>
      </c>
      <c r="C1131" s="20" t="s">
        <v>4320</v>
      </c>
      <c r="D1131" s="20" t="s">
        <v>4205</v>
      </c>
      <c r="E1131" s="20" t="s">
        <v>4206</v>
      </c>
      <c r="F1131" s="20" t="s">
        <v>4207</v>
      </c>
      <c r="G1131" s="20">
        <v>1460</v>
      </c>
      <c r="H1131" s="20">
        <v>4</v>
      </c>
      <c r="I1131" s="20">
        <v>9198</v>
      </c>
      <c r="J1131" s="36">
        <v>29355</v>
      </c>
      <c r="K1131" s="20" t="s">
        <v>440</v>
      </c>
      <c r="L1131" s="20" t="s">
        <v>1974</v>
      </c>
      <c r="P1131" s="347">
        <v>204</v>
      </c>
      <c r="Q1131" s="348">
        <f>P1131*100%/(1000)</f>
        <v>0.20399999999999999</v>
      </c>
      <c r="R1131" s="213"/>
      <c r="S1131" s="129"/>
    </row>
    <row r="1132" spans="1:19" ht="14.25" hidden="1" customHeight="1" x14ac:dyDescent="0.25">
      <c r="A1132" s="61" t="s">
        <v>5714</v>
      </c>
      <c r="B1132" s="61" t="s">
        <v>34</v>
      </c>
      <c r="C1132" s="61" t="s">
        <v>4321</v>
      </c>
      <c r="D1132" s="61" t="s">
        <v>4208</v>
      </c>
      <c r="E1132" s="61" t="s">
        <v>4209</v>
      </c>
      <c r="F1132" s="61" t="s">
        <v>4210</v>
      </c>
      <c r="G1132" s="61">
        <v>1560</v>
      </c>
      <c r="H1132" s="61">
        <v>198</v>
      </c>
      <c r="I1132" s="61">
        <v>9198</v>
      </c>
      <c r="J1132" s="62">
        <v>29355</v>
      </c>
      <c r="K1132" s="61" t="s">
        <v>440</v>
      </c>
      <c r="L1132" s="61" t="s">
        <v>1974</v>
      </c>
      <c r="P1132" s="347"/>
      <c r="Q1132" s="347"/>
      <c r="R1132" s="213"/>
      <c r="S1132" s="129"/>
    </row>
    <row r="1133" spans="1:19" ht="14.25" hidden="1" customHeight="1" x14ac:dyDescent="0.25">
      <c r="A1133" s="142" t="s">
        <v>5714</v>
      </c>
      <c r="B1133" s="142" t="s">
        <v>249</v>
      </c>
      <c r="C1133" s="142" t="s">
        <v>4322</v>
      </c>
      <c r="D1133" s="142" t="s">
        <v>4211</v>
      </c>
      <c r="E1133" s="142" t="s">
        <v>4212</v>
      </c>
      <c r="F1133" s="142" t="s">
        <v>4213</v>
      </c>
      <c r="G1133" s="142">
        <v>1780</v>
      </c>
      <c r="H1133" s="142">
        <v>1</v>
      </c>
      <c r="I1133" s="142">
        <v>9198</v>
      </c>
      <c r="J1133" s="37">
        <v>29355</v>
      </c>
      <c r="K1133" s="142" t="s">
        <v>440</v>
      </c>
      <c r="L1133" s="142" t="s">
        <v>1974</v>
      </c>
      <c r="P1133" s="347"/>
      <c r="Q1133" s="347"/>
      <c r="R1133" s="213"/>
      <c r="S1133" s="129"/>
    </row>
    <row r="1134" spans="1:19" ht="14.25" hidden="1" customHeight="1" x14ac:dyDescent="0.25">
      <c r="A1134" s="154" t="s">
        <v>5714</v>
      </c>
      <c r="B1134" s="154" t="s">
        <v>3781</v>
      </c>
      <c r="C1134" s="154" t="s">
        <v>4323</v>
      </c>
      <c r="D1134" s="154" t="s">
        <v>4214</v>
      </c>
      <c r="E1134" s="154" t="s">
        <v>4215</v>
      </c>
      <c r="F1134" s="154" t="s">
        <v>4216</v>
      </c>
      <c r="G1134" s="154">
        <v>1790</v>
      </c>
      <c r="H1134" s="154">
        <v>1</v>
      </c>
      <c r="I1134" s="154">
        <v>9198</v>
      </c>
      <c r="J1134" s="155">
        <v>29355</v>
      </c>
      <c r="K1134" s="154" t="s">
        <v>440</v>
      </c>
      <c r="L1134" s="154" t="s">
        <v>1974</v>
      </c>
      <c r="P1134" s="347"/>
      <c r="Q1134" s="347"/>
      <c r="R1134" s="213"/>
      <c r="S1134" s="129"/>
    </row>
    <row r="1135" spans="1:19" ht="14.25" hidden="1" customHeight="1" x14ac:dyDescent="0.25">
      <c r="A1135" s="20" t="s">
        <v>5715</v>
      </c>
      <c r="B1135" s="20" t="s">
        <v>597</v>
      </c>
      <c r="C1135" s="20" t="s">
        <v>2231</v>
      </c>
      <c r="D1135" s="20" t="s">
        <v>2138</v>
      </c>
      <c r="E1135" s="20" t="s">
        <v>2139</v>
      </c>
      <c r="F1135" s="20" t="s">
        <v>2140</v>
      </c>
      <c r="G1135" s="20">
        <v>1931</v>
      </c>
      <c r="H1135" s="20">
        <v>4</v>
      </c>
      <c r="I1135" s="20">
        <v>9198</v>
      </c>
      <c r="J1135" s="36">
        <v>65231</v>
      </c>
      <c r="K1135" s="20" t="s">
        <v>428</v>
      </c>
      <c r="L1135" s="20" t="s">
        <v>1975</v>
      </c>
      <c r="P1135" s="347">
        <v>2071</v>
      </c>
      <c r="Q1135" s="348">
        <f>P1135*100%/(2000)</f>
        <v>1.0355000000000001</v>
      </c>
      <c r="R1135" s="198" t="s">
        <v>2924</v>
      </c>
      <c r="S1135" s="129" t="s">
        <v>2907</v>
      </c>
    </row>
    <row r="1136" spans="1:19" ht="14.25" hidden="1" customHeight="1" x14ac:dyDescent="0.25">
      <c r="A1136" s="57" t="s">
        <v>5715</v>
      </c>
      <c r="B1136" s="57" t="s">
        <v>11</v>
      </c>
      <c r="C1136" s="57" t="s">
        <v>2474</v>
      </c>
      <c r="D1136" s="57" t="s">
        <v>2250</v>
      </c>
      <c r="E1136" s="57" t="s">
        <v>2251</v>
      </c>
      <c r="F1136" s="57" t="s">
        <v>2252</v>
      </c>
      <c r="G1136" s="57">
        <v>2947</v>
      </c>
      <c r="H1136" s="57">
        <v>1200</v>
      </c>
      <c r="I1136" s="57">
        <v>64728</v>
      </c>
      <c r="J1136" s="58">
        <v>65231</v>
      </c>
      <c r="K1136" s="57" t="s">
        <v>428</v>
      </c>
      <c r="L1136" s="57" t="s">
        <v>1975</v>
      </c>
      <c r="P1136" s="347"/>
      <c r="Q1136" s="347"/>
      <c r="R1136" s="145" t="s">
        <v>2956</v>
      </c>
      <c r="S1136" s="129" t="s">
        <v>2955</v>
      </c>
    </row>
    <row r="1137" spans="1:21" ht="14.25" hidden="1" customHeight="1" x14ac:dyDescent="0.25">
      <c r="A1137" s="61" t="s">
        <v>5715</v>
      </c>
      <c r="B1137" s="61" t="s">
        <v>34</v>
      </c>
      <c r="C1137" s="61" t="s">
        <v>870</v>
      </c>
      <c r="D1137" s="61" t="s">
        <v>489</v>
      </c>
      <c r="E1137" s="61" t="s">
        <v>490</v>
      </c>
      <c r="F1137" s="61" t="s">
        <v>488</v>
      </c>
      <c r="G1137" s="61">
        <v>379</v>
      </c>
      <c r="H1137" s="61">
        <v>866</v>
      </c>
      <c r="I1137" s="61">
        <v>9198</v>
      </c>
      <c r="J1137" s="62">
        <v>65231</v>
      </c>
      <c r="K1137" s="61" t="s">
        <v>428</v>
      </c>
      <c r="L1137" s="61" t="s">
        <v>1975</v>
      </c>
      <c r="P1137" s="347"/>
      <c r="Q1137" s="347"/>
      <c r="R1137" s="146" t="s">
        <v>3693</v>
      </c>
      <c r="S1137" s="146" t="s">
        <v>4107</v>
      </c>
    </row>
    <row r="1138" spans="1:21" ht="14.25" hidden="1" customHeight="1" x14ac:dyDescent="0.25">
      <c r="A1138" s="9" t="s">
        <v>5715</v>
      </c>
      <c r="B1138" s="9" t="s">
        <v>249</v>
      </c>
      <c r="C1138" s="9" t="s">
        <v>871</v>
      </c>
      <c r="D1138" s="9" t="s">
        <v>492</v>
      </c>
      <c r="E1138" s="9" t="s">
        <v>493</v>
      </c>
      <c r="F1138" s="9" t="s">
        <v>491</v>
      </c>
      <c r="G1138" s="9">
        <v>378</v>
      </c>
      <c r="H1138" s="9">
        <v>1</v>
      </c>
      <c r="I1138" s="9">
        <v>9198</v>
      </c>
      <c r="J1138" s="37">
        <v>65231</v>
      </c>
      <c r="K1138" s="9" t="s">
        <v>428</v>
      </c>
      <c r="L1138" s="9" t="s">
        <v>1975</v>
      </c>
      <c r="P1138" s="347"/>
      <c r="Q1138" s="347"/>
      <c r="R1138" s="146" t="s">
        <v>4108</v>
      </c>
      <c r="S1138" s="146" t="s">
        <v>4331</v>
      </c>
      <c r="U1138" s="198" t="s">
        <v>6062</v>
      </c>
    </row>
    <row r="1139" spans="1:21" ht="14.25" hidden="1" customHeight="1" x14ac:dyDescent="0.25">
      <c r="A1139" s="61" t="s">
        <v>5716</v>
      </c>
      <c r="B1139" s="61" t="s">
        <v>34</v>
      </c>
      <c r="C1139" s="61" t="s">
        <v>4232</v>
      </c>
      <c r="D1139" s="61" t="s">
        <v>3939</v>
      </c>
      <c r="E1139" s="61" t="s">
        <v>3940</v>
      </c>
      <c r="F1139" s="61" t="s">
        <v>3941</v>
      </c>
      <c r="G1139" s="61">
        <v>2156</v>
      </c>
      <c r="H1139" s="61">
        <v>105</v>
      </c>
      <c r="I1139" s="61">
        <v>9198</v>
      </c>
      <c r="J1139" s="62">
        <v>29355</v>
      </c>
      <c r="K1139" s="61" t="s">
        <v>4002</v>
      </c>
      <c r="L1139" s="61" t="s">
        <v>1971</v>
      </c>
      <c r="P1139" s="347">
        <v>107</v>
      </c>
      <c r="Q1139" s="348">
        <f>P1139*100%*10/(2000)</f>
        <v>0.53500000000000003</v>
      </c>
      <c r="R1139" s="145"/>
      <c r="S1139" s="129"/>
    </row>
    <row r="1140" spans="1:21" ht="14.25" hidden="1" customHeight="1" x14ac:dyDescent="0.25">
      <c r="A1140" s="142" t="s">
        <v>5716</v>
      </c>
      <c r="B1140" s="142" t="s">
        <v>249</v>
      </c>
      <c r="C1140" s="142" t="s">
        <v>4233</v>
      </c>
      <c r="D1140" s="142" t="s">
        <v>3942</v>
      </c>
      <c r="E1140" s="142" t="s">
        <v>3943</v>
      </c>
      <c r="F1140" s="142" t="s">
        <v>3944</v>
      </c>
      <c r="G1140" s="142">
        <v>2157</v>
      </c>
      <c r="H1140" s="142">
        <v>1</v>
      </c>
      <c r="I1140" s="142">
        <v>9198</v>
      </c>
      <c r="J1140" s="37">
        <v>29355</v>
      </c>
      <c r="K1140" s="142" t="s">
        <v>4002</v>
      </c>
      <c r="L1140" s="142" t="s">
        <v>6988</v>
      </c>
      <c r="P1140" s="347"/>
      <c r="Q1140" s="347"/>
      <c r="R1140" s="145"/>
      <c r="S1140" s="129"/>
    </row>
    <row r="1141" spans="1:21" ht="14.25" hidden="1" customHeight="1" x14ac:dyDescent="0.25">
      <c r="A1141" s="154" t="s">
        <v>5716</v>
      </c>
      <c r="B1141" s="154" t="s">
        <v>3781</v>
      </c>
      <c r="C1141" s="154" t="s">
        <v>4234</v>
      </c>
      <c r="D1141" s="154" t="s">
        <v>3945</v>
      </c>
      <c r="E1141" s="154" t="s">
        <v>3946</v>
      </c>
      <c r="F1141" s="154" t="s">
        <v>3947</v>
      </c>
      <c r="G1141" s="154">
        <v>2158</v>
      </c>
      <c r="H1141" s="154">
        <v>1</v>
      </c>
      <c r="I1141" s="154">
        <v>9198</v>
      </c>
      <c r="J1141" s="155">
        <v>29355</v>
      </c>
      <c r="K1141" s="154" t="s">
        <v>4002</v>
      </c>
      <c r="L1141" s="154" t="s">
        <v>6988</v>
      </c>
      <c r="P1141" s="347"/>
      <c r="Q1141" s="347"/>
      <c r="R1141" s="145"/>
      <c r="S1141" s="129"/>
    </row>
    <row r="1142" spans="1:21" ht="14.25" hidden="1" customHeight="1" x14ac:dyDescent="0.25">
      <c r="A1142" s="20" t="s">
        <v>5717</v>
      </c>
      <c r="B1142" s="20" t="s">
        <v>597</v>
      </c>
      <c r="C1142" s="20" t="s">
        <v>7344</v>
      </c>
      <c r="D1142" s="20" t="s">
        <v>7106</v>
      </c>
      <c r="E1142" s="20" t="s">
        <v>7107</v>
      </c>
      <c r="F1142" s="20" t="s">
        <v>7108</v>
      </c>
      <c r="G1142" s="20">
        <v>505</v>
      </c>
      <c r="H1142" s="20">
        <v>4</v>
      </c>
      <c r="I1142" s="20">
        <v>9198</v>
      </c>
      <c r="J1142" s="36">
        <v>29355</v>
      </c>
      <c r="K1142" s="20" t="s">
        <v>1417</v>
      </c>
      <c r="L1142" s="20" t="s">
        <v>1974</v>
      </c>
      <c r="P1142" s="347">
        <v>258</v>
      </c>
      <c r="Q1142" s="348">
        <f>P1142*100%/(1000)</f>
        <v>0.25800000000000001</v>
      </c>
      <c r="S1142" s="129"/>
    </row>
    <row r="1143" spans="1:21" ht="14.25" hidden="1" customHeight="1" x14ac:dyDescent="0.25">
      <c r="A1143" s="61" t="s">
        <v>5717</v>
      </c>
      <c r="B1143" s="61" t="s">
        <v>34</v>
      </c>
      <c r="C1143" s="61" t="s">
        <v>4782</v>
      </c>
      <c r="D1143" s="61" t="s">
        <v>4164</v>
      </c>
      <c r="E1143" s="61" t="s">
        <v>4165</v>
      </c>
      <c r="F1143" s="61" t="s">
        <v>4166</v>
      </c>
      <c r="G1143" s="61">
        <v>300</v>
      </c>
      <c r="H1143" s="61">
        <v>53</v>
      </c>
      <c r="I1143" s="61">
        <v>9198</v>
      </c>
      <c r="J1143" s="62">
        <v>29355</v>
      </c>
      <c r="K1143" s="61" t="s">
        <v>1417</v>
      </c>
      <c r="L1143" s="61" t="s">
        <v>1974</v>
      </c>
      <c r="P1143" s="347"/>
      <c r="Q1143" s="347"/>
      <c r="R1143" s="145"/>
      <c r="S1143" s="129"/>
    </row>
    <row r="1144" spans="1:21" ht="14.25" hidden="1" customHeight="1" x14ac:dyDescent="0.25">
      <c r="A1144" s="9" t="s">
        <v>5717</v>
      </c>
      <c r="B1144" s="9" t="s">
        <v>249</v>
      </c>
      <c r="C1144" s="9" t="s">
        <v>4783</v>
      </c>
      <c r="D1144" s="9" t="s">
        <v>4167</v>
      </c>
      <c r="E1144" s="9" t="s">
        <v>4168</v>
      </c>
      <c r="F1144" s="9" t="s">
        <v>4169</v>
      </c>
      <c r="G1144" s="9">
        <v>301</v>
      </c>
      <c r="H1144" s="9">
        <v>1</v>
      </c>
      <c r="I1144" s="9">
        <v>9198</v>
      </c>
      <c r="J1144" s="37">
        <v>29355</v>
      </c>
      <c r="K1144" s="9" t="s">
        <v>1417</v>
      </c>
      <c r="L1144" s="9" t="s">
        <v>1974</v>
      </c>
      <c r="P1144" s="347"/>
      <c r="Q1144" s="347"/>
      <c r="R1144" s="145"/>
      <c r="S1144" s="129"/>
    </row>
    <row r="1145" spans="1:21" ht="14.25" hidden="1" customHeight="1" x14ac:dyDescent="0.25">
      <c r="A1145" s="57" t="s">
        <v>5717</v>
      </c>
      <c r="B1145" s="57" t="s">
        <v>11</v>
      </c>
      <c r="C1145" s="57" t="s">
        <v>7345</v>
      </c>
      <c r="D1145" s="57" t="s">
        <v>7109</v>
      </c>
      <c r="E1145" s="57" t="s">
        <v>7110</v>
      </c>
      <c r="F1145" s="57" t="s">
        <v>7111</v>
      </c>
      <c r="G1145" s="57">
        <v>504</v>
      </c>
      <c r="H1145" s="57">
        <v>200</v>
      </c>
      <c r="I1145" s="57">
        <v>9198</v>
      </c>
      <c r="J1145" s="58">
        <v>29355</v>
      </c>
      <c r="K1145" s="57" t="s">
        <v>1417</v>
      </c>
      <c r="L1145" s="57" t="s">
        <v>1974</v>
      </c>
      <c r="P1145" s="347"/>
      <c r="Q1145" s="347"/>
      <c r="S1145" s="129"/>
    </row>
    <row r="1146" spans="1:21" ht="14.25" hidden="1" customHeight="1" x14ac:dyDescent="0.25">
      <c r="A1146" s="20" t="s">
        <v>5718</v>
      </c>
      <c r="B1146" s="20" t="s">
        <v>597</v>
      </c>
      <c r="C1146" s="20" t="s">
        <v>3358</v>
      </c>
      <c r="D1146" s="20" t="s">
        <v>3165</v>
      </c>
      <c r="E1146" s="20" t="s">
        <v>3166</v>
      </c>
      <c r="F1146" s="20" t="s">
        <v>3167</v>
      </c>
      <c r="G1146" s="20">
        <v>2975</v>
      </c>
      <c r="H1146" s="20">
        <v>4</v>
      </c>
      <c r="I1146" s="20">
        <v>9198</v>
      </c>
      <c r="J1146" s="36">
        <v>29355</v>
      </c>
      <c r="K1146" s="20" t="s">
        <v>430</v>
      </c>
      <c r="L1146" s="20" t="s">
        <v>1974</v>
      </c>
      <c r="P1146" s="347">
        <v>70</v>
      </c>
      <c r="Q1146" s="348">
        <f>P1146*100%/(1000)</f>
        <v>7.0000000000000007E-2</v>
      </c>
      <c r="S1146" s="129"/>
    </row>
    <row r="1147" spans="1:21" ht="14.25" hidden="1" customHeight="1" x14ac:dyDescent="0.25">
      <c r="A1147" s="61" t="s">
        <v>5718</v>
      </c>
      <c r="B1147" s="61" t="s">
        <v>34</v>
      </c>
      <c r="C1147" s="61" t="s">
        <v>3359</v>
      </c>
      <c r="D1147" s="61" t="s">
        <v>3168</v>
      </c>
      <c r="E1147" s="61" t="s">
        <v>3169</v>
      </c>
      <c r="F1147" s="61" t="s">
        <v>3170</v>
      </c>
      <c r="G1147" s="61">
        <v>2987</v>
      </c>
      <c r="H1147" s="61">
        <v>64</v>
      </c>
      <c r="I1147" s="61">
        <v>9198</v>
      </c>
      <c r="J1147" s="62">
        <v>29355</v>
      </c>
      <c r="K1147" s="61" t="s">
        <v>430</v>
      </c>
      <c r="L1147" s="61" t="s">
        <v>1974</v>
      </c>
      <c r="P1147" s="347"/>
      <c r="Q1147" s="347"/>
      <c r="S1147" s="129"/>
    </row>
    <row r="1148" spans="1:21" ht="14.25" hidden="1" customHeight="1" x14ac:dyDescent="0.25">
      <c r="A1148" s="9" t="s">
        <v>5718</v>
      </c>
      <c r="B1148" s="9" t="s">
        <v>249</v>
      </c>
      <c r="C1148" s="9" t="s">
        <v>3360</v>
      </c>
      <c r="D1148" s="9" t="s">
        <v>3311</v>
      </c>
      <c r="E1148" s="9" t="s">
        <v>3312</v>
      </c>
      <c r="F1148" s="9" t="s">
        <v>3313</v>
      </c>
      <c r="G1148" s="9">
        <v>2460</v>
      </c>
      <c r="H1148" s="9">
        <v>2</v>
      </c>
      <c r="I1148" s="9">
        <v>9198</v>
      </c>
      <c r="J1148" s="37">
        <v>29355</v>
      </c>
      <c r="K1148" s="9" t="s">
        <v>430</v>
      </c>
      <c r="L1148" s="9" t="s">
        <v>1974</v>
      </c>
      <c r="P1148" s="347"/>
      <c r="Q1148" s="347"/>
      <c r="S1148" s="129"/>
    </row>
    <row r="1149" spans="1:21" ht="14.25" hidden="1" customHeight="1" x14ac:dyDescent="0.25">
      <c r="A1149" s="20" t="s">
        <v>5719</v>
      </c>
      <c r="B1149" s="20" t="s">
        <v>597</v>
      </c>
      <c r="C1149" s="20" t="s">
        <v>1126</v>
      </c>
      <c r="D1149" s="20" t="s">
        <v>1130</v>
      </c>
      <c r="E1149" s="20" t="s">
        <v>1128</v>
      </c>
      <c r="F1149" s="20" t="s">
        <v>1132</v>
      </c>
      <c r="G1149" s="20">
        <v>1661</v>
      </c>
      <c r="H1149" s="20">
        <v>5</v>
      </c>
      <c r="I1149" s="20">
        <v>9198</v>
      </c>
      <c r="J1149" s="36">
        <v>29355</v>
      </c>
      <c r="K1149" s="20" t="s">
        <v>574</v>
      </c>
      <c r="L1149" s="20" t="s">
        <v>1974</v>
      </c>
      <c r="P1149" s="347">
        <v>360</v>
      </c>
      <c r="Q1149" s="348">
        <f>P1149*100%/(1000)</f>
        <v>0.36</v>
      </c>
      <c r="R1149" s="183"/>
      <c r="S1149" s="129"/>
    </row>
    <row r="1150" spans="1:21" ht="14.25" hidden="1" customHeight="1" x14ac:dyDescent="0.25">
      <c r="A1150" s="57" t="s">
        <v>5719</v>
      </c>
      <c r="B1150" s="57" t="s">
        <v>11</v>
      </c>
      <c r="C1150" s="57" t="s">
        <v>2582</v>
      </c>
      <c r="D1150" s="57" t="s">
        <v>2542</v>
      </c>
      <c r="E1150" s="57" t="s">
        <v>2543</v>
      </c>
      <c r="F1150" s="57" t="s">
        <v>2544</v>
      </c>
      <c r="G1150" s="57">
        <v>2970</v>
      </c>
      <c r="H1150" s="57">
        <v>274</v>
      </c>
      <c r="I1150" s="57">
        <v>9198</v>
      </c>
      <c r="J1150" s="58">
        <v>29355</v>
      </c>
      <c r="K1150" s="57" t="s">
        <v>574</v>
      </c>
      <c r="L1150" s="57" t="s">
        <v>1974</v>
      </c>
      <c r="P1150" s="347"/>
      <c r="Q1150" s="347"/>
      <c r="S1150" s="129"/>
    </row>
    <row r="1151" spans="1:21" ht="14.25" hidden="1" customHeight="1" x14ac:dyDescent="0.25">
      <c r="A1151" s="61" t="s">
        <v>5719</v>
      </c>
      <c r="B1151" s="61" t="s">
        <v>34</v>
      </c>
      <c r="C1151" s="61" t="s">
        <v>1350</v>
      </c>
      <c r="D1151" s="61" t="s">
        <v>1332</v>
      </c>
      <c r="E1151" s="61" t="s">
        <v>1333</v>
      </c>
      <c r="F1151" s="61" t="s">
        <v>1334</v>
      </c>
      <c r="G1151" s="61">
        <v>1606</v>
      </c>
      <c r="H1151" s="61">
        <v>60</v>
      </c>
      <c r="I1151" s="61">
        <v>9198</v>
      </c>
      <c r="J1151" s="62">
        <v>29355</v>
      </c>
      <c r="K1151" s="61" t="s">
        <v>574</v>
      </c>
      <c r="L1151" s="61" t="s">
        <v>1974</v>
      </c>
      <c r="P1151" s="347"/>
      <c r="Q1151" s="347"/>
      <c r="R1151" s="183"/>
      <c r="S1151" s="129"/>
    </row>
    <row r="1152" spans="1:21" ht="14.25" hidden="1" customHeight="1" x14ac:dyDescent="0.25">
      <c r="A1152" s="9" t="s">
        <v>5719</v>
      </c>
      <c r="B1152" s="9" t="s">
        <v>249</v>
      </c>
      <c r="C1152" s="9" t="s">
        <v>1127</v>
      </c>
      <c r="D1152" s="9" t="s">
        <v>1131</v>
      </c>
      <c r="E1152" s="9" t="s">
        <v>1129</v>
      </c>
      <c r="F1152" s="9" t="s">
        <v>1133</v>
      </c>
      <c r="G1152" s="9">
        <v>1662</v>
      </c>
      <c r="H1152" s="9">
        <v>1</v>
      </c>
      <c r="I1152" s="9">
        <v>9198</v>
      </c>
      <c r="J1152" s="37">
        <v>29355</v>
      </c>
      <c r="K1152" s="9" t="s">
        <v>574</v>
      </c>
      <c r="L1152" s="9" t="s">
        <v>1974</v>
      </c>
      <c r="P1152" s="347"/>
      <c r="Q1152" s="347"/>
      <c r="S1152" s="129"/>
    </row>
    <row r="1153" spans="1:19" ht="14.25" hidden="1" customHeight="1" x14ac:dyDescent="0.25">
      <c r="A1153" s="46" t="s">
        <v>5719</v>
      </c>
      <c r="B1153" s="46" t="s">
        <v>1014</v>
      </c>
      <c r="C1153" s="46" t="s">
        <v>4828</v>
      </c>
      <c r="D1153" s="46" t="s">
        <v>4801</v>
      </c>
      <c r="E1153" s="46" t="s">
        <v>4802</v>
      </c>
      <c r="F1153" s="46" t="s">
        <v>4803</v>
      </c>
      <c r="G1153" s="46">
        <v>1680</v>
      </c>
      <c r="H1153" s="46">
        <v>20</v>
      </c>
      <c r="I1153" s="46">
        <v>9198</v>
      </c>
      <c r="J1153" s="47">
        <v>29355</v>
      </c>
      <c r="K1153" s="46" t="s">
        <v>428</v>
      </c>
      <c r="L1153" s="46" t="s">
        <v>1974</v>
      </c>
      <c r="P1153" s="347"/>
      <c r="Q1153" s="347"/>
      <c r="R1153" s="183"/>
      <c r="S1153" s="260"/>
    </row>
    <row r="1154" spans="1:19" ht="14.25" hidden="1" customHeight="1" x14ac:dyDescent="0.25">
      <c r="A1154" s="61" t="s">
        <v>5720</v>
      </c>
      <c r="B1154" s="61" t="s">
        <v>34</v>
      </c>
      <c r="C1154" s="61" t="s">
        <v>1507</v>
      </c>
      <c r="D1154" s="61" t="s">
        <v>3262</v>
      </c>
      <c r="E1154" s="61" t="s">
        <v>3263</v>
      </c>
      <c r="F1154" s="61" t="s">
        <v>3264</v>
      </c>
      <c r="G1154" s="61"/>
      <c r="H1154" s="61">
        <v>50</v>
      </c>
      <c r="I1154" s="61"/>
      <c r="J1154" s="62">
        <v>29355</v>
      </c>
      <c r="K1154" s="61"/>
      <c r="L1154" s="61" t="s">
        <v>1974</v>
      </c>
      <c r="P1154" s="347">
        <v>51</v>
      </c>
      <c r="Q1154" s="348">
        <f>P1154*100%/(1000)</f>
        <v>5.0999999999999997E-2</v>
      </c>
      <c r="R1154" s="183"/>
      <c r="S1154" s="129"/>
    </row>
    <row r="1155" spans="1:19" ht="14.25" hidden="1" customHeight="1" x14ac:dyDescent="0.25">
      <c r="A1155" s="9" t="s">
        <v>5720</v>
      </c>
      <c r="B1155" s="9" t="s">
        <v>249</v>
      </c>
      <c r="C1155" s="9" t="s">
        <v>3268</v>
      </c>
      <c r="D1155" s="9" t="s">
        <v>3265</v>
      </c>
      <c r="E1155" s="9" t="s">
        <v>3266</v>
      </c>
      <c r="F1155" s="9" t="s">
        <v>3267</v>
      </c>
      <c r="G1155" s="9"/>
      <c r="H1155" s="9">
        <v>1</v>
      </c>
      <c r="I1155" s="9"/>
      <c r="J1155" s="37">
        <v>29355</v>
      </c>
      <c r="K1155" s="9"/>
      <c r="L1155" s="9" t="s">
        <v>1974</v>
      </c>
      <c r="P1155" s="347"/>
      <c r="Q1155" s="347"/>
      <c r="R1155" s="183"/>
      <c r="S1155" s="129"/>
    </row>
    <row r="1156" spans="1:19" ht="14.25" hidden="1" customHeight="1" x14ac:dyDescent="0.25">
      <c r="A1156" s="20" t="s">
        <v>5721</v>
      </c>
      <c r="B1156" s="20" t="s">
        <v>597</v>
      </c>
      <c r="C1156" s="20" t="s">
        <v>2218</v>
      </c>
      <c r="D1156" s="20" t="s">
        <v>2152</v>
      </c>
      <c r="E1156" s="20" t="s">
        <v>2153</v>
      </c>
      <c r="F1156" s="20" t="s">
        <v>2154</v>
      </c>
      <c r="G1156" s="20">
        <v>2154</v>
      </c>
      <c r="H1156" s="20">
        <v>20</v>
      </c>
      <c r="I1156" s="20">
        <v>9198</v>
      </c>
      <c r="J1156" s="36">
        <v>29355</v>
      </c>
      <c r="K1156" s="20" t="s">
        <v>430</v>
      </c>
      <c r="L1156" s="20" t="s">
        <v>1974</v>
      </c>
      <c r="P1156" s="347">
        <v>1097</v>
      </c>
      <c r="Q1156" s="348">
        <f>P1156*100%/(1000)</f>
        <v>1.097</v>
      </c>
      <c r="R1156" s="146" t="s">
        <v>2924</v>
      </c>
      <c r="S1156" s="129" t="s">
        <v>2908</v>
      </c>
    </row>
    <row r="1157" spans="1:19" ht="14.25" hidden="1" customHeight="1" x14ac:dyDescent="0.25">
      <c r="A1157" s="57" t="s">
        <v>5721</v>
      </c>
      <c r="B1157" s="57" t="s">
        <v>11</v>
      </c>
      <c r="C1157" s="57" t="s">
        <v>2221</v>
      </c>
      <c r="D1157" s="57" t="s">
        <v>2161</v>
      </c>
      <c r="E1157" s="57" t="s">
        <v>2162</v>
      </c>
      <c r="F1157" s="57" t="s">
        <v>2163</v>
      </c>
      <c r="G1157" s="57">
        <v>2177</v>
      </c>
      <c r="H1157" s="57">
        <v>795</v>
      </c>
      <c r="I1157" s="57">
        <v>9198</v>
      </c>
      <c r="J1157" s="58">
        <v>29355</v>
      </c>
      <c r="K1157" s="57" t="s">
        <v>654</v>
      </c>
      <c r="L1157" s="57" t="s">
        <v>1974</v>
      </c>
      <c r="P1157" s="347"/>
      <c r="Q1157" s="347"/>
      <c r="R1157" s="146" t="s">
        <v>3691</v>
      </c>
      <c r="S1157" s="129"/>
    </row>
    <row r="1158" spans="1:19" ht="14.25" hidden="1" customHeight="1" x14ac:dyDescent="0.25">
      <c r="A1158" s="61" t="s">
        <v>5721</v>
      </c>
      <c r="B1158" s="61" t="s">
        <v>34</v>
      </c>
      <c r="C1158" s="61" t="s">
        <v>2219</v>
      </c>
      <c r="D1158" s="61" t="s">
        <v>2155</v>
      </c>
      <c r="E1158" s="61" t="s">
        <v>2156</v>
      </c>
      <c r="F1158" s="61" t="s">
        <v>2157</v>
      </c>
      <c r="G1158" s="61">
        <v>2157</v>
      </c>
      <c r="H1158" s="61">
        <v>280</v>
      </c>
      <c r="I1158" s="61">
        <v>9198</v>
      </c>
      <c r="J1158" s="62">
        <v>29355</v>
      </c>
      <c r="K1158" s="61" t="s">
        <v>430</v>
      </c>
      <c r="L1158" s="61" t="s">
        <v>1974</v>
      </c>
      <c r="P1158" s="347"/>
      <c r="Q1158" s="347"/>
      <c r="R1158" s="198" t="s">
        <v>6062</v>
      </c>
      <c r="S1158" s="262" t="s">
        <v>6221</v>
      </c>
    </row>
    <row r="1159" spans="1:19" ht="14.25" hidden="1" customHeight="1" x14ac:dyDescent="0.25">
      <c r="A1159" s="9" t="s">
        <v>5721</v>
      </c>
      <c r="B1159" s="9" t="s">
        <v>249</v>
      </c>
      <c r="C1159" s="9" t="s">
        <v>2220</v>
      </c>
      <c r="D1159" s="9" t="s">
        <v>2158</v>
      </c>
      <c r="E1159" s="9" t="s">
        <v>2159</v>
      </c>
      <c r="F1159" s="9" t="s">
        <v>2160</v>
      </c>
      <c r="G1159" s="9">
        <v>2175</v>
      </c>
      <c r="H1159" s="9">
        <v>1</v>
      </c>
      <c r="I1159" s="9">
        <v>9198</v>
      </c>
      <c r="J1159" s="37">
        <v>29355</v>
      </c>
      <c r="K1159" s="9" t="s">
        <v>430</v>
      </c>
      <c r="L1159" s="9" t="s">
        <v>1974</v>
      </c>
      <c r="P1159" s="347"/>
      <c r="Q1159" s="347"/>
      <c r="R1159" s="183"/>
      <c r="S1159" s="129"/>
    </row>
    <row r="1160" spans="1:19" ht="14.25" hidden="1" customHeight="1" x14ac:dyDescent="0.25">
      <c r="A1160" s="154" t="s">
        <v>5721</v>
      </c>
      <c r="B1160" s="154" t="s">
        <v>3781</v>
      </c>
      <c r="C1160" s="154" t="s">
        <v>4845</v>
      </c>
      <c r="D1160" s="154" t="s">
        <v>4825</v>
      </c>
      <c r="E1160" s="154" t="s">
        <v>4826</v>
      </c>
      <c r="F1160" s="154" t="s">
        <v>4827</v>
      </c>
      <c r="G1160" s="154">
        <v>2508</v>
      </c>
      <c r="H1160" s="154">
        <v>1</v>
      </c>
      <c r="I1160" s="154">
        <v>9198</v>
      </c>
      <c r="J1160" s="155">
        <v>29355</v>
      </c>
      <c r="K1160" s="154" t="s">
        <v>654</v>
      </c>
      <c r="L1160" s="154" t="s">
        <v>1974</v>
      </c>
      <c r="P1160" s="347"/>
      <c r="Q1160" s="347"/>
      <c r="R1160" s="183"/>
      <c r="S1160" s="129"/>
    </row>
    <row r="1161" spans="1:19" ht="14.25" hidden="1" customHeight="1" x14ac:dyDescent="0.25">
      <c r="A1161" s="57" t="s">
        <v>1695</v>
      </c>
      <c r="B1161" s="57" t="s">
        <v>11</v>
      </c>
      <c r="C1161" s="57" t="s">
        <v>2550</v>
      </c>
      <c r="D1161" s="57" t="s">
        <v>2531</v>
      </c>
      <c r="E1161" s="57" t="s">
        <v>2532</v>
      </c>
      <c r="F1161" s="57" t="s">
        <v>2533</v>
      </c>
      <c r="G1161" s="57">
        <v>884</v>
      </c>
      <c r="H1161" s="57">
        <v>303</v>
      </c>
      <c r="I1161" s="57">
        <v>65321</v>
      </c>
      <c r="J1161" s="58">
        <v>65110</v>
      </c>
      <c r="K1161" s="57" t="s">
        <v>433</v>
      </c>
      <c r="L1161" s="57" t="s">
        <v>1974</v>
      </c>
      <c r="P1161" s="347">
        <v>420</v>
      </c>
      <c r="Q1161" s="348">
        <f>P1161*100%/(2000)</f>
        <v>0.21</v>
      </c>
      <c r="S1161" s="129"/>
    </row>
    <row r="1162" spans="1:19" ht="14.25" hidden="1" customHeight="1" x14ac:dyDescent="0.25">
      <c r="A1162" s="61" t="s">
        <v>1695</v>
      </c>
      <c r="B1162" s="61" t="s">
        <v>34</v>
      </c>
      <c r="C1162" s="61" t="s">
        <v>872</v>
      </c>
      <c r="D1162" s="61" t="s">
        <v>422</v>
      </c>
      <c r="E1162" s="61" t="s">
        <v>424</v>
      </c>
      <c r="F1162" s="61" t="s">
        <v>425</v>
      </c>
      <c r="G1162" s="61">
        <v>880</v>
      </c>
      <c r="H1162" s="61">
        <v>115</v>
      </c>
      <c r="I1162" s="61">
        <v>65321</v>
      </c>
      <c r="J1162" s="62">
        <v>65110</v>
      </c>
      <c r="K1162" s="61" t="s">
        <v>436</v>
      </c>
      <c r="L1162" s="61" t="s">
        <v>1974</v>
      </c>
      <c r="P1162" s="347"/>
      <c r="Q1162" s="347"/>
      <c r="S1162" s="129"/>
    </row>
    <row r="1163" spans="1:19" ht="14.25" hidden="1" customHeight="1" x14ac:dyDescent="0.25">
      <c r="A1163" s="9" t="s">
        <v>1695</v>
      </c>
      <c r="B1163" s="9" t="s">
        <v>249</v>
      </c>
      <c r="C1163" s="9" t="s">
        <v>873</v>
      </c>
      <c r="D1163" s="9" t="s">
        <v>423</v>
      </c>
      <c r="E1163" s="9" t="s">
        <v>426</v>
      </c>
      <c r="F1163" s="9" t="s">
        <v>427</v>
      </c>
      <c r="G1163" s="9">
        <v>881</v>
      </c>
      <c r="H1163" s="9">
        <v>1</v>
      </c>
      <c r="I1163" s="9">
        <v>65321</v>
      </c>
      <c r="J1163" s="37">
        <v>65110</v>
      </c>
      <c r="K1163" s="9" t="s">
        <v>436</v>
      </c>
      <c r="L1163" s="9" t="s">
        <v>1974</v>
      </c>
      <c r="P1163" s="347"/>
      <c r="Q1163" s="347"/>
      <c r="S1163" s="129"/>
    </row>
    <row r="1164" spans="1:19" ht="14.25" hidden="1" customHeight="1" x14ac:dyDescent="0.25">
      <c r="A1164" s="154" t="s">
        <v>1695</v>
      </c>
      <c r="B1164" s="154" t="s">
        <v>3781</v>
      </c>
      <c r="C1164" s="154" t="s">
        <v>4774</v>
      </c>
      <c r="D1164" s="154" t="s">
        <v>4671</v>
      </c>
      <c r="E1164" s="154" t="s">
        <v>4672</v>
      </c>
      <c r="F1164" s="154" t="s">
        <v>4673</v>
      </c>
      <c r="G1164" s="154">
        <v>885</v>
      </c>
      <c r="H1164" s="154">
        <v>1</v>
      </c>
      <c r="I1164" s="154">
        <v>65321</v>
      </c>
      <c r="J1164" s="155">
        <v>65110</v>
      </c>
      <c r="K1164" s="154" t="s">
        <v>436</v>
      </c>
      <c r="L1164" s="154" t="s">
        <v>1975</v>
      </c>
      <c r="P1164" s="347"/>
      <c r="Q1164" s="347"/>
      <c r="S1164" s="129"/>
    </row>
    <row r="1165" spans="1:19" ht="14.25" hidden="1" customHeight="1" x14ac:dyDescent="0.25">
      <c r="A1165" s="20" t="s">
        <v>6793</v>
      </c>
      <c r="B1165" s="20" t="s">
        <v>597</v>
      </c>
      <c r="C1165" s="20" t="s">
        <v>1507</v>
      </c>
      <c r="D1165" s="20" t="s">
        <v>6794</v>
      </c>
      <c r="E1165" s="20" t="s">
        <v>6795</v>
      </c>
      <c r="F1165" s="20" t="s">
        <v>6796</v>
      </c>
      <c r="G1165" s="20"/>
      <c r="H1165" s="20">
        <v>10</v>
      </c>
      <c r="I1165" s="20"/>
      <c r="J1165" s="36">
        <v>29355</v>
      </c>
      <c r="K1165" s="20" t="s">
        <v>433</v>
      </c>
      <c r="L1165" s="20" t="s">
        <v>1975</v>
      </c>
      <c r="P1165" s="347">
        <v>1511</v>
      </c>
      <c r="Q1165" s="348">
        <f>P1165*100%/(1000)</f>
        <v>1.5109999999999999</v>
      </c>
      <c r="R1165" s="146" t="s">
        <v>2924</v>
      </c>
      <c r="S1165" s="129" t="s">
        <v>2908</v>
      </c>
    </row>
    <row r="1166" spans="1:19" ht="14.25" hidden="1" customHeight="1" x14ac:dyDescent="0.25">
      <c r="A1166" s="57" t="s">
        <v>6793</v>
      </c>
      <c r="B1166" s="57" t="s">
        <v>11</v>
      </c>
      <c r="C1166" s="57" t="s">
        <v>1507</v>
      </c>
      <c r="D1166" s="57" t="s">
        <v>6797</v>
      </c>
      <c r="E1166" s="57" t="s">
        <v>6798</v>
      </c>
      <c r="F1166" s="57" t="s">
        <v>6799</v>
      </c>
      <c r="G1166" s="57"/>
      <c r="H1166" s="57">
        <v>1200</v>
      </c>
      <c r="I1166" s="57"/>
      <c r="J1166" s="58">
        <v>29355</v>
      </c>
      <c r="K1166" s="57" t="s">
        <v>433</v>
      </c>
      <c r="L1166" s="57" t="s">
        <v>1975</v>
      </c>
      <c r="P1166" s="347"/>
      <c r="Q1166" s="347"/>
      <c r="S1166" s="129"/>
    </row>
    <row r="1167" spans="1:19" ht="14.25" hidden="1" customHeight="1" x14ac:dyDescent="0.25">
      <c r="A1167" s="61" t="s">
        <v>6793</v>
      </c>
      <c r="B1167" s="61" t="s">
        <v>34</v>
      </c>
      <c r="C1167" s="61" t="s">
        <v>1507</v>
      </c>
      <c r="D1167" s="61" t="s">
        <v>6800</v>
      </c>
      <c r="E1167" s="61" t="s">
        <v>6801</v>
      </c>
      <c r="F1167" s="61" t="s">
        <v>6802</v>
      </c>
      <c r="G1167" s="61"/>
      <c r="H1167" s="61">
        <v>300</v>
      </c>
      <c r="I1167" s="61"/>
      <c r="J1167" s="62">
        <v>29355</v>
      </c>
      <c r="K1167" s="61" t="s">
        <v>433</v>
      </c>
      <c r="L1167" s="61" t="s">
        <v>1975</v>
      </c>
      <c r="P1167" s="347"/>
      <c r="Q1167" s="347"/>
      <c r="R1167" s="198" t="s">
        <v>6062</v>
      </c>
      <c r="S1167" s="262" t="s">
        <v>6221</v>
      </c>
    </row>
    <row r="1168" spans="1:19" ht="14.25" hidden="1" customHeight="1" x14ac:dyDescent="0.25">
      <c r="A1168" s="9" t="s">
        <v>6793</v>
      </c>
      <c r="B1168" s="9" t="s">
        <v>249</v>
      </c>
      <c r="C1168" s="9" t="s">
        <v>1507</v>
      </c>
      <c r="D1168" s="9" t="s">
        <v>6803</v>
      </c>
      <c r="E1168" s="9" t="s">
        <v>6804</v>
      </c>
      <c r="F1168" s="9" t="s">
        <v>6805</v>
      </c>
      <c r="G1168" s="9"/>
      <c r="H1168" s="9">
        <v>1</v>
      </c>
      <c r="I1168" s="9"/>
      <c r="J1168" s="37">
        <v>29355</v>
      </c>
      <c r="K1168" s="9" t="s">
        <v>433</v>
      </c>
      <c r="L1168" s="9" t="s">
        <v>1974</v>
      </c>
      <c r="P1168" s="347"/>
      <c r="Q1168" s="347"/>
      <c r="R1168" s="183"/>
      <c r="S1168" s="129"/>
    </row>
    <row r="1169" spans="1:19" ht="14.25" hidden="1" customHeight="1" x14ac:dyDescent="0.25">
      <c r="A1169" s="20" t="s">
        <v>5723</v>
      </c>
      <c r="B1169" s="20" t="s">
        <v>597</v>
      </c>
      <c r="C1169" s="20" t="s">
        <v>1304</v>
      </c>
      <c r="D1169" s="20" t="s">
        <v>1185</v>
      </c>
      <c r="E1169" s="20" t="s">
        <v>1186</v>
      </c>
      <c r="F1169" s="20" t="s">
        <v>1187</v>
      </c>
      <c r="G1169" s="20">
        <v>284</v>
      </c>
      <c r="H1169" s="20">
        <v>20</v>
      </c>
      <c r="I1169" s="20">
        <v>64714</v>
      </c>
      <c r="J1169" s="36">
        <v>65234</v>
      </c>
      <c r="K1169" s="20" t="s">
        <v>435</v>
      </c>
      <c r="L1169" s="20" t="s">
        <v>1974</v>
      </c>
      <c r="P1169" s="347">
        <v>309</v>
      </c>
      <c r="Q1169" s="348">
        <f>P1169*100%/(1000)</f>
        <v>0.309</v>
      </c>
      <c r="S1169" s="129"/>
    </row>
    <row r="1170" spans="1:19" ht="14.25" hidden="1" customHeight="1" x14ac:dyDescent="0.25">
      <c r="A1170" s="57" t="s">
        <v>5723</v>
      </c>
      <c r="B1170" s="57" t="s">
        <v>11</v>
      </c>
      <c r="C1170" s="57" t="s">
        <v>2693</v>
      </c>
      <c r="D1170" s="57" t="s">
        <v>2586</v>
      </c>
      <c r="E1170" s="57" t="s">
        <v>2587</v>
      </c>
      <c r="F1170" s="57" t="s">
        <v>2588</v>
      </c>
      <c r="G1170" s="57">
        <v>1409</v>
      </c>
      <c r="H1170" s="57">
        <v>28</v>
      </c>
      <c r="I1170" s="57">
        <v>64714</v>
      </c>
      <c r="J1170" s="58">
        <v>65234</v>
      </c>
      <c r="K1170" s="57" t="s">
        <v>433</v>
      </c>
      <c r="L1170" s="57" t="s">
        <v>1974</v>
      </c>
      <c r="P1170" s="347"/>
      <c r="Q1170" s="347"/>
      <c r="S1170" s="129"/>
    </row>
    <row r="1171" spans="1:19" ht="14.25" hidden="1" customHeight="1" x14ac:dyDescent="0.25">
      <c r="A1171" s="61" t="s">
        <v>5723</v>
      </c>
      <c r="B1171" s="61" t="s">
        <v>34</v>
      </c>
      <c r="C1171" s="61" t="s">
        <v>874</v>
      </c>
      <c r="D1171" s="61" t="s">
        <v>367</v>
      </c>
      <c r="E1171" s="61" t="s">
        <v>366</v>
      </c>
      <c r="F1171" s="61" t="s">
        <v>365</v>
      </c>
      <c r="G1171" s="61">
        <v>282</v>
      </c>
      <c r="H1171" s="61">
        <v>260</v>
      </c>
      <c r="I1171" s="61">
        <v>64714</v>
      </c>
      <c r="J1171" s="62">
        <v>65234</v>
      </c>
      <c r="K1171" s="61" t="s">
        <v>435</v>
      </c>
      <c r="L1171" s="61" t="s">
        <v>1974</v>
      </c>
      <c r="P1171" s="347"/>
      <c r="Q1171" s="347"/>
      <c r="S1171" s="129"/>
    </row>
    <row r="1172" spans="1:19" ht="14.25" hidden="1" customHeight="1" x14ac:dyDescent="0.25">
      <c r="A1172" s="9" t="s">
        <v>5723</v>
      </c>
      <c r="B1172" s="9" t="s">
        <v>249</v>
      </c>
      <c r="C1172" s="9" t="s">
        <v>2694</v>
      </c>
      <c r="D1172" s="9" t="s">
        <v>2583</v>
      </c>
      <c r="E1172" s="9" t="s">
        <v>2584</v>
      </c>
      <c r="F1172" s="9" t="s">
        <v>2585</v>
      </c>
      <c r="G1172" s="9">
        <v>1412</v>
      </c>
      <c r="H1172" s="9">
        <v>1</v>
      </c>
      <c r="I1172" s="9">
        <v>64714</v>
      </c>
      <c r="J1172" s="37">
        <v>65234</v>
      </c>
      <c r="K1172" s="9" t="s">
        <v>435</v>
      </c>
      <c r="L1172" s="9" t="s">
        <v>1974</v>
      </c>
      <c r="P1172" s="347"/>
      <c r="Q1172" s="347"/>
      <c r="S1172" s="129"/>
    </row>
    <row r="1173" spans="1:19" ht="14.25" hidden="1" customHeight="1" x14ac:dyDescent="0.25">
      <c r="A1173" s="83" t="s">
        <v>5722</v>
      </c>
      <c r="B1173" s="84" t="s">
        <v>249</v>
      </c>
      <c r="C1173" s="84" t="s">
        <v>7420</v>
      </c>
      <c r="D1173" s="84" t="s">
        <v>5043</v>
      </c>
      <c r="E1173" s="84" t="s">
        <v>5044</v>
      </c>
      <c r="F1173" s="84" t="s">
        <v>5045</v>
      </c>
      <c r="G1173" s="84">
        <v>416</v>
      </c>
      <c r="H1173" s="84">
        <v>1</v>
      </c>
      <c r="I1173" s="84">
        <v>9198</v>
      </c>
      <c r="J1173" s="123">
        <v>29355</v>
      </c>
      <c r="K1173" s="84" t="s">
        <v>1417</v>
      </c>
      <c r="L1173" s="84" t="s">
        <v>1974</v>
      </c>
      <c r="P1173" s="347">
        <v>252</v>
      </c>
      <c r="Q1173" s="348">
        <f>P1173*100%/(1000)</f>
        <v>0.252</v>
      </c>
      <c r="R1173" s="183"/>
      <c r="S1173" s="129"/>
    </row>
    <row r="1174" spans="1:19" ht="14.25" hidden="1" customHeight="1" x14ac:dyDescent="0.25">
      <c r="A1174" s="61" t="s">
        <v>5722</v>
      </c>
      <c r="B1174" s="61" t="s">
        <v>34</v>
      </c>
      <c r="C1174" s="61" t="s">
        <v>4961</v>
      </c>
      <c r="D1174" s="61" t="s">
        <v>4889</v>
      </c>
      <c r="E1174" s="61" t="s">
        <v>4890</v>
      </c>
      <c r="F1174" s="61" t="s">
        <v>4891</v>
      </c>
      <c r="G1174" s="61">
        <v>2122</v>
      </c>
      <c r="H1174" s="61">
        <v>50</v>
      </c>
      <c r="I1174" s="61">
        <v>9198</v>
      </c>
      <c r="J1174" s="62">
        <v>29355</v>
      </c>
      <c r="K1174" s="61" t="s">
        <v>1417</v>
      </c>
      <c r="L1174" s="61" t="s">
        <v>1974</v>
      </c>
      <c r="P1174" s="347"/>
      <c r="Q1174" s="347"/>
      <c r="S1174" s="129"/>
    </row>
    <row r="1175" spans="1:19" ht="14.25" hidden="1" customHeight="1" x14ac:dyDescent="0.25">
      <c r="A1175" s="57" t="s">
        <v>5722</v>
      </c>
      <c r="B1175" s="57" t="s">
        <v>11</v>
      </c>
      <c r="C1175" s="57" t="s">
        <v>7421</v>
      </c>
      <c r="D1175" s="57" t="s">
        <v>7112</v>
      </c>
      <c r="E1175" s="57" t="s">
        <v>7113</v>
      </c>
      <c r="F1175" s="57" t="s">
        <v>7114</v>
      </c>
      <c r="G1175" s="57">
        <v>415</v>
      </c>
      <c r="H1175" s="57">
        <v>200</v>
      </c>
      <c r="I1175" s="57">
        <v>9198</v>
      </c>
      <c r="J1175" s="58">
        <v>29355</v>
      </c>
      <c r="K1175" s="57" t="s">
        <v>1417</v>
      </c>
      <c r="L1175" s="57" t="s">
        <v>1974</v>
      </c>
      <c r="P1175" s="347"/>
      <c r="Q1175" s="347"/>
      <c r="S1175" s="129"/>
    </row>
    <row r="1176" spans="1:19" ht="14.25" hidden="1" customHeight="1" x14ac:dyDescent="0.25">
      <c r="A1176" s="154" t="s">
        <v>5722</v>
      </c>
      <c r="B1176" s="154" t="s">
        <v>3781</v>
      </c>
      <c r="C1176" s="154" t="s">
        <v>4962</v>
      </c>
      <c r="D1176" s="154" t="s">
        <v>4892</v>
      </c>
      <c r="E1176" s="154" t="s">
        <v>4893</v>
      </c>
      <c r="F1176" s="154" t="s">
        <v>4894</v>
      </c>
      <c r="G1176" s="154">
        <v>2123</v>
      </c>
      <c r="H1176" s="154">
        <v>1</v>
      </c>
      <c r="I1176" s="154">
        <v>9198</v>
      </c>
      <c r="J1176" s="155">
        <v>29355</v>
      </c>
      <c r="K1176" s="154" t="s">
        <v>1417</v>
      </c>
      <c r="L1176" s="154" t="s">
        <v>1974</v>
      </c>
      <c r="P1176" s="347"/>
      <c r="Q1176" s="347"/>
      <c r="S1176" s="129"/>
    </row>
    <row r="1177" spans="1:19" ht="14.25" hidden="1" customHeight="1" x14ac:dyDescent="0.25">
      <c r="A1177" s="57" t="s">
        <v>6142</v>
      </c>
      <c r="B1177" s="57" t="s">
        <v>11</v>
      </c>
      <c r="C1177" s="57" t="s">
        <v>6196</v>
      </c>
      <c r="D1177" s="57" t="s">
        <v>6143</v>
      </c>
      <c r="E1177" s="57" t="s">
        <v>6144</v>
      </c>
      <c r="F1177" s="57" t="s">
        <v>6145</v>
      </c>
      <c r="G1177" s="57">
        <v>224</v>
      </c>
      <c r="H1177" s="57">
        <v>362</v>
      </c>
      <c r="I1177" s="57">
        <v>9198</v>
      </c>
      <c r="J1177" s="58">
        <v>29355</v>
      </c>
      <c r="K1177" s="57" t="s">
        <v>433</v>
      </c>
      <c r="L1177" s="57" t="s">
        <v>1974</v>
      </c>
      <c r="P1177" s="347">
        <v>631</v>
      </c>
      <c r="Q1177" s="348">
        <f>P1177*100%/(1000)</f>
        <v>0.63100000000000001</v>
      </c>
      <c r="S1177" s="129"/>
    </row>
    <row r="1178" spans="1:19" ht="14.25" hidden="1" customHeight="1" x14ac:dyDescent="0.25">
      <c r="A1178" s="61" t="s">
        <v>6142</v>
      </c>
      <c r="B1178" s="61" t="s">
        <v>34</v>
      </c>
      <c r="C1178" s="61" t="s">
        <v>6195</v>
      </c>
      <c r="D1178" s="61" t="s">
        <v>6146</v>
      </c>
      <c r="E1178" s="61" t="s">
        <v>6147</v>
      </c>
      <c r="F1178" s="61" t="s">
        <v>6148</v>
      </c>
      <c r="G1178" s="61">
        <v>223</v>
      </c>
      <c r="H1178" s="61">
        <v>60</v>
      </c>
      <c r="I1178" s="61">
        <v>9198</v>
      </c>
      <c r="J1178" s="62">
        <v>29355</v>
      </c>
      <c r="K1178" s="61" t="s">
        <v>433</v>
      </c>
      <c r="L1178" s="61" t="s">
        <v>1974</v>
      </c>
      <c r="P1178" s="347"/>
      <c r="Q1178" s="347"/>
      <c r="S1178" s="129"/>
    </row>
    <row r="1179" spans="1:19" ht="14.25" hidden="1" customHeight="1" x14ac:dyDescent="0.25">
      <c r="A1179" s="9" t="s">
        <v>6142</v>
      </c>
      <c r="B1179" s="9" t="s">
        <v>249</v>
      </c>
      <c r="C1179" s="9" t="s">
        <v>6197</v>
      </c>
      <c r="D1179" s="9" t="s">
        <v>6149</v>
      </c>
      <c r="E1179" s="9" t="s">
        <v>6150</v>
      </c>
      <c r="F1179" s="9" t="s">
        <v>6151</v>
      </c>
      <c r="G1179" s="9">
        <v>225</v>
      </c>
      <c r="H1179" s="9">
        <v>1</v>
      </c>
      <c r="I1179" s="9">
        <v>9198</v>
      </c>
      <c r="J1179" s="37">
        <v>29355</v>
      </c>
      <c r="K1179" s="9" t="s">
        <v>433</v>
      </c>
      <c r="L1179" s="9" t="s">
        <v>1974</v>
      </c>
      <c r="P1179" s="347"/>
      <c r="Q1179" s="347"/>
      <c r="S1179" s="129"/>
    </row>
    <row r="1180" spans="1:19" ht="14.25" hidden="1" customHeight="1" x14ac:dyDescent="0.25">
      <c r="A1180" s="46" t="s">
        <v>6142</v>
      </c>
      <c r="B1180" s="46" t="s">
        <v>1014</v>
      </c>
      <c r="C1180" s="46" t="s">
        <v>6198</v>
      </c>
      <c r="D1180" s="46" t="s">
        <v>6152</v>
      </c>
      <c r="E1180" s="46" t="s">
        <v>6153</v>
      </c>
      <c r="F1180" s="46" t="s">
        <v>6154</v>
      </c>
      <c r="G1180" s="46">
        <v>226</v>
      </c>
      <c r="H1180" s="46">
        <v>300</v>
      </c>
      <c r="I1180" s="46">
        <v>9198</v>
      </c>
      <c r="J1180" s="47">
        <v>29355</v>
      </c>
      <c r="K1180" s="46" t="s">
        <v>428</v>
      </c>
      <c r="L1180" s="46" t="s">
        <v>1974</v>
      </c>
      <c r="P1180" s="347"/>
      <c r="Q1180" s="347"/>
      <c r="S1180" s="129"/>
    </row>
    <row r="1181" spans="1:19" ht="14.25" hidden="1" customHeight="1" x14ac:dyDescent="0.25">
      <c r="A1181" s="20" t="s">
        <v>5724</v>
      </c>
      <c r="B1181" s="20" t="s">
        <v>597</v>
      </c>
      <c r="C1181" s="20" t="s">
        <v>4525</v>
      </c>
      <c r="D1181" s="20" t="s">
        <v>4444</v>
      </c>
      <c r="E1181" s="20" t="s">
        <v>4445</v>
      </c>
      <c r="F1181" s="20" t="s">
        <v>4446</v>
      </c>
      <c r="G1181" s="20">
        <v>2256</v>
      </c>
      <c r="H1181" s="20">
        <v>7</v>
      </c>
      <c r="I1181" s="20">
        <v>64724</v>
      </c>
      <c r="J1181" s="36">
        <v>65233</v>
      </c>
      <c r="K1181" s="20" t="s">
        <v>431</v>
      </c>
      <c r="L1181" s="20" t="s">
        <v>1974</v>
      </c>
      <c r="P1181" s="347">
        <v>557</v>
      </c>
      <c r="Q1181" s="348">
        <f>P1181*100%/(1000)</f>
        <v>0.55700000000000005</v>
      </c>
      <c r="S1181" s="129"/>
    </row>
    <row r="1182" spans="1:19" ht="14.25" hidden="1" customHeight="1" x14ac:dyDescent="0.25">
      <c r="A1182" s="137" t="s">
        <v>5724</v>
      </c>
      <c r="B1182" s="139" t="s">
        <v>11</v>
      </c>
      <c r="C1182" s="139" t="s">
        <v>2951</v>
      </c>
      <c r="D1182" s="139" t="s">
        <v>2928</v>
      </c>
      <c r="E1182" s="139" t="s">
        <v>2929</v>
      </c>
      <c r="F1182" s="139" t="s">
        <v>2930</v>
      </c>
      <c r="G1182" s="139">
        <v>424</v>
      </c>
      <c r="H1182" s="139">
        <v>230</v>
      </c>
      <c r="I1182" s="139">
        <v>64724</v>
      </c>
      <c r="J1182" s="140">
        <v>65233</v>
      </c>
      <c r="K1182" s="139" t="s">
        <v>522</v>
      </c>
      <c r="L1182" s="139" t="s">
        <v>1974</v>
      </c>
      <c r="P1182" s="347"/>
      <c r="Q1182" s="347"/>
      <c r="S1182" s="129"/>
    </row>
    <row r="1183" spans="1:19" ht="14.25" hidden="1" customHeight="1" x14ac:dyDescent="0.25">
      <c r="A1183" s="61" t="s">
        <v>5724</v>
      </c>
      <c r="B1183" s="61" t="s">
        <v>34</v>
      </c>
      <c r="C1183" s="61" t="s">
        <v>875</v>
      </c>
      <c r="D1183" s="61" t="s">
        <v>306</v>
      </c>
      <c r="E1183" s="61" t="s">
        <v>304</v>
      </c>
      <c r="F1183" s="61" t="s">
        <v>305</v>
      </c>
      <c r="G1183" s="61">
        <v>423</v>
      </c>
      <c r="H1183" s="61">
        <v>430</v>
      </c>
      <c r="I1183" s="61">
        <v>64724</v>
      </c>
      <c r="J1183" s="61">
        <v>65233</v>
      </c>
      <c r="K1183" s="61" t="s">
        <v>431</v>
      </c>
      <c r="L1183" s="61" t="s">
        <v>1974</v>
      </c>
      <c r="P1183" s="347"/>
      <c r="Q1183" s="347"/>
      <c r="S1183" s="129"/>
    </row>
    <row r="1184" spans="1:19" ht="14.25" hidden="1" customHeight="1" x14ac:dyDescent="0.25">
      <c r="A1184" s="9" t="s">
        <v>5724</v>
      </c>
      <c r="B1184" s="9" t="s">
        <v>249</v>
      </c>
      <c r="C1184" s="9" t="s">
        <v>876</v>
      </c>
      <c r="D1184" s="9" t="s">
        <v>309</v>
      </c>
      <c r="E1184" s="9" t="s">
        <v>307</v>
      </c>
      <c r="F1184" s="9" t="s">
        <v>308</v>
      </c>
      <c r="G1184" s="9">
        <v>422</v>
      </c>
      <c r="H1184" s="9">
        <v>1</v>
      </c>
      <c r="I1184" s="9">
        <v>64724</v>
      </c>
      <c r="J1184" s="37">
        <v>65233</v>
      </c>
      <c r="K1184" s="9" t="s">
        <v>431</v>
      </c>
      <c r="L1184" s="9" t="s">
        <v>1974</v>
      </c>
      <c r="P1184" s="347"/>
      <c r="Q1184" s="347"/>
      <c r="S1184" s="129"/>
    </row>
    <row r="1185" spans="1:19" ht="14.25" hidden="1" customHeight="1" x14ac:dyDescent="0.25">
      <c r="A1185" s="61" t="s">
        <v>5089</v>
      </c>
      <c r="B1185" s="61" t="s">
        <v>34</v>
      </c>
      <c r="C1185" s="61" t="s">
        <v>5132</v>
      </c>
      <c r="D1185" s="61"/>
      <c r="E1185" s="61"/>
      <c r="F1185" s="61" t="s">
        <v>5085</v>
      </c>
      <c r="G1185" s="61">
        <v>3716</v>
      </c>
      <c r="H1185" s="61">
        <v>50</v>
      </c>
      <c r="I1185" s="61" t="s">
        <v>1454</v>
      </c>
      <c r="J1185" s="62" t="s">
        <v>1454</v>
      </c>
      <c r="K1185" s="61" t="s">
        <v>428</v>
      </c>
      <c r="L1185" s="61" t="s">
        <v>1974</v>
      </c>
      <c r="P1185" s="347">
        <v>52</v>
      </c>
      <c r="Q1185" s="348">
        <f>P1185*100%/(1000)</f>
        <v>5.1999999999999998E-2</v>
      </c>
      <c r="S1185" s="129"/>
    </row>
    <row r="1186" spans="1:19" ht="14.25" hidden="1" customHeight="1" x14ac:dyDescent="0.25">
      <c r="A1186" s="142" t="s">
        <v>5089</v>
      </c>
      <c r="B1186" s="9" t="s">
        <v>249</v>
      </c>
      <c r="C1186" s="9" t="s">
        <v>5133</v>
      </c>
      <c r="D1186" s="9"/>
      <c r="E1186" s="9"/>
      <c r="F1186" s="9" t="s">
        <v>5084</v>
      </c>
      <c r="G1186" s="9">
        <v>3728</v>
      </c>
      <c r="H1186" s="9">
        <v>1</v>
      </c>
      <c r="I1186" s="9" t="s">
        <v>1454</v>
      </c>
      <c r="J1186" s="37" t="s">
        <v>1454</v>
      </c>
      <c r="K1186" s="9" t="s">
        <v>428</v>
      </c>
      <c r="L1186" s="9" t="s">
        <v>1974</v>
      </c>
      <c r="P1186" s="347"/>
      <c r="Q1186" s="347"/>
      <c r="S1186" s="129"/>
    </row>
    <row r="1187" spans="1:19" ht="14.25" hidden="1" customHeight="1" x14ac:dyDescent="0.25">
      <c r="A1187" s="154" t="s">
        <v>5089</v>
      </c>
      <c r="B1187" s="154" t="s">
        <v>3781</v>
      </c>
      <c r="C1187" s="154" t="s">
        <v>5134</v>
      </c>
      <c r="D1187" s="154"/>
      <c r="E1187" s="154"/>
      <c r="F1187" s="154" t="s">
        <v>5083</v>
      </c>
      <c r="G1187" s="154">
        <v>2325</v>
      </c>
      <c r="H1187" s="154">
        <v>1</v>
      </c>
      <c r="I1187" s="154" t="s">
        <v>1454</v>
      </c>
      <c r="J1187" s="155" t="s">
        <v>1454</v>
      </c>
      <c r="K1187" s="154" t="s">
        <v>428</v>
      </c>
      <c r="L1187" s="154" t="s">
        <v>1974</v>
      </c>
      <c r="P1187" s="347"/>
      <c r="Q1187" s="347"/>
      <c r="S1187" s="129"/>
    </row>
    <row r="1188" spans="1:19" ht="14.25" hidden="1" customHeight="1" x14ac:dyDescent="0.25">
      <c r="A1188" s="20" t="s">
        <v>7529</v>
      </c>
      <c r="B1188" s="20" t="s">
        <v>597</v>
      </c>
      <c r="C1188" s="20" t="s">
        <v>1507</v>
      </c>
      <c r="D1188" s="20"/>
      <c r="E1188" s="20"/>
      <c r="F1188" s="20"/>
      <c r="G1188" s="20">
        <v>2461</v>
      </c>
      <c r="H1188" s="20">
        <v>2</v>
      </c>
      <c r="I1188" s="20" t="s">
        <v>1454</v>
      </c>
      <c r="J1188" s="20" t="s">
        <v>1454</v>
      </c>
      <c r="K1188" s="20" t="s">
        <v>1417</v>
      </c>
      <c r="L1188" s="20" t="s">
        <v>1972</v>
      </c>
      <c r="P1188" s="329"/>
      <c r="Q1188" s="329"/>
      <c r="S1188" s="129"/>
    </row>
    <row r="1189" spans="1:19" ht="14.25" hidden="1" customHeight="1" x14ac:dyDescent="0.25">
      <c r="A1189" s="141" t="s">
        <v>7529</v>
      </c>
      <c r="B1189" s="141" t="s">
        <v>34</v>
      </c>
      <c r="C1189" s="141" t="s">
        <v>1507</v>
      </c>
      <c r="D1189" s="141"/>
      <c r="E1189" s="141"/>
      <c r="F1189" s="141"/>
      <c r="G1189" s="141">
        <v>2462</v>
      </c>
      <c r="H1189" s="141">
        <v>40</v>
      </c>
      <c r="I1189" s="141" t="s">
        <v>1454</v>
      </c>
      <c r="J1189" s="141" t="s">
        <v>1454</v>
      </c>
      <c r="K1189" s="141" t="s">
        <v>1417</v>
      </c>
      <c r="L1189" s="141" t="s">
        <v>1972</v>
      </c>
      <c r="P1189" s="329"/>
      <c r="Q1189" s="329"/>
      <c r="S1189" s="129"/>
    </row>
    <row r="1190" spans="1:19" ht="14.25" hidden="1" customHeight="1" x14ac:dyDescent="0.25">
      <c r="A1190" s="137" t="s">
        <v>7529</v>
      </c>
      <c r="B1190" s="137" t="s">
        <v>11</v>
      </c>
      <c r="C1190" s="137" t="s">
        <v>1507</v>
      </c>
      <c r="D1190" s="137"/>
      <c r="E1190" s="137"/>
      <c r="F1190" s="137"/>
      <c r="G1190" s="137">
        <v>2463</v>
      </c>
      <c r="H1190" s="137">
        <v>80</v>
      </c>
      <c r="I1190" s="137" t="s">
        <v>1454</v>
      </c>
      <c r="J1190" s="137" t="s">
        <v>1454</v>
      </c>
      <c r="K1190" s="137" t="s">
        <v>1417</v>
      </c>
      <c r="L1190" s="137" t="s">
        <v>1972</v>
      </c>
      <c r="P1190" s="329"/>
      <c r="Q1190" s="329"/>
      <c r="S1190" s="129"/>
    </row>
    <row r="1191" spans="1:19" ht="14.25" hidden="1" customHeight="1" x14ac:dyDescent="0.25">
      <c r="A1191" s="9" t="s">
        <v>7529</v>
      </c>
      <c r="B1191" s="9" t="s">
        <v>6092</v>
      </c>
      <c r="C1191" s="9" t="s">
        <v>1507</v>
      </c>
      <c r="D1191" s="9"/>
      <c r="E1191" s="9"/>
      <c r="F1191" s="9"/>
      <c r="G1191" s="9">
        <v>2464</v>
      </c>
      <c r="H1191" s="9">
        <v>1</v>
      </c>
      <c r="I1191" s="9" t="s">
        <v>1454</v>
      </c>
      <c r="J1191" s="9" t="s">
        <v>1454</v>
      </c>
      <c r="K1191" s="9" t="s">
        <v>1417</v>
      </c>
      <c r="L1191" s="9" t="s">
        <v>1972</v>
      </c>
      <c r="P1191" s="329"/>
      <c r="Q1191" s="329"/>
      <c r="S1191" s="129"/>
    </row>
    <row r="1192" spans="1:19" ht="14.25" hidden="1" customHeight="1" x14ac:dyDescent="0.25">
      <c r="A1192" s="9" t="s">
        <v>7529</v>
      </c>
      <c r="B1192" s="9" t="s">
        <v>249</v>
      </c>
      <c r="C1192" s="9" t="s">
        <v>1507</v>
      </c>
      <c r="D1192" s="9"/>
      <c r="E1192" s="9"/>
      <c r="F1192" s="9"/>
      <c r="G1192" s="9">
        <v>2465</v>
      </c>
      <c r="H1192" s="9">
        <v>1</v>
      </c>
      <c r="I1192" s="9" t="s">
        <v>1454</v>
      </c>
      <c r="J1192" s="9" t="s">
        <v>1454</v>
      </c>
      <c r="K1192" s="9" t="s">
        <v>1417</v>
      </c>
      <c r="L1192" s="9" t="s">
        <v>1972</v>
      </c>
      <c r="P1192" s="329"/>
      <c r="Q1192" s="329"/>
      <c r="S1192" s="129"/>
    </row>
    <row r="1193" spans="1:19" ht="14.25" hidden="1" customHeight="1" x14ac:dyDescent="0.25">
      <c r="A1193" s="154" t="s">
        <v>5725</v>
      </c>
      <c r="B1193" s="154" t="s">
        <v>3781</v>
      </c>
      <c r="C1193" s="154" t="s">
        <v>4533</v>
      </c>
      <c r="D1193" s="154" t="s">
        <v>4398</v>
      </c>
      <c r="E1193" s="154" t="s">
        <v>4399</v>
      </c>
      <c r="F1193" s="154" t="s">
        <v>4400</v>
      </c>
      <c r="G1193" s="154">
        <v>1701</v>
      </c>
      <c r="H1193" s="154">
        <v>1</v>
      </c>
      <c r="I1193" s="154">
        <v>9198</v>
      </c>
      <c r="J1193" s="155">
        <v>29355</v>
      </c>
      <c r="K1193" s="154" t="s">
        <v>654</v>
      </c>
      <c r="L1193" s="154" t="s">
        <v>1974</v>
      </c>
      <c r="P1193" s="347">
        <v>113</v>
      </c>
      <c r="Q1193" s="348">
        <f>P1193*100%/(1000)</f>
        <v>0.113</v>
      </c>
      <c r="S1193" s="129"/>
    </row>
    <row r="1194" spans="1:19" ht="14.25" hidden="1" customHeight="1" x14ac:dyDescent="0.25">
      <c r="A1194" s="20" t="s">
        <v>5725</v>
      </c>
      <c r="B1194" s="20" t="s">
        <v>597</v>
      </c>
      <c r="C1194" s="20" t="s">
        <v>4597</v>
      </c>
      <c r="D1194" s="20" t="s">
        <v>4389</v>
      </c>
      <c r="E1194" s="20" t="s">
        <v>4390</v>
      </c>
      <c r="F1194" s="20" t="s">
        <v>4391</v>
      </c>
      <c r="G1194" s="20">
        <v>1698</v>
      </c>
      <c r="H1194" s="20">
        <v>4</v>
      </c>
      <c r="I1194" s="20">
        <v>9198</v>
      </c>
      <c r="J1194" s="20">
        <v>29355</v>
      </c>
      <c r="K1194" s="20" t="s">
        <v>440</v>
      </c>
      <c r="L1194" s="20" t="s">
        <v>1974</v>
      </c>
      <c r="P1194" s="347"/>
      <c r="Q1194" s="347"/>
      <c r="S1194" s="129"/>
    </row>
    <row r="1195" spans="1:19" ht="14.25" hidden="1" customHeight="1" x14ac:dyDescent="0.25">
      <c r="A1195" s="141" t="s">
        <v>5725</v>
      </c>
      <c r="B1195" s="61" t="s">
        <v>34</v>
      </c>
      <c r="C1195" s="141" t="s">
        <v>4541</v>
      </c>
      <c r="D1195" s="141" t="s">
        <v>4392</v>
      </c>
      <c r="E1195" s="141" t="s">
        <v>4393</v>
      </c>
      <c r="F1195" s="141" t="s">
        <v>4394</v>
      </c>
      <c r="G1195" s="141">
        <v>1699</v>
      </c>
      <c r="H1195" s="141">
        <v>107</v>
      </c>
      <c r="I1195" s="141">
        <v>9198</v>
      </c>
      <c r="J1195" s="62">
        <v>29355</v>
      </c>
      <c r="K1195" s="61" t="s">
        <v>440</v>
      </c>
      <c r="L1195" s="61" t="s">
        <v>1974</v>
      </c>
      <c r="P1195" s="347"/>
      <c r="Q1195" s="347"/>
      <c r="S1195" s="129"/>
    </row>
    <row r="1196" spans="1:19" ht="14.25" hidden="1" customHeight="1" x14ac:dyDescent="0.25">
      <c r="A1196" s="9" t="s">
        <v>5725</v>
      </c>
      <c r="B1196" s="9" t="s">
        <v>249</v>
      </c>
      <c r="C1196" s="9" t="s">
        <v>4540</v>
      </c>
      <c r="D1196" s="9" t="s">
        <v>4395</v>
      </c>
      <c r="E1196" s="9" t="s">
        <v>4396</v>
      </c>
      <c r="F1196" s="9" t="s">
        <v>4397</v>
      </c>
      <c r="G1196" s="9">
        <v>1700</v>
      </c>
      <c r="H1196" s="9">
        <v>1</v>
      </c>
      <c r="I1196" s="9">
        <v>9198</v>
      </c>
      <c r="J1196" s="37">
        <v>29355</v>
      </c>
      <c r="K1196" s="9" t="s">
        <v>440</v>
      </c>
      <c r="L1196" s="9" t="s">
        <v>1974</v>
      </c>
      <c r="P1196" s="347"/>
      <c r="Q1196" s="347"/>
      <c r="S1196" s="129"/>
    </row>
    <row r="1197" spans="1:19" ht="14.25" hidden="1" customHeight="1" x14ac:dyDescent="0.25">
      <c r="A1197" s="20" t="s">
        <v>5726</v>
      </c>
      <c r="B1197" s="20" t="s">
        <v>597</v>
      </c>
      <c r="C1197" s="20" t="s">
        <v>4699</v>
      </c>
      <c r="D1197" s="20" t="s">
        <v>4643</v>
      </c>
      <c r="E1197" s="20" t="s">
        <v>4644</v>
      </c>
      <c r="F1197" s="20" t="s">
        <v>4645</v>
      </c>
      <c r="G1197" s="20">
        <v>2659</v>
      </c>
      <c r="H1197" s="20">
        <v>20</v>
      </c>
      <c r="I1197" s="20">
        <v>9198</v>
      </c>
      <c r="J1197" s="36">
        <v>29355</v>
      </c>
      <c r="K1197" s="20" t="s">
        <v>430</v>
      </c>
      <c r="L1197" s="20" t="s">
        <v>1974</v>
      </c>
      <c r="P1197" s="347">
        <v>348</v>
      </c>
      <c r="Q1197" s="348">
        <f>P1197*100%/(1000)</f>
        <v>0.34799999999999998</v>
      </c>
      <c r="S1197" s="129"/>
    </row>
    <row r="1198" spans="1:19" ht="14.25" hidden="1" customHeight="1" x14ac:dyDescent="0.25">
      <c r="A1198" s="61" t="s">
        <v>5726</v>
      </c>
      <c r="B1198" s="61" t="s">
        <v>34</v>
      </c>
      <c r="C1198" s="61" t="s">
        <v>4700</v>
      </c>
      <c r="D1198" s="61" t="s">
        <v>4646</v>
      </c>
      <c r="E1198" s="61" t="s">
        <v>4647</v>
      </c>
      <c r="F1198" s="61" t="s">
        <v>4648</v>
      </c>
      <c r="G1198" s="61">
        <v>2660</v>
      </c>
      <c r="H1198" s="61">
        <v>326</v>
      </c>
      <c r="I1198" s="61">
        <v>9198</v>
      </c>
      <c r="J1198" s="61">
        <v>29355</v>
      </c>
      <c r="K1198" s="61" t="s">
        <v>430</v>
      </c>
      <c r="L1198" s="61" t="s">
        <v>1974</v>
      </c>
      <c r="P1198" s="347"/>
      <c r="Q1198" s="347"/>
      <c r="S1198" s="129"/>
    </row>
    <row r="1199" spans="1:19" ht="14.25" hidden="1" customHeight="1" x14ac:dyDescent="0.25">
      <c r="A1199" s="142" t="s">
        <v>5726</v>
      </c>
      <c r="B1199" s="9" t="s">
        <v>249</v>
      </c>
      <c r="C1199" s="142" t="s">
        <v>4701</v>
      </c>
      <c r="D1199" s="142" t="s">
        <v>4649</v>
      </c>
      <c r="E1199" s="142" t="s">
        <v>4650</v>
      </c>
      <c r="F1199" s="142" t="s">
        <v>4651</v>
      </c>
      <c r="G1199" s="142">
        <v>2661</v>
      </c>
      <c r="H1199" s="142">
        <v>2</v>
      </c>
      <c r="I1199" s="142">
        <v>9198</v>
      </c>
      <c r="J1199" s="37">
        <v>29355</v>
      </c>
      <c r="K1199" s="9" t="s">
        <v>430</v>
      </c>
      <c r="L1199" s="9" t="s">
        <v>1974</v>
      </c>
      <c r="P1199" s="347"/>
      <c r="Q1199" s="347"/>
      <c r="S1199" s="129"/>
    </row>
    <row r="1200" spans="1:19" ht="14.25" hidden="1" customHeight="1" x14ac:dyDescent="0.25">
      <c r="A1200" s="137" t="s">
        <v>5726</v>
      </c>
      <c r="B1200" s="137" t="s">
        <v>11</v>
      </c>
      <c r="C1200" s="137" t="s">
        <v>1507</v>
      </c>
      <c r="D1200" s="137" t="s">
        <v>7456</v>
      </c>
      <c r="E1200" s="137" t="s">
        <v>7457</v>
      </c>
      <c r="F1200" s="137" t="s">
        <v>7458</v>
      </c>
      <c r="G1200" s="137"/>
      <c r="H1200" s="137">
        <v>250</v>
      </c>
      <c r="I1200" s="137">
        <v>9198</v>
      </c>
      <c r="J1200" s="137">
        <v>29355</v>
      </c>
      <c r="K1200" s="137" t="s">
        <v>430</v>
      </c>
      <c r="L1200" s="137" t="s">
        <v>1974</v>
      </c>
      <c r="P1200" s="324"/>
      <c r="Q1200" s="324"/>
      <c r="S1200" s="129"/>
    </row>
    <row r="1201" spans="1:19" ht="14.25" hidden="1" customHeight="1" x14ac:dyDescent="0.25">
      <c r="A1201" s="154" t="s">
        <v>5727</v>
      </c>
      <c r="B1201" s="154" t="s">
        <v>3781</v>
      </c>
      <c r="C1201" s="154" t="s">
        <v>1507</v>
      </c>
      <c r="D1201" s="154" t="s">
        <v>5152</v>
      </c>
      <c r="E1201" s="154" t="s">
        <v>5153</v>
      </c>
      <c r="F1201" s="154" t="s">
        <v>5154</v>
      </c>
      <c r="G1201" s="154"/>
      <c r="H1201" s="154">
        <v>1</v>
      </c>
      <c r="I1201" s="154"/>
      <c r="J1201" s="155">
        <v>29355</v>
      </c>
      <c r="K1201" s="154" t="s">
        <v>654</v>
      </c>
      <c r="L1201" s="154" t="s">
        <v>1974</v>
      </c>
      <c r="P1201" s="347">
        <v>6</v>
      </c>
      <c r="Q1201" s="348">
        <f>P1201*100%/(1000)</f>
        <v>6.0000000000000001E-3</v>
      </c>
      <c r="R1201" s="183"/>
      <c r="S1201" s="129"/>
    </row>
    <row r="1202" spans="1:19" ht="14.25" hidden="1" customHeight="1" x14ac:dyDescent="0.25">
      <c r="A1202" s="20" t="s">
        <v>5727</v>
      </c>
      <c r="B1202" s="20" t="s">
        <v>597</v>
      </c>
      <c r="C1202" s="20" t="s">
        <v>5055</v>
      </c>
      <c r="D1202" s="20" t="s">
        <v>3542</v>
      </c>
      <c r="E1202" s="20" t="s">
        <v>3543</v>
      </c>
      <c r="F1202" s="20" t="s">
        <v>3544</v>
      </c>
      <c r="G1202" s="20">
        <v>1481</v>
      </c>
      <c r="H1202" s="20">
        <v>4</v>
      </c>
      <c r="I1202" s="20">
        <v>9198</v>
      </c>
      <c r="J1202" s="36">
        <v>29355</v>
      </c>
      <c r="K1202" s="20" t="s">
        <v>1417</v>
      </c>
      <c r="L1202" s="20" t="s">
        <v>1974</v>
      </c>
      <c r="P1202" s="347"/>
      <c r="Q1202" s="347"/>
      <c r="S1202" s="129"/>
    </row>
    <row r="1203" spans="1:19" ht="14.25" hidden="1" customHeight="1" x14ac:dyDescent="0.25">
      <c r="A1203" s="9" t="s">
        <v>5727</v>
      </c>
      <c r="B1203" s="9" t="s">
        <v>249</v>
      </c>
      <c r="C1203" s="9" t="s">
        <v>5056</v>
      </c>
      <c r="D1203" s="9" t="s">
        <v>3545</v>
      </c>
      <c r="E1203" s="9" t="s">
        <v>3546</v>
      </c>
      <c r="F1203" s="9" t="s">
        <v>3547</v>
      </c>
      <c r="G1203" s="9">
        <v>1492</v>
      </c>
      <c r="H1203" s="9">
        <v>1</v>
      </c>
      <c r="I1203" s="9">
        <v>9198</v>
      </c>
      <c r="J1203" s="37">
        <v>29355</v>
      </c>
      <c r="K1203" s="9" t="s">
        <v>1417</v>
      </c>
      <c r="L1203" s="9" t="s">
        <v>1974</v>
      </c>
      <c r="P1203" s="347"/>
      <c r="Q1203" s="347"/>
      <c r="S1203" s="129"/>
    </row>
    <row r="1204" spans="1:19" ht="14.25" hidden="1" customHeight="1" x14ac:dyDescent="0.25">
      <c r="A1204" s="61" t="s">
        <v>6456</v>
      </c>
      <c r="B1204" s="61" t="s">
        <v>34</v>
      </c>
      <c r="C1204" s="61" t="s">
        <v>6712</v>
      </c>
      <c r="D1204" s="61"/>
      <c r="E1204" s="61"/>
      <c r="F1204" s="61" t="s">
        <v>6457</v>
      </c>
      <c r="G1204" s="61">
        <v>2387</v>
      </c>
      <c r="H1204" s="61">
        <v>50</v>
      </c>
      <c r="I1204" s="61" t="s">
        <v>1454</v>
      </c>
      <c r="J1204" s="62" t="s">
        <v>1454</v>
      </c>
      <c r="K1204" s="61" t="s">
        <v>1417</v>
      </c>
      <c r="L1204" s="61" t="s">
        <v>1972</v>
      </c>
      <c r="P1204" s="347">
        <v>55</v>
      </c>
      <c r="Q1204" s="348">
        <f>P1204*100%/(1000)</f>
        <v>5.5E-2</v>
      </c>
      <c r="S1204" s="129"/>
    </row>
    <row r="1205" spans="1:19" ht="14.25" hidden="1" customHeight="1" x14ac:dyDescent="0.25">
      <c r="A1205" s="154" t="s">
        <v>6456</v>
      </c>
      <c r="B1205" s="154" t="s">
        <v>3781</v>
      </c>
      <c r="C1205" s="154" t="s">
        <v>6714</v>
      </c>
      <c r="D1205" s="154"/>
      <c r="E1205" s="154"/>
      <c r="F1205" s="154" t="s">
        <v>6458</v>
      </c>
      <c r="G1205" s="154">
        <v>2388</v>
      </c>
      <c r="H1205" s="154">
        <v>1</v>
      </c>
      <c r="I1205" s="154" t="s">
        <v>1454</v>
      </c>
      <c r="J1205" s="155" t="s">
        <v>1454</v>
      </c>
      <c r="K1205" s="154" t="s">
        <v>1417</v>
      </c>
      <c r="L1205" s="154" t="s">
        <v>1972</v>
      </c>
      <c r="P1205" s="347"/>
      <c r="Q1205" s="347"/>
      <c r="S1205" s="129"/>
    </row>
    <row r="1206" spans="1:19" ht="14.25" hidden="1" customHeight="1" x14ac:dyDescent="0.25">
      <c r="A1206" s="20" t="s">
        <v>6456</v>
      </c>
      <c r="B1206" s="20" t="s">
        <v>597</v>
      </c>
      <c r="C1206" s="20" t="s">
        <v>6713</v>
      </c>
      <c r="D1206" s="20"/>
      <c r="E1206" s="20"/>
      <c r="F1206" s="20" t="s">
        <v>6459</v>
      </c>
      <c r="G1206" s="20">
        <v>2389</v>
      </c>
      <c r="H1206" s="20">
        <v>4</v>
      </c>
      <c r="I1206" s="20" t="s">
        <v>1454</v>
      </c>
      <c r="J1206" s="36" t="s">
        <v>1454</v>
      </c>
      <c r="K1206" s="20" t="s">
        <v>1417</v>
      </c>
      <c r="L1206" s="20" t="s">
        <v>1972</v>
      </c>
      <c r="P1206" s="347"/>
      <c r="Q1206" s="347"/>
      <c r="S1206" s="129"/>
    </row>
    <row r="1207" spans="1:19" ht="14.25" hidden="1" customHeight="1" x14ac:dyDescent="0.25">
      <c r="A1207" s="9" t="s">
        <v>6456</v>
      </c>
      <c r="B1207" s="9" t="s">
        <v>249</v>
      </c>
      <c r="C1207" s="9" t="s">
        <v>1507</v>
      </c>
      <c r="D1207" s="9"/>
      <c r="E1207" s="9"/>
      <c r="F1207" s="9" t="s">
        <v>7550</v>
      </c>
      <c r="G1207" s="9">
        <v>2486</v>
      </c>
      <c r="H1207" s="9">
        <v>1</v>
      </c>
      <c r="I1207" s="9" t="s">
        <v>1454</v>
      </c>
      <c r="J1207" s="9" t="s">
        <v>1454</v>
      </c>
      <c r="K1207" s="9" t="s">
        <v>1417</v>
      </c>
      <c r="L1207" s="9" t="s">
        <v>1972</v>
      </c>
      <c r="P1207" s="334"/>
      <c r="Q1207" s="334"/>
      <c r="S1207" s="129"/>
    </row>
    <row r="1208" spans="1:19" ht="14.25" hidden="1" customHeight="1" x14ac:dyDescent="0.25">
      <c r="A1208" s="20" t="s">
        <v>5728</v>
      </c>
      <c r="B1208" s="20" t="s">
        <v>597</v>
      </c>
      <c r="C1208" s="20" t="s">
        <v>877</v>
      </c>
      <c r="D1208" s="20" t="s">
        <v>460</v>
      </c>
      <c r="E1208" s="20" t="s">
        <v>461</v>
      </c>
      <c r="F1208" s="20" t="s">
        <v>462</v>
      </c>
      <c r="G1208" s="20">
        <v>819</v>
      </c>
      <c r="H1208" s="20">
        <v>9</v>
      </c>
      <c r="I1208" s="20">
        <v>9198</v>
      </c>
      <c r="J1208" s="36">
        <v>65247</v>
      </c>
      <c r="K1208" s="20" t="s">
        <v>434</v>
      </c>
      <c r="L1208" s="20" t="s">
        <v>1974</v>
      </c>
      <c r="P1208" s="347">
        <v>161</v>
      </c>
      <c r="Q1208" s="348">
        <f>P1208*100%/(1000)</f>
        <v>0.161</v>
      </c>
      <c r="S1208" s="129"/>
    </row>
    <row r="1209" spans="1:19" ht="14.25" hidden="1" customHeight="1" x14ac:dyDescent="0.25">
      <c r="A1209" s="57" t="s">
        <v>5728</v>
      </c>
      <c r="B1209" s="57" t="s">
        <v>11</v>
      </c>
      <c r="C1209" s="57" t="s">
        <v>1764</v>
      </c>
      <c r="D1209" s="57" t="s">
        <v>1754</v>
      </c>
      <c r="E1209" s="57" t="s">
        <v>1755</v>
      </c>
      <c r="F1209" s="57" t="s">
        <v>1756</v>
      </c>
      <c r="G1209" s="57">
        <v>893</v>
      </c>
      <c r="H1209" s="57">
        <v>103</v>
      </c>
      <c r="I1209" s="57">
        <v>9198</v>
      </c>
      <c r="J1209" s="57">
        <v>65247</v>
      </c>
      <c r="K1209" s="57" t="s">
        <v>574</v>
      </c>
      <c r="L1209" s="57" t="s">
        <v>1974</v>
      </c>
      <c r="P1209" s="347"/>
      <c r="Q1209" s="347"/>
      <c r="S1209" s="129"/>
    </row>
    <row r="1210" spans="1:19" ht="14.25" hidden="1" customHeight="1" x14ac:dyDescent="0.25">
      <c r="A1210" s="61" t="s">
        <v>5728</v>
      </c>
      <c r="B1210" s="61" t="s">
        <v>34</v>
      </c>
      <c r="C1210" s="61" t="s">
        <v>878</v>
      </c>
      <c r="D1210" s="61" t="s">
        <v>344</v>
      </c>
      <c r="E1210" s="61" t="s">
        <v>343</v>
      </c>
      <c r="F1210" s="61" t="s">
        <v>342</v>
      </c>
      <c r="G1210" s="61">
        <v>984</v>
      </c>
      <c r="H1210" s="61">
        <v>49</v>
      </c>
      <c r="I1210" s="61">
        <v>9198</v>
      </c>
      <c r="J1210" s="62">
        <v>65247</v>
      </c>
      <c r="K1210" s="61" t="s">
        <v>434</v>
      </c>
      <c r="L1210" s="61" t="s">
        <v>1974</v>
      </c>
      <c r="P1210" s="347"/>
      <c r="Q1210" s="347"/>
      <c r="S1210" s="129"/>
    </row>
    <row r="1211" spans="1:19" ht="14.1" hidden="1" customHeight="1" x14ac:dyDescent="0.3">
      <c r="H1211" s="205">
        <f>SUM(H7:H1210)</f>
        <v>143198</v>
      </c>
      <c r="S1211" s="129"/>
    </row>
    <row r="1212" spans="1:19" hidden="1" x14ac:dyDescent="0.3">
      <c r="A1212" s="1"/>
      <c r="C1212" s="1"/>
      <c r="S1212" s="129"/>
    </row>
    <row r="1213" spans="1:19" x14ac:dyDescent="0.3">
      <c r="D1213" s="3"/>
      <c r="F1213" s="50"/>
      <c r="S1213" s="129"/>
    </row>
    <row r="1214" spans="1:19" x14ac:dyDescent="0.3">
      <c r="S1214" s="129"/>
    </row>
    <row r="1215" spans="1:19" x14ac:dyDescent="0.3">
      <c r="S1215" s="129"/>
    </row>
    <row r="1216" spans="1:19" x14ac:dyDescent="0.3">
      <c r="S1216" s="129"/>
    </row>
    <row r="1217" spans="19:19" x14ac:dyDescent="0.3">
      <c r="S1217" s="129"/>
    </row>
    <row r="1218" spans="19:19" x14ac:dyDescent="0.3">
      <c r="S1218" s="129"/>
    </row>
    <row r="1219" spans="19:19" x14ac:dyDescent="0.3">
      <c r="S1219" s="129"/>
    </row>
    <row r="1220" spans="19:19" x14ac:dyDescent="0.3">
      <c r="S1220" s="129"/>
    </row>
  </sheetData>
  <autoFilter ref="A1:S1212">
    <filterColumn colId="0">
      <filters>
        <filter val="Ankaty"/>
      </filters>
    </filterColumn>
  </autoFilter>
  <sortState ref="A2:L272">
    <sortCondition ref="A1"/>
  </sortState>
  <mergeCells count="620">
    <mergeCell ref="P451:P455"/>
    <mergeCell ref="Q451:Q455"/>
    <mergeCell ref="P1165:P1168"/>
    <mergeCell ref="Q1165:Q1168"/>
    <mergeCell ref="Q1169:Q1172"/>
    <mergeCell ref="Q1197:Q1199"/>
    <mergeCell ref="P1201:P1203"/>
    <mergeCell ref="Q1201:Q1203"/>
    <mergeCell ref="P1204:P1206"/>
    <mergeCell ref="Q1204:Q1206"/>
    <mergeCell ref="P1086:P1087"/>
    <mergeCell ref="Q1086:Q1087"/>
    <mergeCell ref="P1091:P1092"/>
    <mergeCell ref="P1098:P1100"/>
    <mergeCell ref="Q1098:Q1100"/>
    <mergeCell ref="P1101:P1103"/>
    <mergeCell ref="Q1101:Q1103"/>
    <mergeCell ref="P1104:P1106"/>
    <mergeCell ref="Q1104:Q1106"/>
    <mergeCell ref="P1193:P1196"/>
    <mergeCell ref="Q1193:Q1196"/>
    <mergeCell ref="P1173:P1176"/>
    <mergeCell ref="Q1173:Q1176"/>
    <mergeCell ref="P1177:P1180"/>
    <mergeCell ref="Q1177:Q1180"/>
    <mergeCell ref="Q1181:Q1184"/>
    <mergeCell ref="P1068:P1070"/>
    <mergeCell ref="Q1068:Q1070"/>
    <mergeCell ref="P1073:P1076"/>
    <mergeCell ref="Q1073:Q1076"/>
    <mergeCell ref="P1077:P1078"/>
    <mergeCell ref="Q1077:Q1078"/>
    <mergeCell ref="P1079:P1082"/>
    <mergeCell ref="Q1079:Q1082"/>
    <mergeCell ref="P1083:P1085"/>
    <mergeCell ref="Q1083:Q1085"/>
    <mergeCell ref="P1161:P1164"/>
    <mergeCell ref="Q1161:Q1164"/>
    <mergeCell ref="P1156:P1160"/>
    <mergeCell ref="Q1156:Q1160"/>
    <mergeCell ref="P1146:P1148"/>
    <mergeCell ref="Q1146:Q1148"/>
    <mergeCell ref="Q1149:Q1153"/>
    <mergeCell ref="Q1154:Q1155"/>
    <mergeCell ref="P1149:P1153"/>
    <mergeCell ref="P1050:P1053"/>
    <mergeCell ref="Q1050:Q1053"/>
    <mergeCell ref="P1054:P1056"/>
    <mergeCell ref="Q1054:Q1056"/>
    <mergeCell ref="P1057:P1058"/>
    <mergeCell ref="Q1057:Q1058"/>
    <mergeCell ref="P1059:P1063"/>
    <mergeCell ref="Q1059:Q1063"/>
    <mergeCell ref="Q1064:Q1067"/>
    <mergeCell ref="P1064:P1067"/>
    <mergeCell ref="P1033:P1034"/>
    <mergeCell ref="Q1033:Q1034"/>
    <mergeCell ref="P1035:P1037"/>
    <mergeCell ref="Q1035:Q1037"/>
    <mergeCell ref="P1038:P1041"/>
    <mergeCell ref="Q1038:Q1041"/>
    <mergeCell ref="P1042:P1044"/>
    <mergeCell ref="Q1042:Q1044"/>
    <mergeCell ref="Q1045:Q1049"/>
    <mergeCell ref="P1045:P1049"/>
    <mergeCell ref="P1016:P1018"/>
    <mergeCell ref="Q1016:Q1018"/>
    <mergeCell ref="P1019:P1021"/>
    <mergeCell ref="Q1019:Q1021"/>
    <mergeCell ref="P1022:P1023"/>
    <mergeCell ref="Q1022:Q1023"/>
    <mergeCell ref="Q1024:Q1027"/>
    <mergeCell ref="P1028:P1032"/>
    <mergeCell ref="Q1028:Q1032"/>
    <mergeCell ref="P1024:P1027"/>
    <mergeCell ref="P994:P998"/>
    <mergeCell ref="Q994:Q998"/>
    <mergeCell ref="P1000:P1002"/>
    <mergeCell ref="Q1000:Q1002"/>
    <mergeCell ref="P1004:P1009"/>
    <mergeCell ref="Q1004:Q1009"/>
    <mergeCell ref="Q1010:Q1011"/>
    <mergeCell ref="P1012:P1015"/>
    <mergeCell ref="Q1012:Q1015"/>
    <mergeCell ref="P1010:P1011"/>
    <mergeCell ref="P976:P979"/>
    <mergeCell ref="Q976:Q979"/>
    <mergeCell ref="Q981:Q983"/>
    <mergeCell ref="P984:P986"/>
    <mergeCell ref="Q984:Q986"/>
    <mergeCell ref="P987:P989"/>
    <mergeCell ref="Q987:Q989"/>
    <mergeCell ref="P990:P992"/>
    <mergeCell ref="Q990:Q992"/>
    <mergeCell ref="P981:P983"/>
    <mergeCell ref="Q954:Q958"/>
    <mergeCell ref="P959:P961"/>
    <mergeCell ref="Q959:Q961"/>
    <mergeCell ref="P962:P966"/>
    <mergeCell ref="Q962:Q966"/>
    <mergeCell ref="P967:P970"/>
    <mergeCell ref="Q967:Q970"/>
    <mergeCell ref="P972:P975"/>
    <mergeCell ref="Q972:Q975"/>
    <mergeCell ref="P954:P958"/>
    <mergeCell ref="Q932:Q933"/>
    <mergeCell ref="P934:P940"/>
    <mergeCell ref="Q934:Q940"/>
    <mergeCell ref="P941:P945"/>
    <mergeCell ref="Q941:Q945"/>
    <mergeCell ref="P946:P950"/>
    <mergeCell ref="Q946:Q950"/>
    <mergeCell ref="P951:P953"/>
    <mergeCell ref="Q951:Q953"/>
    <mergeCell ref="P932:P933"/>
    <mergeCell ref="Q912:Q916"/>
    <mergeCell ref="P917:P919"/>
    <mergeCell ref="Q917:Q919"/>
    <mergeCell ref="P921:P924"/>
    <mergeCell ref="Q921:Q924"/>
    <mergeCell ref="P926:P929"/>
    <mergeCell ref="Q926:Q929"/>
    <mergeCell ref="P930:P931"/>
    <mergeCell ref="Q930:Q931"/>
    <mergeCell ref="P912:P916"/>
    <mergeCell ref="P868:P869"/>
    <mergeCell ref="Q868:Q869"/>
    <mergeCell ref="P870:P874"/>
    <mergeCell ref="Q870:Q874"/>
    <mergeCell ref="P875:P877"/>
    <mergeCell ref="Q875:Q877"/>
    <mergeCell ref="P890:P892"/>
    <mergeCell ref="Q890:Q892"/>
    <mergeCell ref="P900:P901"/>
    <mergeCell ref="Q900:Q901"/>
    <mergeCell ref="Q896:Q899"/>
    <mergeCell ref="Q878:Q879"/>
    <mergeCell ref="P880:P884"/>
    <mergeCell ref="Q880:Q884"/>
    <mergeCell ref="P893:P895"/>
    <mergeCell ref="Q893:Q895"/>
    <mergeCell ref="P878:P879"/>
    <mergeCell ref="P887:P889"/>
    <mergeCell ref="Q887:Q889"/>
    <mergeCell ref="P853:P855"/>
    <mergeCell ref="Q853:Q855"/>
    <mergeCell ref="P856:P858"/>
    <mergeCell ref="Q856:Q858"/>
    <mergeCell ref="Q859:Q861"/>
    <mergeCell ref="P862:P863"/>
    <mergeCell ref="Q862:Q863"/>
    <mergeCell ref="P864:P867"/>
    <mergeCell ref="Q864:Q867"/>
    <mergeCell ref="P859:P861"/>
    <mergeCell ref="P836:P839"/>
    <mergeCell ref="Q836:Q839"/>
    <mergeCell ref="P840:P842"/>
    <mergeCell ref="Q840:Q842"/>
    <mergeCell ref="P843:P845"/>
    <mergeCell ref="Q843:Q845"/>
    <mergeCell ref="P846:P849"/>
    <mergeCell ref="Q846:Q849"/>
    <mergeCell ref="P850:P852"/>
    <mergeCell ref="Q850:Q852"/>
    <mergeCell ref="P816:P818"/>
    <mergeCell ref="Q816:Q818"/>
    <mergeCell ref="P819:P821"/>
    <mergeCell ref="Q819:Q821"/>
    <mergeCell ref="P822:P825"/>
    <mergeCell ref="Q822:Q825"/>
    <mergeCell ref="P826:P830"/>
    <mergeCell ref="Q826:Q830"/>
    <mergeCell ref="P831:P835"/>
    <mergeCell ref="Q831:Q835"/>
    <mergeCell ref="P795:P797"/>
    <mergeCell ref="Q795:Q797"/>
    <mergeCell ref="P798:P801"/>
    <mergeCell ref="Q798:Q801"/>
    <mergeCell ref="P802:P803"/>
    <mergeCell ref="Q802:Q803"/>
    <mergeCell ref="P809:P812"/>
    <mergeCell ref="Q809:Q812"/>
    <mergeCell ref="P813:P815"/>
    <mergeCell ref="Q813:Q815"/>
    <mergeCell ref="Q804:Q808"/>
    <mergeCell ref="P804:P808"/>
    <mergeCell ref="P776:P778"/>
    <mergeCell ref="Q776:Q778"/>
    <mergeCell ref="P779:P782"/>
    <mergeCell ref="Q779:Q782"/>
    <mergeCell ref="P784:P787"/>
    <mergeCell ref="Q784:Q787"/>
    <mergeCell ref="P788:P791"/>
    <mergeCell ref="Q788:Q791"/>
    <mergeCell ref="P792:P794"/>
    <mergeCell ref="Q792:Q794"/>
    <mergeCell ref="P749:P753"/>
    <mergeCell ref="Q749:Q753"/>
    <mergeCell ref="Q754:Q755"/>
    <mergeCell ref="P756:P759"/>
    <mergeCell ref="Q760:Q761"/>
    <mergeCell ref="P762:P766"/>
    <mergeCell ref="Q762:Q766"/>
    <mergeCell ref="P767:P771"/>
    <mergeCell ref="Q767:Q771"/>
    <mergeCell ref="Q756:Q759"/>
    <mergeCell ref="P728:P732"/>
    <mergeCell ref="Q728:Q732"/>
    <mergeCell ref="P733:P734"/>
    <mergeCell ref="Q733:Q734"/>
    <mergeCell ref="P735:P738"/>
    <mergeCell ref="Q735:Q738"/>
    <mergeCell ref="P739:P743"/>
    <mergeCell ref="Q739:Q743"/>
    <mergeCell ref="P744:P748"/>
    <mergeCell ref="Q744:Q748"/>
    <mergeCell ref="P707:P711"/>
    <mergeCell ref="Q707:Q711"/>
    <mergeCell ref="P713:P716"/>
    <mergeCell ref="Q713:Q716"/>
    <mergeCell ref="P719:P722"/>
    <mergeCell ref="Q719:Q722"/>
    <mergeCell ref="Q723:Q724"/>
    <mergeCell ref="P726:P727"/>
    <mergeCell ref="Q726:Q727"/>
    <mergeCell ref="P723:P724"/>
    <mergeCell ref="P717:P718"/>
    <mergeCell ref="Q690:Q691"/>
    <mergeCell ref="P692:P693"/>
    <mergeCell ref="Q692:Q693"/>
    <mergeCell ref="P694:P699"/>
    <mergeCell ref="Q694:Q699"/>
    <mergeCell ref="P700:P703"/>
    <mergeCell ref="Q700:Q703"/>
    <mergeCell ref="P704:P706"/>
    <mergeCell ref="Q704:Q706"/>
    <mergeCell ref="P690:P691"/>
    <mergeCell ref="P670:P672"/>
    <mergeCell ref="Q670:Q672"/>
    <mergeCell ref="P673:P676"/>
    <mergeCell ref="Q673:Q676"/>
    <mergeCell ref="P677:P682"/>
    <mergeCell ref="Q677:Q682"/>
    <mergeCell ref="P683:P685"/>
    <mergeCell ref="Q683:Q685"/>
    <mergeCell ref="P686:P689"/>
    <mergeCell ref="Q686:Q689"/>
    <mergeCell ref="P647:P650"/>
    <mergeCell ref="Q647:Q650"/>
    <mergeCell ref="P653:P656"/>
    <mergeCell ref="Q653:Q656"/>
    <mergeCell ref="P657:P659"/>
    <mergeCell ref="Q657:Q659"/>
    <mergeCell ref="Q660:Q661"/>
    <mergeCell ref="P668:P669"/>
    <mergeCell ref="Q668:Q669"/>
    <mergeCell ref="P660:P661"/>
    <mergeCell ref="P630:P633"/>
    <mergeCell ref="Q630:Q633"/>
    <mergeCell ref="P634:P635"/>
    <mergeCell ref="Q634:Q635"/>
    <mergeCell ref="Q636:Q638"/>
    <mergeCell ref="P639:P643"/>
    <mergeCell ref="Q639:Q643"/>
    <mergeCell ref="P644:P646"/>
    <mergeCell ref="Q644:Q646"/>
    <mergeCell ref="P636:P638"/>
    <mergeCell ref="P609:P612"/>
    <mergeCell ref="Q609:Q612"/>
    <mergeCell ref="P613:P616"/>
    <mergeCell ref="Q613:Q616"/>
    <mergeCell ref="Q617:Q620"/>
    <mergeCell ref="P621:P624"/>
    <mergeCell ref="Q621:Q624"/>
    <mergeCell ref="P626:P629"/>
    <mergeCell ref="Q626:Q629"/>
    <mergeCell ref="P617:P620"/>
    <mergeCell ref="P554:P555"/>
    <mergeCell ref="Q554:Q555"/>
    <mergeCell ref="P569:P572"/>
    <mergeCell ref="Q569:Q572"/>
    <mergeCell ref="Q596:Q599"/>
    <mergeCell ref="P600:P604"/>
    <mergeCell ref="Q600:Q604"/>
    <mergeCell ref="P605:P608"/>
    <mergeCell ref="Q605:Q608"/>
    <mergeCell ref="P576:P581"/>
    <mergeCell ref="P557:P559"/>
    <mergeCell ref="P591:P592"/>
    <mergeCell ref="Q591:Q592"/>
    <mergeCell ref="P596:P599"/>
    <mergeCell ref="P582:P585"/>
    <mergeCell ref="Q582:Q585"/>
    <mergeCell ref="Q534:Q535"/>
    <mergeCell ref="P537:P540"/>
    <mergeCell ref="Q537:Q540"/>
    <mergeCell ref="P541:P543"/>
    <mergeCell ref="Q541:Q543"/>
    <mergeCell ref="P547:P550"/>
    <mergeCell ref="Q547:Q550"/>
    <mergeCell ref="P551:P553"/>
    <mergeCell ref="Q551:Q553"/>
    <mergeCell ref="P534:P535"/>
    <mergeCell ref="Q515:Q517"/>
    <mergeCell ref="P518:P522"/>
    <mergeCell ref="Q518:Q522"/>
    <mergeCell ref="P524:P527"/>
    <mergeCell ref="Q524:Q527"/>
    <mergeCell ref="P528:P530"/>
    <mergeCell ref="Q528:Q530"/>
    <mergeCell ref="P531:P533"/>
    <mergeCell ref="Q531:Q533"/>
    <mergeCell ref="P515:P517"/>
    <mergeCell ref="Q497:Q500"/>
    <mergeCell ref="P502:P503"/>
    <mergeCell ref="Q502:Q503"/>
    <mergeCell ref="P504:P507"/>
    <mergeCell ref="Q504:Q507"/>
    <mergeCell ref="P508:P511"/>
    <mergeCell ref="Q508:Q511"/>
    <mergeCell ref="P512:P514"/>
    <mergeCell ref="Q512:Q514"/>
    <mergeCell ref="P497:P500"/>
    <mergeCell ref="Q478:Q481"/>
    <mergeCell ref="P482:P485"/>
    <mergeCell ref="Q482:Q485"/>
    <mergeCell ref="P486:P488"/>
    <mergeCell ref="Q486:Q488"/>
    <mergeCell ref="P489:P491"/>
    <mergeCell ref="Q489:Q491"/>
    <mergeCell ref="P492:P493"/>
    <mergeCell ref="Q492:Q493"/>
    <mergeCell ref="P478:P481"/>
    <mergeCell ref="P430:P433"/>
    <mergeCell ref="Q430:Q433"/>
    <mergeCell ref="P434:P437"/>
    <mergeCell ref="Q434:Q437"/>
    <mergeCell ref="P438:P442"/>
    <mergeCell ref="Q438:Q442"/>
    <mergeCell ref="P443:P445"/>
    <mergeCell ref="Q443:Q445"/>
    <mergeCell ref="P448:P450"/>
    <mergeCell ref="Q448:Q450"/>
    <mergeCell ref="P409:P411"/>
    <mergeCell ref="Q409:Q411"/>
    <mergeCell ref="P418:P419"/>
    <mergeCell ref="Q418:Q419"/>
    <mergeCell ref="P420:P422"/>
    <mergeCell ref="Q420:Q422"/>
    <mergeCell ref="P425:P429"/>
    <mergeCell ref="Q425:Q429"/>
    <mergeCell ref="Q413:Q417"/>
    <mergeCell ref="P413:P417"/>
    <mergeCell ref="P362:P363"/>
    <mergeCell ref="Q362:Q363"/>
    <mergeCell ref="Q356:Q361"/>
    <mergeCell ref="P356:P361"/>
    <mergeCell ref="P380:P384"/>
    <mergeCell ref="Q372:Q375"/>
    <mergeCell ref="Q376:Q379"/>
    <mergeCell ref="Q380:Q384"/>
    <mergeCell ref="P407:P408"/>
    <mergeCell ref="Q407:Q408"/>
    <mergeCell ref="P385:P388"/>
    <mergeCell ref="Q385:Q388"/>
    <mergeCell ref="P365:P369"/>
    <mergeCell ref="Q365:Q369"/>
    <mergeCell ref="P370:P371"/>
    <mergeCell ref="Q370:Q371"/>
    <mergeCell ref="P372:P375"/>
    <mergeCell ref="P376:P379"/>
    <mergeCell ref="P389:P390"/>
    <mergeCell ref="P404:P406"/>
    <mergeCell ref="Q404:Q406"/>
    <mergeCell ref="Q397:Q400"/>
    <mergeCell ref="Q389:Q390"/>
    <mergeCell ref="Q392:Q396"/>
    <mergeCell ref="P334:P337"/>
    <mergeCell ref="Q334:Q337"/>
    <mergeCell ref="P339:P342"/>
    <mergeCell ref="Q339:Q342"/>
    <mergeCell ref="P344:P346"/>
    <mergeCell ref="Q344:Q346"/>
    <mergeCell ref="P347:P351"/>
    <mergeCell ref="Q347:Q351"/>
    <mergeCell ref="P353:P354"/>
    <mergeCell ref="Q353:Q354"/>
    <mergeCell ref="P288:P289"/>
    <mergeCell ref="Q288:Q289"/>
    <mergeCell ref="P290:P294"/>
    <mergeCell ref="P302:P305"/>
    <mergeCell ref="P310:P312"/>
    <mergeCell ref="P313:P316"/>
    <mergeCell ref="Q313:Q316"/>
    <mergeCell ref="P317:P320"/>
    <mergeCell ref="Q317:Q320"/>
    <mergeCell ref="P270:P274"/>
    <mergeCell ref="P275:P277"/>
    <mergeCell ref="Q275:Q277"/>
    <mergeCell ref="P278:P282"/>
    <mergeCell ref="Q278:Q282"/>
    <mergeCell ref="P283:P285"/>
    <mergeCell ref="Q283:Q285"/>
    <mergeCell ref="P286:P287"/>
    <mergeCell ref="P266:P269"/>
    <mergeCell ref="P228:P229"/>
    <mergeCell ref="Q228:Q229"/>
    <mergeCell ref="P230:P231"/>
    <mergeCell ref="Q230:Q231"/>
    <mergeCell ref="P238:P240"/>
    <mergeCell ref="Q238:Q240"/>
    <mergeCell ref="P241:P244"/>
    <mergeCell ref="Q241:Q244"/>
    <mergeCell ref="Q266:Q269"/>
    <mergeCell ref="P259:P262"/>
    <mergeCell ref="P247:P250"/>
    <mergeCell ref="P233:P237"/>
    <mergeCell ref="P251:P252"/>
    <mergeCell ref="Q251:Q252"/>
    <mergeCell ref="P253:P257"/>
    <mergeCell ref="Q253:Q257"/>
    <mergeCell ref="Q259:Q262"/>
    <mergeCell ref="Q233:Q237"/>
    <mergeCell ref="P245:P246"/>
    <mergeCell ref="Q245:Q246"/>
    <mergeCell ref="Q247:Q250"/>
    <mergeCell ref="P178:P181"/>
    <mergeCell ref="Q178:Q181"/>
    <mergeCell ref="P183:P186"/>
    <mergeCell ref="P197:P198"/>
    <mergeCell ref="P201:P205"/>
    <mergeCell ref="Q197:Q198"/>
    <mergeCell ref="P199:P200"/>
    <mergeCell ref="Q199:Q200"/>
    <mergeCell ref="P224:P227"/>
    <mergeCell ref="Q224:Q227"/>
    <mergeCell ref="Q206:Q209"/>
    <mergeCell ref="P215:P218"/>
    <mergeCell ref="Q215:Q218"/>
    <mergeCell ref="Q201:Q205"/>
    <mergeCell ref="Q183:Q186"/>
    <mergeCell ref="P191:P192"/>
    <mergeCell ref="P206:P209"/>
    <mergeCell ref="Q219:Q223"/>
    <mergeCell ref="P219:P223"/>
    <mergeCell ref="P158:P161"/>
    <mergeCell ref="Q158:Q161"/>
    <mergeCell ref="P162:P163"/>
    <mergeCell ref="Q162:Q163"/>
    <mergeCell ref="P164:P169"/>
    <mergeCell ref="Q164:Q169"/>
    <mergeCell ref="P170:P173"/>
    <mergeCell ref="Q170:Q173"/>
    <mergeCell ref="P174:P177"/>
    <mergeCell ref="Q174:Q177"/>
    <mergeCell ref="P142:P143"/>
    <mergeCell ref="Q142:Q143"/>
    <mergeCell ref="P144:P147"/>
    <mergeCell ref="Q144:Q147"/>
    <mergeCell ref="P148:P151"/>
    <mergeCell ref="Q148:Q151"/>
    <mergeCell ref="P152:P155"/>
    <mergeCell ref="Q152:Q155"/>
    <mergeCell ref="P156:P157"/>
    <mergeCell ref="Q156:Q157"/>
    <mergeCell ref="P120:P121"/>
    <mergeCell ref="Q120:Q121"/>
    <mergeCell ref="P125:P127"/>
    <mergeCell ref="Q125:Q127"/>
    <mergeCell ref="P128:P130"/>
    <mergeCell ref="Q128:Q130"/>
    <mergeCell ref="P134:P137"/>
    <mergeCell ref="Q134:Q137"/>
    <mergeCell ref="P140:P141"/>
    <mergeCell ref="Q140:Q141"/>
    <mergeCell ref="Q59:Q60"/>
    <mergeCell ref="Q61:Q62"/>
    <mergeCell ref="Q65:Q71"/>
    <mergeCell ref="P89:P92"/>
    <mergeCell ref="Q89:Q92"/>
    <mergeCell ref="P94:P97"/>
    <mergeCell ref="Q94:Q97"/>
    <mergeCell ref="Q111:Q115"/>
    <mergeCell ref="P116:P119"/>
    <mergeCell ref="Q116:Q119"/>
    <mergeCell ref="Q902:Q906"/>
    <mergeCell ref="P4:P6"/>
    <mergeCell ref="Q4:Q6"/>
    <mergeCell ref="P7:P10"/>
    <mergeCell ref="Q7:Q10"/>
    <mergeCell ref="P20:P22"/>
    <mergeCell ref="P23:P26"/>
    <mergeCell ref="P27:P31"/>
    <mergeCell ref="Q27:Q31"/>
    <mergeCell ref="P32:P34"/>
    <mergeCell ref="Q32:Q34"/>
    <mergeCell ref="P38:P42"/>
    <mergeCell ref="Q38:Q42"/>
    <mergeCell ref="P43:P46"/>
    <mergeCell ref="Q43:Q46"/>
    <mergeCell ref="P47:P48"/>
    <mergeCell ref="P49:P51"/>
    <mergeCell ref="Q49:Q51"/>
    <mergeCell ref="P52:P56"/>
    <mergeCell ref="Q52:Q56"/>
    <mergeCell ref="Q47:Q48"/>
    <mergeCell ref="P57:P58"/>
    <mergeCell ref="Q57:Q58"/>
    <mergeCell ref="P59:P60"/>
    <mergeCell ref="P1185:P1187"/>
    <mergeCell ref="Q1185:Q1187"/>
    <mergeCell ref="P754:P755"/>
    <mergeCell ref="P475:P477"/>
    <mergeCell ref="Q475:Q477"/>
    <mergeCell ref="Q456:Q457"/>
    <mergeCell ref="P458:P460"/>
    <mergeCell ref="Q458:Q460"/>
    <mergeCell ref="P461:P464"/>
    <mergeCell ref="Q461:Q464"/>
    <mergeCell ref="Q465:Q469"/>
    <mergeCell ref="P465:P469"/>
    <mergeCell ref="P456:P457"/>
    <mergeCell ref="P470:P474"/>
    <mergeCell ref="Q470:Q474"/>
    <mergeCell ref="P593:P595"/>
    <mergeCell ref="Q593:Q595"/>
    <mergeCell ref="Q557:Q559"/>
    <mergeCell ref="P560:P563"/>
    <mergeCell ref="Q560:Q563"/>
    <mergeCell ref="P573:P575"/>
    <mergeCell ref="Q573:Q575"/>
    <mergeCell ref="Q576:Q581"/>
    <mergeCell ref="P902:P906"/>
    <mergeCell ref="P1208:P1210"/>
    <mergeCell ref="Q1208:Q1210"/>
    <mergeCell ref="P11:P15"/>
    <mergeCell ref="Q11:Q15"/>
    <mergeCell ref="P16:P19"/>
    <mergeCell ref="Q16:Q19"/>
    <mergeCell ref="Q20:Q22"/>
    <mergeCell ref="Q23:Q26"/>
    <mergeCell ref="P1197:P1199"/>
    <mergeCell ref="P1181:P1184"/>
    <mergeCell ref="P1169:P1172"/>
    <mergeCell ref="P1154:P1155"/>
    <mergeCell ref="Q1139:Q1141"/>
    <mergeCell ref="P1125:P1128"/>
    <mergeCell ref="P1108:P1110"/>
    <mergeCell ref="Q1091:Q1092"/>
    <mergeCell ref="Q772:Q775"/>
    <mergeCell ref="Q717:Q718"/>
    <mergeCell ref="Q286:Q287"/>
    <mergeCell ref="P263:P265"/>
    <mergeCell ref="Q263:Q265"/>
    <mergeCell ref="Q270:Q274"/>
    <mergeCell ref="P772:P775"/>
    <mergeCell ref="P760:P761"/>
    <mergeCell ref="Q331:Q333"/>
    <mergeCell ref="Q310:Q312"/>
    <mergeCell ref="Q290:Q294"/>
    <mergeCell ref="P295:P298"/>
    <mergeCell ref="Q295:Q298"/>
    <mergeCell ref="P299:P301"/>
    <mergeCell ref="Q299:Q301"/>
    <mergeCell ref="P307:P309"/>
    <mergeCell ref="Q307:Q309"/>
    <mergeCell ref="Q302:Q305"/>
    <mergeCell ref="P321:P325"/>
    <mergeCell ref="Q321:Q325"/>
    <mergeCell ref="P327:P330"/>
    <mergeCell ref="Q327:Q330"/>
    <mergeCell ref="P331:P333"/>
    <mergeCell ref="P2:P3"/>
    <mergeCell ref="Q2:Q3"/>
    <mergeCell ref="P61:P62"/>
    <mergeCell ref="P111:P115"/>
    <mergeCell ref="Q131:Q133"/>
    <mergeCell ref="P131:P133"/>
    <mergeCell ref="Q191:Q192"/>
    <mergeCell ref="P193:P196"/>
    <mergeCell ref="Q193:Q196"/>
    <mergeCell ref="P107:P109"/>
    <mergeCell ref="Q107:Q109"/>
    <mergeCell ref="P101:P104"/>
    <mergeCell ref="P84:P88"/>
    <mergeCell ref="P65:P71"/>
    <mergeCell ref="Q77:Q79"/>
    <mergeCell ref="P80:P83"/>
    <mergeCell ref="Q80:Q83"/>
    <mergeCell ref="Q84:Q88"/>
    <mergeCell ref="P98:P100"/>
    <mergeCell ref="P77:P79"/>
    <mergeCell ref="Q98:Q100"/>
    <mergeCell ref="Q101:Q104"/>
    <mergeCell ref="P105:P106"/>
    <mergeCell ref="Q105:Q106"/>
    <mergeCell ref="P392:P396"/>
    <mergeCell ref="P397:P400"/>
    <mergeCell ref="P401:P403"/>
    <mergeCell ref="Q401:Q403"/>
    <mergeCell ref="P1142:P1145"/>
    <mergeCell ref="Q1142:Q1145"/>
    <mergeCell ref="Q1108:Q1110"/>
    <mergeCell ref="P1111:P1114"/>
    <mergeCell ref="Q1111:Q1114"/>
    <mergeCell ref="P1115:P1118"/>
    <mergeCell ref="Q1115:Q1118"/>
    <mergeCell ref="P1119:P1123"/>
    <mergeCell ref="Q1119:Q1123"/>
    <mergeCell ref="Q1125:Q1128"/>
    <mergeCell ref="P1129:P1130"/>
    <mergeCell ref="Q1129:Q1130"/>
    <mergeCell ref="P1131:P1134"/>
    <mergeCell ref="Q1131:Q1134"/>
    <mergeCell ref="P1135:P1138"/>
    <mergeCell ref="Q1135:Q1138"/>
    <mergeCell ref="P1139:P1141"/>
    <mergeCell ref="P907:P911"/>
    <mergeCell ref="Q907:Q911"/>
    <mergeCell ref="P896:P899"/>
  </mergeCells>
  <conditionalFormatting sqref="M88 M529:M530 M286:M288 M203 M729:M748 M207:M237 M761:M763 M702:M712 M148:M161 M51 M131:M133 M292:M293 M461:M467 M84 M7 M754:M756 M497:M525 M532:M541 M547:M568 M889 M184:M186 M307:M318 M605:M616 M618:M619 M621:M637 M641:M700 M639 M295:M304 M418:M440 M443:M445 M241 M243 M245:M254 M256:M268 M281:M284 M96 M98:M127 M270:M272 M53:M54 M56:M79 M602 M274:M279 M396:M412 M321:M333 M164:M182 M469:M483 M94 M573:M579 M389:M394 M344:M387 M191:M201 M581:M600 M205">
    <cfRule type="cellIs" dxfId="129" priority="674" operator="equal">
      <formula>"!!!"</formula>
    </cfRule>
  </conditionalFormatting>
  <conditionalFormatting sqref="M203 M205">
    <cfRule type="cellIs" dxfId="128" priority="673" operator="equal">
      <formula>"!!!"</formula>
    </cfRule>
  </conditionalFormatting>
  <conditionalFormatting sqref="M764:M769 M771:M776">
    <cfRule type="cellIs" dxfId="127" priority="671" operator="equal">
      <formula>"!!!"</formula>
    </cfRule>
  </conditionalFormatting>
  <conditionalFormatting sqref="M777">
    <cfRule type="cellIs" dxfId="126" priority="649" operator="equal">
      <formula>"!!!"</formula>
    </cfRule>
  </conditionalFormatting>
  <conditionalFormatting sqref="M85:M87">
    <cfRule type="cellIs" dxfId="125" priority="648" operator="equal">
      <formula>"!!!"</formula>
    </cfRule>
  </conditionalFormatting>
  <conditionalFormatting sqref="M291">
    <cfRule type="cellIs" dxfId="124" priority="647" operator="equal">
      <formula>"!!!"</formula>
    </cfRule>
  </conditionalFormatting>
  <conditionalFormatting sqref="M291">
    <cfRule type="cellIs" dxfId="123" priority="646" operator="equal">
      <formula>"!!!"</formula>
    </cfRule>
  </conditionalFormatting>
  <conditionalFormatting sqref="M206">
    <cfRule type="cellIs" dxfId="122" priority="645" operator="equal">
      <formula>"!!!"</formula>
    </cfRule>
  </conditionalFormatting>
  <conditionalFormatting sqref="O9">
    <cfRule type="cellIs" dxfId="121" priority="676" operator="greaterThan">
      <formula>#REF!-20%</formula>
    </cfRule>
  </conditionalFormatting>
  <conditionalFormatting sqref="R1:R3 R1209:R1210 R1212:R1048576">
    <cfRule type="cellIs" dxfId="120" priority="588" operator="greaterThanOrEqual">
      <formula>"0,699"</formula>
    </cfRule>
  </conditionalFormatting>
  <conditionalFormatting sqref="M528">
    <cfRule type="cellIs" dxfId="119" priority="541" operator="equal">
      <formula>"!!!"</formula>
    </cfRule>
  </conditionalFormatting>
  <conditionalFormatting sqref="M531">
    <cfRule type="cellIs" dxfId="118" priority="528" operator="equal">
      <formula>"!!!"</formula>
    </cfRule>
  </conditionalFormatting>
  <conditionalFormatting sqref="M285">
    <cfRule type="cellIs" dxfId="117" priority="527" operator="equal">
      <formula>"!!!"</formula>
    </cfRule>
  </conditionalFormatting>
  <conditionalFormatting sqref="M388">
    <cfRule type="cellIs" dxfId="116" priority="524" operator="equal">
      <formula>"!!!"</formula>
    </cfRule>
  </conditionalFormatting>
  <conditionalFormatting sqref="M526:M527">
    <cfRule type="cellIs" dxfId="115" priority="517" operator="equal">
      <formula>"!!!"</formula>
    </cfRule>
  </conditionalFormatting>
  <conditionalFormatting sqref="M202">
    <cfRule type="cellIs" dxfId="114" priority="677" operator="equal">
      <formula>"!!!"</formula>
    </cfRule>
  </conditionalFormatting>
  <conditionalFormatting sqref="M638">
    <cfRule type="cellIs" dxfId="113" priority="678" operator="equal">
      <formula>"!!!"</formula>
    </cfRule>
  </conditionalFormatting>
  <conditionalFormatting sqref="M727:M728">
    <cfRule type="cellIs" dxfId="112" priority="412" operator="equal">
      <formula>"!!!"</formula>
    </cfRule>
  </conditionalFormatting>
  <conditionalFormatting sqref="M183">
    <cfRule type="cellIs" dxfId="111" priority="399" operator="equal">
      <formula>"!!!"</formula>
    </cfRule>
  </conditionalFormatting>
  <conditionalFormatting sqref="M183">
    <cfRule type="cellIs" dxfId="110" priority="398" operator="equal">
      <formula>"!!!"</formula>
    </cfRule>
  </conditionalFormatting>
  <conditionalFormatting sqref="M484:M496">
    <cfRule type="cellIs" dxfId="109" priority="374" operator="equal">
      <formula>"!!!"</formula>
    </cfRule>
  </conditionalFormatting>
  <conditionalFormatting sqref="M289:M290">
    <cfRule type="cellIs" dxfId="108" priority="373" operator="equal">
      <formula>"!!!"</formula>
    </cfRule>
  </conditionalFormatting>
  <conditionalFormatting sqref="M701">
    <cfRule type="cellIs" dxfId="107" priority="372" operator="equal">
      <formula>"!!!"</formula>
    </cfRule>
  </conditionalFormatting>
  <conditionalFormatting sqref="M134:M137 M139:M140">
    <cfRule type="cellIs" dxfId="106" priority="363" operator="equal">
      <formula>"!!!"</formula>
    </cfRule>
  </conditionalFormatting>
  <conditionalFormatting sqref="M128">
    <cfRule type="cellIs" dxfId="105" priority="297" operator="equal">
      <formula>"!!!"</formula>
    </cfRule>
  </conditionalFormatting>
  <conditionalFormatting sqref="M129:M130">
    <cfRule type="cellIs" dxfId="104" priority="294" operator="equal">
      <formula>"!!!"</formula>
    </cfRule>
  </conditionalFormatting>
  <conditionalFormatting sqref="M542">
    <cfRule type="cellIs" dxfId="103" priority="291" operator="equal">
      <formula>"!!!"</formula>
    </cfRule>
  </conditionalFormatting>
  <conditionalFormatting sqref="M543:M546">
    <cfRule type="cellIs" dxfId="102" priority="288" operator="equal">
      <formula>"!!!"</formula>
    </cfRule>
  </conditionalFormatting>
  <conditionalFormatting sqref="M448:M460">
    <cfRule type="cellIs" dxfId="101" priority="680" operator="equal">
      <formula>"!!!"</formula>
    </cfRule>
  </conditionalFormatting>
  <conditionalFormatting sqref="J682">
    <cfRule type="cellIs" dxfId="100" priority="682" stopIfTrue="1" operator="lessThan">
      <formula>80%</formula>
    </cfRule>
  </conditionalFormatting>
  <conditionalFormatting sqref="M749">
    <cfRule type="cellIs" dxfId="99" priority="683" operator="equal">
      <formula>"!!!"</formula>
    </cfRule>
  </conditionalFormatting>
  <conditionalFormatting sqref="M750">
    <cfRule type="cellIs" dxfId="98" priority="169" operator="equal">
      <formula>"!!!"</formula>
    </cfRule>
  </conditionalFormatting>
  <conditionalFormatting sqref="M751">
    <cfRule type="cellIs" dxfId="97" priority="684" operator="equal">
      <formula>"!!!"</formula>
    </cfRule>
  </conditionalFormatting>
  <conditionalFormatting sqref="M752:M753">
    <cfRule type="cellIs" dxfId="96" priority="167" operator="equal">
      <formula>"!!!"</formula>
    </cfRule>
  </conditionalFormatting>
  <conditionalFormatting sqref="J141">
    <cfRule type="cellIs" dxfId="95" priority="685" stopIfTrue="1" operator="lessThan">
      <formula>80%</formula>
    </cfRule>
  </conditionalFormatting>
  <conditionalFormatting sqref="J143">
    <cfRule type="cellIs" dxfId="94" priority="143" stopIfTrue="1" operator="lessThan">
      <formula>80%</formula>
    </cfRule>
  </conditionalFormatting>
  <conditionalFormatting sqref="J59">
    <cfRule type="cellIs" dxfId="93" priority="128" stopIfTrue="1" operator="lessThan">
      <formula>80%</formula>
    </cfRule>
  </conditionalFormatting>
  <conditionalFormatting sqref="J62">
    <cfRule type="cellIs" dxfId="92" priority="686" stopIfTrue="1" operator="lessThan">
      <formula>80%</formula>
    </cfRule>
  </conditionalFormatting>
  <conditionalFormatting sqref="J64">
    <cfRule type="cellIs" dxfId="91" priority="126" stopIfTrue="1" operator="lessThan">
      <formula>80%</formula>
    </cfRule>
  </conditionalFormatting>
  <conditionalFormatting sqref="M604">
    <cfRule type="cellIs" dxfId="90" priority="113" operator="equal">
      <formula>"!!!"</formula>
    </cfRule>
  </conditionalFormatting>
  <conditionalFormatting sqref="M305:M306">
    <cfRule type="cellIs" dxfId="89" priority="112" operator="equal">
      <formula>"!!!"</formula>
    </cfRule>
  </conditionalFormatting>
  <conditionalFormatting sqref="M617">
    <cfRule type="cellIs" dxfId="88" priority="111" operator="equal">
      <formula>"!!!"</formula>
    </cfRule>
  </conditionalFormatting>
  <conditionalFormatting sqref="M620">
    <cfRule type="cellIs" dxfId="87" priority="110" operator="equal">
      <formula>"!!!"</formula>
    </cfRule>
  </conditionalFormatting>
  <conditionalFormatting sqref="M640">
    <cfRule type="cellIs" dxfId="86" priority="109" operator="equal">
      <formula>"!!!"</formula>
    </cfRule>
  </conditionalFormatting>
  <conditionalFormatting sqref="M294">
    <cfRule type="cellIs" dxfId="85" priority="108" operator="equal">
      <formula>"!!!"</formula>
    </cfRule>
  </conditionalFormatting>
  <conditionalFormatting sqref="O5">
    <cfRule type="cellIs" dxfId="84" priority="687" operator="greaterThan">
      <formula>#REF!-20%</formula>
    </cfRule>
  </conditionalFormatting>
  <conditionalFormatting sqref="M238">
    <cfRule type="cellIs" dxfId="83" priority="688" operator="equal">
      <formula>"!!!"</formula>
    </cfRule>
  </conditionalFormatting>
  <conditionalFormatting sqref="M239">
    <cfRule type="cellIs" dxfId="82" priority="93" operator="equal">
      <formula>"!!!"</formula>
    </cfRule>
  </conditionalFormatting>
  <conditionalFormatting sqref="M240">
    <cfRule type="cellIs" dxfId="81" priority="92" operator="equal">
      <formula>"!!!"</formula>
    </cfRule>
  </conditionalFormatting>
  <conditionalFormatting sqref="M242">
    <cfRule type="cellIs" dxfId="80" priority="91" operator="equal">
      <formula>"!!!"</formula>
    </cfRule>
  </conditionalFormatting>
  <conditionalFormatting sqref="M244">
    <cfRule type="cellIs" dxfId="79" priority="90" operator="equal">
      <formula>"!!!"</formula>
    </cfRule>
  </conditionalFormatting>
  <conditionalFormatting sqref="M255">
    <cfRule type="cellIs" dxfId="78" priority="89" operator="equal">
      <formula>"!!!"</formula>
    </cfRule>
  </conditionalFormatting>
  <conditionalFormatting sqref="M280">
    <cfRule type="cellIs" dxfId="77" priority="88" operator="equal">
      <formula>"!!!"</formula>
    </cfRule>
  </conditionalFormatting>
  <conditionalFormatting sqref="M95">
    <cfRule type="cellIs" dxfId="76" priority="85" operator="equal">
      <formula>"!!!"</formula>
    </cfRule>
  </conditionalFormatting>
  <conditionalFormatting sqref="M97">
    <cfRule type="cellIs" dxfId="75" priority="84" operator="equal">
      <formula>"!!!"</formula>
    </cfRule>
  </conditionalFormatting>
  <conditionalFormatting sqref="M269">
    <cfRule type="cellIs" dxfId="74" priority="83" operator="equal">
      <formula>"!!!"</formula>
    </cfRule>
  </conditionalFormatting>
  <conditionalFormatting sqref="M601">
    <cfRule type="cellIs" dxfId="73" priority="70" operator="equal">
      <formula>"!!!"</formula>
    </cfRule>
  </conditionalFormatting>
  <conditionalFormatting sqref="M603">
    <cfRule type="cellIs" dxfId="72" priority="67" operator="equal">
      <formula>"!!!"</formula>
    </cfRule>
  </conditionalFormatting>
  <conditionalFormatting sqref="M468">
    <cfRule type="cellIs" dxfId="71" priority="66" operator="equal">
      <formula>"!!!"</formula>
    </cfRule>
  </conditionalFormatting>
  <conditionalFormatting sqref="M273">
    <cfRule type="cellIs" dxfId="70" priority="56" operator="equal">
      <formula>"!!!"</formula>
    </cfRule>
  </conditionalFormatting>
  <conditionalFormatting sqref="M395">
    <cfRule type="cellIs" dxfId="69" priority="53" operator="equal">
      <formula>"!!!"</formula>
    </cfRule>
  </conditionalFormatting>
  <conditionalFormatting sqref="M770">
    <cfRule type="cellIs" dxfId="68" priority="50" operator="equal">
      <formula>"!!!"</formula>
    </cfRule>
  </conditionalFormatting>
  <conditionalFormatting sqref="M319">
    <cfRule type="cellIs" dxfId="67" priority="47" operator="equal">
      <formula>"!!!"</formula>
    </cfRule>
  </conditionalFormatting>
  <conditionalFormatting sqref="M320">
    <cfRule type="cellIs" dxfId="66" priority="46" operator="equal">
      <formula>"!!!"</formula>
    </cfRule>
  </conditionalFormatting>
  <conditionalFormatting sqref="M162">
    <cfRule type="cellIs" dxfId="65" priority="45" operator="equal">
      <formula>"!!!"</formula>
    </cfRule>
  </conditionalFormatting>
  <conditionalFormatting sqref="M163">
    <cfRule type="cellIs" dxfId="64" priority="44" operator="equal">
      <formula>"!!!"</formula>
    </cfRule>
  </conditionalFormatting>
  <conditionalFormatting sqref="M89">
    <cfRule type="cellIs" dxfId="63" priority="41" operator="equal">
      <formula>"!!!"</formula>
    </cfRule>
  </conditionalFormatting>
  <conditionalFormatting sqref="M90">
    <cfRule type="cellIs" dxfId="62" priority="38" operator="equal">
      <formula>"!!!"</formula>
    </cfRule>
  </conditionalFormatting>
  <conditionalFormatting sqref="M91">
    <cfRule type="cellIs" dxfId="61" priority="37" operator="equal">
      <formula>"!!!"</formula>
    </cfRule>
  </conditionalFormatting>
  <conditionalFormatting sqref="M92:M93">
    <cfRule type="cellIs" dxfId="60" priority="36" operator="equal">
      <formula>"!!!"</formula>
    </cfRule>
  </conditionalFormatting>
  <conditionalFormatting sqref="M976">
    <cfRule type="cellIs" dxfId="59" priority="35" operator="equal">
      <formula>"!!!"</formula>
    </cfRule>
  </conditionalFormatting>
  <conditionalFormatting sqref="M977">
    <cfRule type="cellIs" dxfId="58" priority="32" operator="equal">
      <formula>"!!!"</formula>
    </cfRule>
  </conditionalFormatting>
  <conditionalFormatting sqref="M978">
    <cfRule type="cellIs" dxfId="57" priority="31" operator="equal">
      <formula>"!!!"</formula>
    </cfRule>
  </conditionalFormatting>
  <conditionalFormatting sqref="M979:M980">
    <cfRule type="cellIs" dxfId="56" priority="30" operator="equal">
      <formula>"!!!"</formula>
    </cfRule>
  </conditionalFormatting>
  <conditionalFormatting sqref="M334">
    <cfRule type="cellIs" dxfId="55" priority="29" operator="equal">
      <formula>"!!!"</formula>
    </cfRule>
  </conditionalFormatting>
  <conditionalFormatting sqref="M335">
    <cfRule type="cellIs" dxfId="54" priority="26" operator="equal">
      <formula>"!!!"</formula>
    </cfRule>
  </conditionalFormatting>
  <conditionalFormatting sqref="M336">
    <cfRule type="cellIs" dxfId="53" priority="25" operator="equal">
      <formula>"!!!"</formula>
    </cfRule>
  </conditionalFormatting>
  <conditionalFormatting sqref="M337:M338">
    <cfRule type="cellIs" dxfId="52" priority="24" operator="equal">
      <formula>"!!!"</formula>
    </cfRule>
  </conditionalFormatting>
  <conditionalFormatting sqref="M339">
    <cfRule type="cellIs" dxfId="51" priority="23" operator="equal">
      <formula>"!!!"</formula>
    </cfRule>
  </conditionalFormatting>
  <conditionalFormatting sqref="M340">
    <cfRule type="cellIs" dxfId="50" priority="20" operator="equal">
      <formula>"!!!"</formula>
    </cfRule>
  </conditionalFormatting>
  <conditionalFormatting sqref="M341">
    <cfRule type="cellIs" dxfId="49" priority="19" operator="equal">
      <formula>"!!!"</formula>
    </cfRule>
  </conditionalFormatting>
  <conditionalFormatting sqref="M342:M343">
    <cfRule type="cellIs" dxfId="48" priority="18" operator="equal">
      <formula>"!!!"</formula>
    </cfRule>
  </conditionalFormatting>
  <conditionalFormatting sqref="M569">
    <cfRule type="cellIs" dxfId="47" priority="17" operator="equal">
      <formula>"!!!"</formula>
    </cfRule>
  </conditionalFormatting>
  <conditionalFormatting sqref="M570">
    <cfRule type="cellIs" dxfId="46" priority="14" operator="equal">
      <formula>"!!!"</formula>
    </cfRule>
  </conditionalFormatting>
  <conditionalFormatting sqref="M571">
    <cfRule type="cellIs" dxfId="45" priority="13" operator="equal">
      <formula>"!!!"</formula>
    </cfRule>
  </conditionalFormatting>
  <conditionalFormatting sqref="M572">
    <cfRule type="cellIs" dxfId="44" priority="12" operator="equal">
      <formula>"!!!"</formula>
    </cfRule>
  </conditionalFormatting>
  <conditionalFormatting sqref="Q1:Q2 Q4 Q7 Q11 Q16 Q20 Q23 Q27 Q32 Q38 Q43 Q47 Q49 Q52 Q57 Q59 Q61 Q63:Q65 Q72:Q77 Q80 Q89 Q84 Q94 Q98 Q101 Q105 Q107 Q111 Q116 Q120 Q125 Q128 Q131 Q134 Q139:Q140 Q142 Q144 Q148 Q152 Q156 Q158 Q162 Q164 Q170 Q174 Q178 Q183 Q191 Q193 Q197 Q199 Q201 Q206 Q215 Q219 Q224 Q228 Q230 Q238 Q232:Q233 Q241 Q245 Q247 Q251 Q253 Q258:Q259 Q263 Q266 Q270 Q275 Q278 Q283 Q286 Q288 Q290 Q295 Q299 Q302 Q307 Q310 Q313 Q317 Q321 Q326:Q327 Q334 Q331 Q339 Q344 Q347 Q353 Q385 Q355:Q356 Q362 Q364:Q365 Q370 Q372 Q376 Q380 Q389 Q391:Q392 Q397 Q401 Q404 Q407 Q409 Q413 Q418 Q420 Q423:Q425 Q430 Q434 Q438 Q443 Q446:Q448 Q456 Q458 Q461 Q465 Q470 Q475 Q478 Q482 Q486 Q489 Q492 Q497 Q501:Q502 Q504 Q508 Q512 Q515 Q518 Q523:Q524 Q528 Q531 Q534 Q536:Q537 Q541 Q544:Q547 Q551 Q554 Q556:Q557 Q569 Q560 Q573 Q576 Q582 Q591 Q593 Q596 Q600 Q605 Q609 Q613 Q617 Q621 Q625:Q626 Q630 Q634 Q636 Q639 Q644 Q652:Q653 Q647 Q657 Q660 Q668 Q670 Q673 Q677 Q683 Q686 Q690 Q692 Q694 Q700 Q704 Q707 Q712:Q713 Q717 Q719 Q723 Q725:Q726 Q728 Q733 Q735 Q739 Q744 Q749 Q754 Q756 Q760 Q762 Q767 Q772 Q776 Q779 Q784 Q788 Q792 Q795 Q798 Q802 Q804 Q809 Q813 Q816 Q819 Q822 Q826 Q831 Q836 Q840 Q843 Q846 Q850 Q853 Q856 Q859 Q862 Q864 Q868 Q870 Q875 Q878 Q880 Q885:Q887 Q890 Q893 Q896 Q900 Q902 Q907 Q912 Q917 Q920:Q921 Q925:Q926 Q930 Q932 Q934 Q941 Q946 Q951 Q954 Q959 Q962 Q967 Q976 Q971:Q972 Q981 Q984 Q987 Q990 Q993:Q994 Q999:Q1000 Q1003:Q1004 Q1010 Q1012 Q1016 Q1019 Q1022 Q1024 Q1028 Q1033 Q1035 Q1038 Q1042 Q1045 Q1050 Q1054 Q1057 Q1059 Q1064 Q1068 Q1073 Q1077 Q1079 Q1083 Q1086 Q1091 Q1093:Q1098 Q1101 Q1104 Q1107:Q1108 Q1111 Q1115 Q1119 Q1124:Q1125 Q1129 Q1131 Q1135 Q1139 Q1142 Q1146 Q1149 Q1154 Q1156 Q1161 Q1165 Q1169 Q1173 Q1177 Q1181 Q1185 Q1193 Q1197 Q1201 Q1204 Q1211:Q1048576 Q1208">
    <cfRule type="cellIs" dxfId="43" priority="10" operator="between">
      <formula>0.5</formula>
      <formula>0.7</formula>
    </cfRule>
    <cfRule type="cellIs" dxfId="42" priority="11" operator="greaterThan">
      <formula>0.7</formula>
    </cfRule>
  </conditionalFormatting>
  <conditionalFormatting sqref="M416">
    <cfRule type="cellIs" dxfId="41" priority="9" operator="equal">
      <formula>"!!!"</formula>
    </cfRule>
  </conditionalFormatting>
  <conditionalFormatting sqref="M187">
    <cfRule type="cellIs" dxfId="40" priority="8" operator="equal">
      <formula>"!!!"</formula>
    </cfRule>
  </conditionalFormatting>
  <conditionalFormatting sqref="Q187">
    <cfRule type="cellIs" dxfId="39" priority="6" operator="between">
      <formula>0.5</formula>
      <formula>0.7</formula>
    </cfRule>
    <cfRule type="cellIs" dxfId="38" priority="7" operator="greaterThan">
      <formula>0.7</formula>
    </cfRule>
  </conditionalFormatting>
  <conditionalFormatting sqref="M188">
    <cfRule type="cellIs" dxfId="37" priority="5" operator="equal">
      <formula>"!!!"</formula>
    </cfRule>
  </conditionalFormatting>
  <conditionalFormatting sqref="M189">
    <cfRule type="cellIs" dxfId="36" priority="4" operator="equal">
      <formula>"!!!"</formula>
    </cfRule>
  </conditionalFormatting>
  <conditionalFormatting sqref="M190">
    <cfRule type="cellIs" dxfId="35" priority="3" operator="equal">
      <formula>"!!!"</formula>
    </cfRule>
  </conditionalFormatting>
  <conditionalFormatting sqref="M580">
    <cfRule type="cellIs" dxfId="34" priority="2" operator="equal">
      <formula>"!!!"</formula>
    </cfRule>
  </conditionalFormatting>
  <conditionalFormatting sqref="M204">
    <cfRule type="cellIs" dxfId="33" priority="1" operator="equal">
      <formula>"!!!"</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Utilization2">
                <anchor>
                  <from>
                    <xdr:col>0</xdr:col>
                    <xdr:colOff>114300</xdr:colOff>
                    <xdr:row>0</xdr:row>
                    <xdr:rowOff>0</xdr:rowOff>
                  </from>
                  <to>
                    <xdr:col>0</xdr:col>
                    <xdr:colOff>137160</xdr:colOff>
                    <xdr:row>0</xdr:row>
                    <xdr:rowOff>0</xdr:rowOff>
                  </to>
                </anchor>
              </controlPr>
            </control>
          </mc:Choice>
        </mc:AlternateContent>
        <mc:AlternateContent xmlns:mc="http://schemas.openxmlformats.org/markup-compatibility/2006">
          <mc:Choice Requires="x14">
            <control shapeId="2049" r:id="rId5" name="Button 1">
              <controlPr defaultSize="0" print="0" autoFill="0" autoPict="0" macro="[0]!Utilization1">
                <anchor>
                  <from>
                    <xdr:col>0</xdr:col>
                    <xdr:colOff>76200</xdr:colOff>
                    <xdr:row>0</xdr:row>
                    <xdr:rowOff>0</xdr:rowOff>
                  </from>
                  <to>
                    <xdr:col>0</xdr:col>
                    <xdr:colOff>114300</xdr:colOff>
                    <xdr:row>0</xdr:row>
                    <xdr:rowOff>0</xdr:rowOff>
                  </to>
                </anchor>
              </controlPr>
            </control>
          </mc:Choice>
        </mc:AlternateContent>
        <mc:AlternateContent xmlns:mc="http://schemas.openxmlformats.org/markup-compatibility/2006">
          <mc:Choice Requires="x14">
            <control shapeId="2052" r:id="rId6" name="Button 4">
              <controlPr defaultSize="0" print="0" autoFill="0" autoPict="0" macro="[0]!Utilization2">
                <anchor>
                  <from>
                    <xdr:col>15</xdr:col>
                    <xdr:colOff>137160</xdr:colOff>
                    <xdr:row>0</xdr:row>
                    <xdr:rowOff>60960</xdr:rowOff>
                  </from>
                  <to>
                    <xdr:col>17</xdr:col>
                    <xdr:colOff>175260</xdr:colOff>
                    <xdr:row>0</xdr:row>
                    <xdr:rowOff>274320</xdr:rowOff>
                  </to>
                </anchor>
              </controlPr>
            </control>
          </mc:Choice>
        </mc:AlternateContent>
        <mc:AlternateContent xmlns:mc="http://schemas.openxmlformats.org/markup-compatibility/2006">
          <mc:Choice Requires="x14">
            <control shapeId="2051" r:id="rId7" name="Button 3">
              <controlPr defaultSize="0" print="0" autoFill="0" autoPict="0" macro="[0]!Utilization1">
                <anchor>
                  <from>
                    <xdr:col>10</xdr:col>
                    <xdr:colOff>525780</xdr:colOff>
                    <xdr:row>0</xdr:row>
                    <xdr:rowOff>38100</xdr:rowOff>
                  </from>
                  <to>
                    <xdr:col>15</xdr:col>
                    <xdr:colOff>45720</xdr:colOff>
                    <xdr:row>0</xdr:row>
                    <xdr:rowOff>297180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76"/>
  <sheetViews>
    <sheetView zoomScaleNormal="100" workbookViewId="0">
      <pane ySplit="1" topLeftCell="A2" activePane="bottomLeft" state="frozen"/>
      <selection pane="bottomLeft" activeCell="H86" sqref="H86"/>
    </sheetView>
  </sheetViews>
  <sheetFormatPr defaultRowHeight="14.4" x14ac:dyDescent="0.3"/>
  <cols>
    <col min="1" max="1" width="22" customWidth="1"/>
    <col min="2" max="2" width="11.6640625" customWidth="1"/>
    <col min="3" max="3" width="10.6640625" customWidth="1"/>
    <col min="4" max="4" width="14.6640625" customWidth="1"/>
    <col min="5" max="5" width="16.6640625" customWidth="1"/>
    <col min="6" max="6" width="17.5546875" bestFit="1" customWidth="1"/>
    <col min="7" max="7" width="9.44140625" bestFit="1" customWidth="1"/>
    <col min="8" max="8" width="13" bestFit="1" customWidth="1"/>
    <col min="9" max="9" width="12.5546875" bestFit="1" customWidth="1"/>
    <col min="10" max="10" width="12.44140625" bestFit="1" customWidth="1"/>
    <col min="11" max="11" width="12.44140625" customWidth="1"/>
    <col min="12" max="12" width="12" style="11" customWidth="1"/>
  </cols>
  <sheetData>
    <row r="1" spans="1:12" ht="35.85" customHeight="1" x14ac:dyDescent="0.35">
      <c r="A1" s="17" t="s">
        <v>140</v>
      </c>
      <c r="B1" s="12" t="s">
        <v>1</v>
      </c>
      <c r="C1" s="12" t="s">
        <v>159</v>
      </c>
      <c r="D1" s="12" t="s">
        <v>9</v>
      </c>
      <c r="E1" s="12" t="s">
        <v>2257</v>
      </c>
      <c r="F1" s="12" t="s">
        <v>2256</v>
      </c>
      <c r="G1" s="12" t="s">
        <v>0</v>
      </c>
      <c r="H1" s="12" t="s">
        <v>5</v>
      </c>
      <c r="I1" s="12" t="s">
        <v>371</v>
      </c>
      <c r="J1" s="12" t="s">
        <v>155</v>
      </c>
      <c r="K1" s="63" t="s">
        <v>1455</v>
      </c>
      <c r="L1" s="12" t="s">
        <v>2</v>
      </c>
    </row>
    <row r="2" spans="1:12" s="235" customFormat="1" ht="14.7" x14ac:dyDescent="0.35">
      <c r="A2" s="233" t="s">
        <v>473</v>
      </c>
      <c r="B2" s="233" t="s">
        <v>198</v>
      </c>
      <c r="C2" s="233">
        <v>5116053</v>
      </c>
      <c r="D2" s="233" t="s">
        <v>476</v>
      </c>
      <c r="E2" s="233" t="s">
        <v>474</v>
      </c>
      <c r="F2" s="233" t="s">
        <v>475</v>
      </c>
      <c r="G2" s="233">
        <v>2803</v>
      </c>
      <c r="H2" s="233">
        <v>20</v>
      </c>
      <c r="I2" s="233">
        <v>35168</v>
      </c>
      <c r="J2" s="234">
        <v>29355</v>
      </c>
      <c r="K2" s="234" t="s">
        <v>440</v>
      </c>
      <c r="L2" s="234" t="s">
        <v>1974</v>
      </c>
    </row>
    <row r="3" spans="1:12" s="235" customFormat="1" ht="14.7" x14ac:dyDescent="0.35">
      <c r="A3" s="236" t="s">
        <v>473</v>
      </c>
      <c r="B3" s="236" t="s">
        <v>6067</v>
      </c>
      <c r="C3" s="236">
        <v>5116236</v>
      </c>
      <c r="D3" s="236" t="s">
        <v>2710</v>
      </c>
      <c r="E3" s="236" t="s">
        <v>2711</v>
      </c>
      <c r="F3" s="236" t="s">
        <v>2712</v>
      </c>
      <c r="G3" s="236">
        <v>2801</v>
      </c>
      <c r="H3" s="236">
        <v>30</v>
      </c>
      <c r="I3" s="236">
        <v>35168</v>
      </c>
      <c r="J3" s="236">
        <v>29355</v>
      </c>
      <c r="K3" s="236" t="s">
        <v>440</v>
      </c>
      <c r="L3" s="236" t="s">
        <v>1974</v>
      </c>
    </row>
    <row r="4" spans="1:12" s="235" customFormat="1" ht="14.7" x14ac:dyDescent="0.35">
      <c r="A4" s="238" t="s">
        <v>473</v>
      </c>
      <c r="B4" s="238" t="s">
        <v>4</v>
      </c>
      <c r="C4" s="238">
        <v>5116054</v>
      </c>
      <c r="D4" s="238" t="s">
        <v>2828</v>
      </c>
      <c r="E4" s="238" t="s">
        <v>2829</v>
      </c>
      <c r="F4" s="238" t="s">
        <v>2830</v>
      </c>
      <c r="G4" s="238">
        <v>2804</v>
      </c>
      <c r="H4" s="238">
        <v>80</v>
      </c>
      <c r="I4" s="238">
        <v>35168</v>
      </c>
      <c r="J4" s="238">
        <v>29355</v>
      </c>
      <c r="K4" s="238" t="s">
        <v>440</v>
      </c>
      <c r="L4" s="238" t="s">
        <v>1974</v>
      </c>
    </row>
    <row r="5" spans="1:12" s="235" customFormat="1" ht="14.7" x14ac:dyDescent="0.35">
      <c r="A5" s="233" t="s">
        <v>227</v>
      </c>
      <c r="B5" s="233" t="s">
        <v>198</v>
      </c>
      <c r="C5" s="233"/>
      <c r="D5" s="233" t="s">
        <v>372</v>
      </c>
      <c r="E5" s="233" t="s">
        <v>373</v>
      </c>
      <c r="F5" s="233" t="s">
        <v>374</v>
      </c>
      <c r="G5" s="233">
        <v>2803</v>
      </c>
      <c r="H5" s="233">
        <v>100</v>
      </c>
      <c r="I5" s="233">
        <v>35168</v>
      </c>
      <c r="J5" s="234">
        <v>65001</v>
      </c>
      <c r="K5" s="234" t="s">
        <v>428</v>
      </c>
      <c r="L5" s="234" t="s">
        <v>1974</v>
      </c>
    </row>
    <row r="6" spans="1:12" s="235" customFormat="1" ht="14.7" x14ac:dyDescent="0.35">
      <c r="A6" s="236" t="s">
        <v>227</v>
      </c>
      <c r="B6" s="236" t="s">
        <v>6067</v>
      </c>
      <c r="C6" s="236"/>
      <c r="D6" s="236" t="s">
        <v>375</v>
      </c>
      <c r="E6" s="236" t="s">
        <v>376</v>
      </c>
      <c r="F6" s="236" t="s">
        <v>377</v>
      </c>
      <c r="G6" s="236">
        <v>2801</v>
      </c>
      <c r="H6" s="236">
        <v>330</v>
      </c>
      <c r="I6" s="236">
        <v>35168</v>
      </c>
      <c r="J6" s="236">
        <v>65001</v>
      </c>
      <c r="K6" s="236" t="s">
        <v>428</v>
      </c>
      <c r="L6" s="236" t="s">
        <v>1974</v>
      </c>
    </row>
    <row r="7" spans="1:12" s="228" customFormat="1" ht="14.7" x14ac:dyDescent="0.35">
      <c r="A7" s="224" t="s">
        <v>227</v>
      </c>
      <c r="B7" s="224" t="s">
        <v>597</v>
      </c>
      <c r="C7" s="224" t="s">
        <v>1626</v>
      </c>
      <c r="D7" s="224" t="s">
        <v>1339</v>
      </c>
      <c r="E7" s="224" t="s">
        <v>1340</v>
      </c>
      <c r="F7" s="224" t="s">
        <v>1341</v>
      </c>
      <c r="G7" s="224">
        <v>2806</v>
      </c>
      <c r="H7" s="224"/>
      <c r="I7" s="224">
        <v>35168</v>
      </c>
      <c r="J7" s="224">
        <v>65001</v>
      </c>
      <c r="K7" s="224" t="s">
        <v>428</v>
      </c>
      <c r="L7" s="224" t="s">
        <v>1974</v>
      </c>
    </row>
    <row r="8" spans="1:12" s="235" customFormat="1" ht="14.7" x14ac:dyDescent="0.35">
      <c r="A8" s="238" t="s">
        <v>227</v>
      </c>
      <c r="B8" s="238" t="s">
        <v>4</v>
      </c>
      <c r="C8" s="238"/>
      <c r="D8" s="238" t="s">
        <v>2831</v>
      </c>
      <c r="E8" s="238" t="s">
        <v>2832</v>
      </c>
      <c r="F8" s="238" t="s">
        <v>2833</v>
      </c>
      <c r="G8" s="238">
        <v>2804</v>
      </c>
      <c r="H8" s="238">
        <v>250</v>
      </c>
      <c r="I8" s="238">
        <v>35168</v>
      </c>
      <c r="J8" s="238">
        <v>65001</v>
      </c>
      <c r="K8" s="238" t="s">
        <v>428</v>
      </c>
      <c r="L8" s="238" t="s">
        <v>1974</v>
      </c>
    </row>
    <row r="9" spans="1:12" s="235" customFormat="1" ht="14.7" x14ac:dyDescent="0.35">
      <c r="A9" s="239" t="s">
        <v>227</v>
      </c>
      <c r="B9" s="239" t="s">
        <v>1431</v>
      </c>
      <c r="C9" s="239"/>
      <c r="D9" s="239" t="s">
        <v>2834</v>
      </c>
      <c r="E9" s="239" t="s">
        <v>2835</v>
      </c>
      <c r="F9" s="239" t="s">
        <v>2836</v>
      </c>
      <c r="G9" s="239">
        <v>2809</v>
      </c>
      <c r="H9" s="239">
        <v>120</v>
      </c>
      <c r="I9" s="239">
        <v>35168</v>
      </c>
      <c r="J9" s="239">
        <v>65001</v>
      </c>
      <c r="K9" s="239" t="s">
        <v>428</v>
      </c>
      <c r="L9" s="239" t="s">
        <v>1974</v>
      </c>
    </row>
    <row r="10" spans="1:12" s="235" customFormat="1" ht="14.7" x14ac:dyDescent="0.35">
      <c r="A10" s="233" t="s">
        <v>141</v>
      </c>
      <c r="B10" s="233" t="s">
        <v>198</v>
      </c>
      <c r="C10" s="233">
        <v>5113106</v>
      </c>
      <c r="D10" s="233" t="s">
        <v>378</v>
      </c>
      <c r="E10" s="233" t="s">
        <v>379</v>
      </c>
      <c r="F10" s="233" t="s">
        <v>380</v>
      </c>
      <c r="G10" s="233">
        <v>2803</v>
      </c>
      <c r="H10" s="233">
        <v>120</v>
      </c>
      <c r="I10" s="233">
        <v>35168</v>
      </c>
      <c r="J10" s="234">
        <v>65001</v>
      </c>
      <c r="K10" s="234" t="s">
        <v>433</v>
      </c>
      <c r="L10" s="234" t="s">
        <v>1975</v>
      </c>
    </row>
    <row r="11" spans="1:12" s="235" customFormat="1" ht="14.7" x14ac:dyDescent="0.35">
      <c r="A11" s="236" t="s">
        <v>141</v>
      </c>
      <c r="B11" s="236" t="s">
        <v>6067</v>
      </c>
      <c r="C11" s="236">
        <v>5113108</v>
      </c>
      <c r="D11" s="236" t="s">
        <v>381</v>
      </c>
      <c r="E11" s="236" t="s">
        <v>382</v>
      </c>
      <c r="F11" s="236" t="s">
        <v>383</v>
      </c>
      <c r="G11" s="236">
        <v>2801</v>
      </c>
      <c r="H11" s="236">
        <v>280</v>
      </c>
      <c r="I11" s="236">
        <v>35168</v>
      </c>
      <c r="J11" s="236">
        <v>65001</v>
      </c>
      <c r="K11" s="236" t="s">
        <v>433</v>
      </c>
      <c r="L11" s="236" t="s">
        <v>1975</v>
      </c>
    </row>
    <row r="12" spans="1:12" s="228" customFormat="1" ht="14.7" x14ac:dyDescent="0.35">
      <c r="A12" s="229" t="s">
        <v>141</v>
      </c>
      <c r="B12" s="229" t="s">
        <v>34</v>
      </c>
      <c r="C12" s="229" t="s">
        <v>1626</v>
      </c>
      <c r="D12" s="229" t="s">
        <v>1771</v>
      </c>
      <c r="E12" s="229" t="s">
        <v>1772</v>
      </c>
      <c r="F12" s="229" t="s">
        <v>1773</v>
      </c>
      <c r="G12" s="229">
        <v>2803</v>
      </c>
      <c r="H12" s="229">
        <v>100</v>
      </c>
      <c r="I12" s="229">
        <v>35168</v>
      </c>
      <c r="J12" s="229">
        <v>65001</v>
      </c>
      <c r="K12" s="229" t="s">
        <v>433</v>
      </c>
      <c r="L12" s="229" t="s">
        <v>1973</v>
      </c>
    </row>
    <row r="13" spans="1:12" s="228" customFormat="1" ht="14.7" x14ac:dyDescent="0.35">
      <c r="A13" s="230" t="s">
        <v>141</v>
      </c>
      <c r="B13" s="230" t="s">
        <v>249</v>
      </c>
      <c r="C13" s="230" t="s">
        <v>1626</v>
      </c>
      <c r="D13" s="230" t="s">
        <v>1774</v>
      </c>
      <c r="E13" s="230" t="s">
        <v>1776</v>
      </c>
      <c r="F13" s="230" t="s">
        <v>1775</v>
      </c>
      <c r="G13" s="230">
        <v>2807</v>
      </c>
      <c r="H13" s="230">
        <v>1</v>
      </c>
      <c r="I13" s="230">
        <v>35168</v>
      </c>
      <c r="J13" s="230">
        <v>65001</v>
      </c>
      <c r="K13" s="230" t="s">
        <v>433</v>
      </c>
      <c r="L13" s="230" t="s">
        <v>1973</v>
      </c>
    </row>
    <row r="14" spans="1:12" s="235" customFormat="1" ht="14.7" x14ac:dyDescent="0.35">
      <c r="A14" s="238" t="s">
        <v>141</v>
      </c>
      <c r="B14" s="238" t="s">
        <v>4</v>
      </c>
      <c r="C14" s="238">
        <v>5113107</v>
      </c>
      <c r="D14" s="238" t="s">
        <v>2837</v>
      </c>
      <c r="E14" s="238" t="s">
        <v>2838</v>
      </c>
      <c r="F14" s="238" t="s">
        <v>2839</v>
      </c>
      <c r="G14" s="238">
        <v>2804</v>
      </c>
      <c r="H14" s="238">
        <v>300</v>
      </c>
      <c r="I14" s="238">
        <v>35168</v>
      </c>
      <c r="J14" s="238">
        <v>65001</v>
      </c>
      <c r="K14" s="238" t="s">
        <v>433</v>
      </c>
      <c r="L14" s="238" t="s">
        <v>1973</v>
      </c>
    </row>
    <row r="15" spans="1:12" s="235" customFormat="1" ht="14.7" x14ac:dyDescent="0.35">
      <c r="A15" s="239" t="s">
        <v>141</v>
      </c>
      <c r="B15" s="239" t="s">
        <v>1431</v>
      </c>
      <c r="C15" s="239">
        <v>5113130</v>
      </c>
      <c r="D15" s="239" t="s">
        <v>2840</v>
      </c>
      <c r="E15" s="239" t="s">
        <v>2841</v>
      </c>
      <c r="F15" s="239" t="s">
        <v>2842</v>
      </c>
      <c r="G15" s="239">
        <v>2809</v>
      </c>
      <c r="H15" s="239">
        <v>120</v>
      </c>
      <c r="I15" s="239">
        <v>35168</v>
      </c>
      <c r="J15" s="239">
        <v>65001</v>
      </c>
      <c r="K15" s="239" t="s">
        <v>433</v>
      </c>
      <c r="L15" s="239" t="s">
        <v>1973</v>
      </c>
    </row>
    <row r="16" spans="1:12" s="235" customFormat="1" ht="14.7" x14ac:dyDescent="0.35">
      <c r="A16" s="233" t="s">
        <v>384</v>
      </c>
      <c r="B16" s="233" t="s">
        <v>198</v>
      </c>
      <c r="C16" s="233">
        <v>5115026</v>
      </c>
      <c r="D16" s="233" t="s">
        <v>385</v>
      </c>
      <c r="E16" s="233" t="s">
        <v>386</v>
      </c>
      <c r="F16" s="233" t="s">
        <v>387</v>
      </c>
      <c r="G16" s="233">
        <v>2803</v>
      </c>
      <c r="H16" s="233">
        <v>65</v>
      </c>
      <c r="I16" s="233">
        <v>35168</v>
      </c>
      <c r="J16" s="234">
        <v>29355</v>
      </c>
      <c r="K16" s="234" t="s">
        <v>654</v>
      </c>
      <c r="L16" s="234" t="s">
        <v>1974</v>
      </c>
    </row>
    <row r="17" spans="1:12" s="235" customFormat="1" ht="14.7" x14ac:dyDescent="0.35">
      <c r="A17" s="236" t="s">
        <v>384</v>
      </c>
      <c r="B17" s="236" t="s">
        <v>6067</v>
      </c>
      <c r="C17" s="236">
        <v>5115028</v>
      </c>
      <c r="D17" s="236" t="s">
        <v>388</v>
      </c>
      <c r="E17" s="236" t="s">
        <v>389</v>
      </c>
      <c r="F17" s="236" t="s">
        <v>390</v>
      </c>
      <c r="G17" s="236">
        <v>2801</v>
      </c>
      <c r="H17" s="236">
        <v>140</v>
      </c>
      <c r="I17" s="236">
        <v>35168</v>
      </c>
      <c r="J17" s="236">
        <v>29355</v>
      </c>
      <c r="K17" s="236" t="s">
        <v>654</v>
      </c>
      <c r="L17" s="236" t="s">
        <v>1974</v>
      </c>
    </row>
    <row r="18" spans="1:12" s="235" customFormat="1" ht="14.7" x14ac:dyDescent="0.35">
      <c r="A18" s="238" t="s">
        <v>384</v>
      </c>
      <c r="B18" s="238" t="s">
        <v>4</v>
      </c>
      <c r="C18" s="238">
        <v>5115027</v>
      </c>
      <c r="D18" s="238" t="s">
        <v>2843</v>
      </c>
      <c r="E18" s="238" t="s">
        <v>2844</v>
      </c>
      <c r="F18" s="238" t="s">
        <v>2845</v>
      </c>
      <c r="G18" s="238">
        <v>2804</v>
      </c>
      <c r="H18" s="238">
        <v>70</v>
      </c>
      <c r="I18" s="238">
        <v>35168</v>
      </c>
      <c r="J18" s="238">
        <v>29355</v>
      </c>
      <c r="K18" s="238" t="s">
        <v>654</v>
      </c>
      <c r="L18" s="238" t="s">
        <v>1974</v>
      </c>
    </row>
    <row r="19" spans="1:12" s="228" customFormat="1" ht="14.7" x14ac:dyDescent="0.35">
      <c r="A19" s="229" t="s">
        <v>1459</v>
      </c>
      <c r="B19" s="229" t="s">
        <v>34</v>
      </c>
      <c r="C19" s="229" t="s">
        <v>1626</v>
      </c>
      <c r="D19" s="229"/>
      <c r="E19" s="229"/>
      <c r="F19" s="229"/>
      <c r="G19" s="229">
        <v>705</v>
      </c>
      <c r="H19" s="229">
        <v>40</v>
      </c>
      <c r="I19" s="229" t="s">
        <v>1454</v>
      </c>
      <c r="J19" s="229" t="s">
        <v>1454</v>
      </c>
      <c r="K19" s="229" t="s">
        <v>1573</v>
      </c>
      <c r="L19" s="229" t="s">
        <v>1974</v>
      </c>
    </row>
    <row r="20" spans="1:12" s="228" customFormat="1" ht="14.7" x14ac:dyDescent="0.35">
      <c r="A20" s="230" t="s">
        <v>1459</v>
      </c>
      <c r="B20" s="230" t="s">
        <v>249</v>
      </c>
      <c r="C20" s="230" t="s">
        <v>1626</v>
      </c>
      <c r="D20" s="230"/>
      <c r="E20" s="230"/>
      <c r="F20" s="230"/>
      <c r="G20" s="230">
        <v>905</v>
      </c>
      <c r="H20" s="230">
        <v>1</v>
      </c>
      <c r="I20" s="230" t="s">
        <v>1454</v>
      </c>
      <c r="J20" s="230" t="s">
        <v>1454</v>
      </c>
      <c r="K20" s="230" t="s">
        <v>1573</v>
      </c>
      <c r="L20" s="230" t="s">
        <v>1974</v>
      </c>
    </row>
    <row r="21" spans="1:12" s="235" customFormat="1" ht="14.7" x14ac:dyDescent="0.35">
      <c r="A21" s="237" t="s">
        <v>581</v>
      </c>
      <c r="B21" s="237" t="s">
        <v>597</v>
      </c>
      <c r="C21" s="237">
        <v>5108060</v>
      </c>
      <c r="D21" s="237" t="s">
        <v>1370</v>
      </c>
      <c r="E21" s="237" t="s">
        <v>1368</v>
      </c>
      <c r="F21" s="237" t="s">
        <v>1369</v>
      </c>
      <c r="G21" s="237">
        <v>2806</v>
      </c>
      <c r="H21" s="237">
        <v>40</v>
      </c>
      <c r="I21" s="237">
        <v>35168</v>
      </c>
      <c r="J21" s="237">
        <v>65021</v>
      </c>
      <c r="K21" s="237" t="s">
        <v>1687</v>
      </c>
      <c r="L21" s="237" t="s">
        <v>1974</v>
      </c>
    </row>
    <row r="22" spans="1:12" s="228" customFormat="1" ht="14.7" x14ac:dyDescent="0.35">
      <c r="A22" s="223" t="s">
        <v>581</v>
      </c>
      <c r="B22" s="223" t="s">
        <v>35</v>
      </c>
      <c r="C22" s="223" t="s">
        <v>1626</v>
      </c>
      <c r="D22" s="223" t="s">
        <v>2733</v>
      </c>
      <c r="E22" s="223" t="s">
        <v>2734</v>
      </c>
      <c r="F22" s="223" t="s">
        <v>2735</v>
      </c>
      <c r="G22" s="223">
        <v>2801</v>
      </c>
      <c r="H22" s="223">
        <v>1</v>
      </c>
      <c r="I22" s="223">
        <v>35168</v>
      </c>
      <c r="J22" s="223">
        <v>65021</v>
      </c>
      <c r="K22" s="223" t="s">
        <v>1687</v>
      </c>
      <c r="L22" s="223" t="s">
        <v>1974</v>
      </c>
    </row>
    <row r="23" spans="1:12" s="235" customFormat="1" ht="14.7" x14ac:dyDescent="0.35">
      <c r="A23" s="233" t="s">
        <v>500</v>
      </c>
      <c r="B23" s="233" t="s">
        <v>198</v>
      </c>
      <c r="C23" s="233">
        <v>5106022</v>
      </c>
      <c r="D23" s="233" t="s">
        <v>503</v>
      </c>
      <c r="E23" s="233" t="s">
        <v>501</v>
      </c>
      <c r="F23" s="233" t="s">
        <v>502</v>
      </c>
      <c r="G23" s="233">
        <v>2806</v>
      </c>
      <c r="H23" s="233">
        <v>17</v>
      </c>
      <c r="I23" s="233">
        <v>35168</v>
      </c>
      <c r="J23" s="234">
        <v>65110</v>
      </c>
      <c r="K23" s="234" t="s">
        <v>1688</v>
      </c>
      <c r="L23" s="234" t="s">
        <v>1974</v>
      </c>
    </row>
    <row r="24" spans="1:12" s="228" customFormat="1" ht="14.7" x14ac:dyDescent="0.35">
      <c r="A24" s="230" t="s">
        <v>500</v>
      </c>
      <c r="B24" s="230" t="s">
        <v>249</v>
      </c>
      <c r="C24" s="230" t="s">
        <v>1626</v>
      </c>
      <c r="D24" s="230" t="s">
        <v>2433</v>
      </c>
      <c r="E24" s="230" t="s">
        <v>2434</v>
      </c>
      <c r="F24" s="230" t="s">
        <v>2435</v>
      </c>
      <c r="G24" s="230">
        <v>2807</v>
      </c>
      <c r="H24" s="230">
        <v>1</v>
      </c>
      <c r="I24" s="230">
        <v>35168</v>
      </c>
      <c r="J24" s="230">
        <v>65110</v>
      </c>
      <c r="K24" s="230" t="s">
        <v>1688</v>
      </c>
      <c r="L24" s="230" t="s">
        <v>1974</v>
      </c>
    </row>
    <row r="25" spans="1:12" s="228" customFormat="1" ht="14.7" x14ac:dyDescent="0.35">
      <c r="A25" s="127" t="s">
        <v>500</v>
      </c>
      <c r="B25" s="127" t="s">
        <v>11</v>
      </c>
      <c r="C25" s="127" t="s">
        <v>1626</v>
      </c>
      <c r="D25" s="127" t="s">
        <v>1696</v>
      </c>
      <c r="E25" s="127" t="s">
        <v>1697</v>
      </c>
      <c r="F25" s="127" t="s">
        <v>1698</v>
      </c>
      <c r="G25" s="127">
        <v>2805</v>
      </c>
      <c r="H25" s="127">
        <v>1</v>
      </c>
      <c r="I25" s="127">
        <v>35168</v>
      </c>
      <c r="J25" s="127">
        <v>65110</v>
      </c>
      <c r="K25" s="127" t="s">
        <v>1688</v>
      </c>
      <c r="L25" s="127" t="s">
        <v>1974</v>
      </c>
    </row>
    <row r="26" spans="1:12" s="235" customFormat="1" ht="14.7" x14ac:dyDescent="0.35">
      <c r="A26" s="236" t="s">
        <v>500</v>
      </c>
      <c r="B26" s="236" t="s">
        <v>35</v>
      </c>
      <c r="C26" s="236">
        <v>5106026</v>
      </c>
      <c r="D26" s="236" t="s">
        <v>1708</v>
      </c>
      <c r="E26" s="236" t="s">
        <v>1709</v>
      </c>
      <c r="F26" s="236" t="s">
        <v>1710</v>
      </c>
      <c r="G26" s="236">
        <v>2801</v>
      </c>
      <c r="H26" s="236">
        <v>10</v>
      </c>
      <c r="I26" s="236">
        <v>35168</v>
      </c>
      <c r="J26" s="236">
        <v>65110</v>
      </c>
      <c r="K26" s="236" t="s">
        <v>1688</v>
      </c>
      <c r="L26" s="236" t="s">
        <v>1974</v>
      </c>
    </row>
    <row r="27" spans="1:12" s="235" customFormat="1" ht="14.7" x14ac:dyDescent="0.35">
      <c r="A27" s="238" t="s">
        <v>500</v>
      </c>
      <c r="B27" s="238" t="s">
        <v>4</v>
      </c>
      <c r="C27" s="238">
        <v>5106025</v>
      </c>
      <c r="D27" s="238" t="s">
        <v>2846</v>
      </c>
      <c r="E27" s="238" t="s">
        <v>2847</v>
      </c>
      <c r="F27" s="238" t="s">
        <v>2848</v>
      </c>
      <c r="G27" s="238">
        <v>2804</v>
      </c>
      <c r="H27" s="238">
        <v>90</v>
      </c>
      <c r="I27" s="238">
        <v>35168</v>
      </c>
      <c r="J27" s="238">
        <v>65110</v>
      </c>
      <c r="K27" s="238" t="s">
        <v>1688</v>
      </c>
      <c r="L27" s="238" t="s">
        <v>1974</v>
      </c>
    </row>
    <row r="28" spans="1:12" ht="14.7" x14ac:dyDescent="0.35">
      <c r="A28" s="9" t="s">
        <v>529</v>
      </c>
      <c r="B28" s="9" t="s">
        <v>249</v>
      </c>
      <c r="C28" s="9"/>
      <c r="D28" s="9"/>
      <c r="E28" s="9"/>
      <c r="F28" s="9"/>
      <c r="G28" s="9">
        <v>907</v>
      </c>
      <c r="H28" s="9">
        <v>1</v>
      </c>
      <c r="I28" s="9" t="s">
        <v>1454</v>
      </c>
      <c r="J28" s="9" t="s">
        <v>1454</v>
      </c>
      <c r="K28" s="9" t="s">
        <v>1573</v>
      </c>
      <c r="L28" s="9" t="s">
        <v>1974</v>
      </c>
    </row>
    <row r="29" spans="1:12" s="235" customFormat="1" ht="14.7" x14ac:dyDescent="0.35">
      <c r="A29" s="233" t="s">
        <v>583</v>
      </c>
      <c r="B29" s="233" t="s">
        <v>198</v>
      </c>
      <c r="C29" s="233">
        <v>5114041</v>
      </c>
      <c r="D29" s="233" t="s">
        <v>510</v>
      </c>
      <c r="E29" s="233" t="s">
        <v>511</v>
      </c>
      <c r="F29" s="233" t="s">
        <v>512</v>
      </c>
      <c r="G29" s="233">
        <v>2803</v>
      </c>
      <c r="H29" s="233">
        <v>7</v>
      </c>
      <c r="I29" s="233">
        <v>35168</v>
      </c>
      <c r="J29" s="234">
        <v>65002</v>
      </c>
      <c r="K29" s="234" t="s">
        <v>1689</v>
      </c>
      <c r="L29" s="234" t="s">
        <v>1974</v>
      </c>
    </row>
    <row r="30" spans="1:12" s="235" customFormat="1" ht="14.7" x14ac:dyDescent="0.35">
      <c r="A30" s="236" t="s">
        <v>583</v>
      </c>
      <c r="B30" s="236" t="s">
        <v>6067</v>
      </c>
      <c r="C30" s="236">
        <v>5114018</v>
      </c>
      <c r="D30" s="236" t="s">
        <v>1711</v>
      </c>
      <c r="E30" s="236" t="s">
        <v>1712</v>
      </c>
      <c r="F30" s="236" t="s">
        <v>1713</v>
      </c>
      <c r="G30" s="236">
        <v>2801</v>
      </c>
      <c r="H30" s="236">
        <v>5</v>
      </c>
      <c r="I30" s="236">
        <v>35168</v>
      </c>
      <c r="J30" s="236">
        <v>65002</v>
      </c>
      <c r="K30" s="236" t="s">
        <v>1689</v>
      </c>
      <c r="L30" s="236" t="s">
        <v>1974</v>
      </c>
    </row>
    <row r="31" spans="1:12" s="235" customFormat="1" ht="14.7" x14ac:dyDescent="0.35">
      <c r="A31" s="238" t="s">
        <v>583</v>
      </c>
      <c r="B31" s="238" t="s">
        <v>4</v>
      </c>
      <c r="C31" s="238">
        <v>5114021</v>
      </c>
      <c r="D31" s="238" t="s">
        <v>2849</v>
      </c>
      <c r="E31" s="238" t="s">
        <v>2850</v>
      </c>
      <c r="F31" s="238" t="s">
        <v>2851</v>
      </c>
      <c r="G31" s="238">
        <v>2804</v>
      </c>
      <c r="H31" s="238">
        <v>30</v>
      </c>
      <c r="I31" s="238">
        <v>35168</v>
      </c>
      <c r="J31" s="238">
        <v>65002</v>
      </c>
      <c r="K31" s="238" t="s">
        <v>1689</v>
      </c>
      <c r="L31" s="238" t="s">
        <v>1974</v>
      </c>
    </row>
    <row r="32" spans="1:12" s="235" customFormat="1" ht="14.7" x14ac:dyDescent="0.35">
      <c r="A32" s="233" t="s">
        <v>1627</v>
      </c>
      <c r="B32" s="233" t="s">
        <v>198</v>
      </c>
      <c r="C32" s="233">
        <v>5107009</v>
      </c>
      <c r="D32" s="233" t="s">
        <v>391</v>
      </c>
      <c r="E32" s="233" t="s">
        <v>392</v>
      </c>
      <c r="F32" s="233" t="s">
        <v>393</v>
      </c>
      <c r="G32" s="233">
        <v>2803</v>
      </c>
      <c r="H32" s="233">
        <v>14</v>
      </c>
      <c r="I32" s="233">
        <v>35168</v>
      </c>
      <c r="J32" s="234">
        <v>65234</v>
      </c>
      <c r="K32" s="234" t="s">
        <v>435</v>
      </c>
      <c r="L32" s="234" t="s">
        <v>1974</v>
      </c>
    </row>
    <row r="33" spans="1:12" s="228" customFormat="1" x14ac:dyDescent="0.3">
      <c r="A33" s="230" t="s">
        <v>1627</v>
      </c>
      <c r="B33" s="230" t="s">
        <v>249</v>
      </c>
      <c r="C33" s="230" t="s">
        <v>1507</v>
      </c>
      <c r="D33" s="230" t="s">
        <v>2620</v>
      </c>
      <c r="E33" s="230" t="s">
        <v>2621</v>
      </c>
      <c r="F33" s="230" t="s">
        <v>2622</v>
      </c>
      <c r="G33" s="230">
        <v>2807</v>
      </c>
      <c r="H33" s="230">
        <v>1</v>
      </c>
      <c r="I33" s="230">
        <v>35168</v>
      </c>
      <c r="J33" s="230">
        <v>65234</v>
      </c>
      <c r="K33" s="230" t="s">
        <v>435</v>
      </c>
      <c r="L33" s="230" t="s">
        <v>1974</v>
      </c>
    </row>
    <row r="34" spans="1:12" s="235" customFormat="1" x14ac:dyDescent="0.3">
      <c r="A34" s="236" t="s">
        <v>1627</v>
      </c>
      <c r="B34" s="236" t="s">
        <v>35</v>
      </c>
      <c r="C34" s="236">
        <v>5107011</v>
      </c>
      <c r="D34" s="236" t="s">
        <v>394</v>
      </c>
      <c r="E34" s="236" t="s">
        <v>395</v>
      </c>
      <c r="F34" s="236" t="s">
        <v>396</v>
      </c>
      <c r="G34" s="236">
        <v>2801</v>
      </c>
      <c r="H34" s="236">
        <v>25</v>
      </c>
      <c r="I34" s="236">
        <v>35168</v>
      </c>
      <c r="J34" s="236">
        <v>65234</v>
      </c>
      <c r="K34" s="236" t="s">
        <v>435</v>
      </c>
      <c r="L34" s="236" t="s">
        <v>1974</v>
      </c>
    </row>
    <row r="35" spans="1:12" s="235" customFormat="1" x14ac:dyDescent="0.3">
      <c r="A35" s="238" t="s">
        <v>1627</v>
      </c>
      <c r="B35" s="238" t="s">
        <v>4</v>
      </c>
      <c r="C35" s="238">
        <v>5107010</v>
      </c>
      <c r="D35" s="238" t="s">
        <v>2852</v>
      </c>
      <c r="E35" s="238" t="s">
        <v>2853</v>
      </c>
      <c r="F35" s="238" t="s">
        <v>2854</v>
      </c>
      <c r="G35" s="238">
        <v>2804</v>
      </c>
      <c r="H35" s="238">
        <v>40</v>
      </c>
      <c r="I35" s="238">
        <v>35168</v>
      </c>
      <c r="J35" s="238">
        <v>65234</v>
      </c>
      <c r="K35" s="238" t="s">
        <v>435</v>
      </c>
      <c r="L35" s="238" t="s">
        <v>1974</v>
      </c>
    </row>
    <row r="36" spans="1:12" s="235" customFormat="1" x14ac:dyDescent="0.3">
      <c r="A36" s="233" t="s">
        <v>397</v>
      </c>
      <c r="B36" s="233" t="s">
        <v>198</v>
      </c>
      <c r="C36" s="233"/>
      <c r="D36" s="233" t="s">
        <v>398</v>
      </c>
      <c r="E36" s="233" t="s">
        <v>399</v>
      </c>
      <c r="F36" s="233" t="s">
        <v>400</v>
      </c>
      <c r="G36" s="233">
        <v>2803</v>
      </c>
      <c r="H36" s="233">
        <v>14</v>
      </c>
      <c r="I36" s="233">
        <v>35168</v>
      </c>
      <c r="J36" s="234">
        <v>65233</v>
      </c>
      <c r="K36" s="234" t="s">
        <v>1573</v>
      </c>
      <c r="L36" s="234" t="s">
        <v>1974</v>
      </c>
    </row>
    <row r="37" spans="1:12" s="235" customFormat="1" x14ac:dyDescent="0.3">
      <c r="A37" s="236" t="s">
        <v>397</v>
      </c>
      <c r="B37" s="236" t="s">
        <v>35</v>
      </c>
      <c r="C37" s="236"/>
      <c r="D37" s="236" t="s">
        <v>2964</v>
      </c>
      <c r="E37" s="236" t="s">
        <v>2965</v>
      </c>
      <c r="F37" s="236" t="s">
        <v>2966</v>
      </c>
      <c r="G37" s="236">
        <v>2801</v>
      </c>
      <c r="H37" s="236">
        <v>20</v>
      </c>
      <c r="I37" s="236">
        <v>35168</v>
      </c>
      <c r="J37" s="236">
        <v>65233</v>
      </c>
      <c r="K37" s="236" t="s">
        <v>1573</v>
      </c>
      <c r="L37" s="236" t="s">
        <v>1974</v>
      </c>
    </row>
    <row r="38" spans="1:12" s="235" customFormat="1" x14ac:dyDescent="0.3">
      <c r="A38" s="238" t="s">
        <v>397</v>
      </c>
      <c r="B38" s="238" t="s">
        <v>4</v>
      </c>
      <c r="C38" s="238"/>
      <c r="D38" s="238" t="s">
        <v>2855</v>
      </c>
      <c r="E38" s="238" t="s">
        <v>2856</v>
      </c>
      <c r="F38" s="238" t="s">
        <v>2857</v>
      </c>
      <c r="G38" s="238">
        <v>2804</v>
      </c>
      <c r="H38" s="238">
        <v>70</v>
      </c>
      <c r="I38" s="238">
        <v>35168</v>
      </c>
      <c r="J38" s="238">
        <v>65233</v>
      </c>
      <c r="K38" s="238" t="s">
        <v>1573</v>
      </c>
      <c r="L38" s="238" t="s">
        <v>1974</v>
      </c>
    </row>
    <row r="39" spans="1:12" s="235" customFormat="1" x14ac:dyDescent="0.3">
      <c r="A39" s="233" t="s">
        <v>450</v>
      </c>
      <c r="B39" s="233" t="s">
        <v>198</v>
      </c>
      <c r="C39" s="233">
        <v>5102010</v>
      </c>
      <c r="D39" s="233" t="s">
        <v>451</v>
      </c>
      <c r="E39" s="233" t="s">
        <v>452</v>
      </c>
      <c r="F39" s="233" t="s">
        <v>453</v>
      </c>
      <c r="G39" s="233">
        <v>2803</v>
      </c>
      <c r="H39" s="233">
        <v>7</v>
      </c>
      <c r="I39" s="233">
        <v>35168</v>
      </c>
      <c r="J39" s="234">
        <v>65008</v>
      </c>
      <c r="K39" s="234" t="s">
        <v>434</v>
      </c>
      <c r="L39" s="234" t="s">
        <v>1974</v>
      </c>
    </row>
    <row r="40" spans="1:12" s="235" customFormat="1" x14ac:dyDescent="0.3">
      <c r="A40" s="236" t="s">
        <v>450</v>
      </c>
      <c r="B40" s="236" t="s">
        <v>6067</v>
      </c>
      <c r="C40" s="236">
        <v>5102179</v>
      </c>
      <c r="D40" s="236" t="s">
        <v>1705</v>
      </c>
      <c r="E40" s="236" t="s">
        <v>1706</v>
      </c>
      <c r="F40" s="236" t="s">
        <v>1707</v>
      </c>
      <c r="G40" s="236">
        <v>2801</v>
      </c>
      <c r="H40" s="236">
        <v>5</v>
      </c>
      <c r="I40" s="236">
        <v>35168</v>
      </c>
      <c r="J40" s="236">
        <v>65008</v>
      </c>
      <c r="K40" s="236" t="s">
        <v>1701</v>
      </c>
      <c r="L40" s="236" t="s">
        <v>1974</v>
      </c>
    </row>
    <row r="41" spans="1:12" s="235" customFormat="1" x14ac:dyDescent="0.3">
      <c r="A41" s="238" t="s">
        <v>450</v>
      </c>
      <c r="B41" s="238" t="s">
        <v>4</v>
      </c>
      <c r="C41" s="238">
        <v>5102131</v>
      </c>
      <c r="D41" s="238" t="s">
        <v>2858</v>
      </c>
      <c r="E41" s="238" t="s">
        <v>2859</v>
      </c>
      <c r="F41" s="238" t="s">
        <v>2860</v>
      </c>
      <c r="G41" s="238">
        <v>2804</v>
      </c>
      <c r="H41" s="238">
        <v>40</v>
      </c>
      <c r="I41" s="238">
        <v>35168</v>
      </c>
      <c r="J41" s="238">
        <v>65008</v>
      </c>
      <c r="K41" s="238" t="s">
        <v>1701</v>
      </c>
      <c r="L41" s="238" t="s">
        <v>1974</v>
      </c>
    </row>
    <row r="42" spans="1:12" s="235" customFormat="1" x14ac:dyDescent="0.3">
      <c r="A42" s="233" t="s">
        <v>401</v>
      </c>
      <c r="B42" s="233" t="s">
        <v>198</v>
      </c>
      <c r="C42" s="233">
        <v>5108051</v>
      </c>
      <c r="D42" s="233" t="s">
        <v>402</v>
      </c>
      <c r="E42" s="233" t="s">
        <v>403</v>
      </c>
      <c r="F42" s="233" t="s">
        <v>404</v>
      </c>
      <c r="G42" s="233">
        <v>2803</v>
      </c>
      <c r="H42" s="233">
        <v>18</v>
      </c>
      <c r="I42" s="233">
        <v>35168</v>
      </c>
      <c r="J42" s="234">
        <v>65002</v>
      </c>
      <c r="K42" s="234" t="s">
        <v>1690</v>
      </c>
      <c r="L42" s="234" t="s">
        <v>1974</v>
      </c>
    </row>
    <row r="43" spans="1:12" s="235" customFormat="1" x14ac:dyDescent="0.3">
      <c r="A43" s="237" t="s">
        <v>401</v>
      </c>
      <c r="B43" s="237" t="s">
        <v>597</v>
      </c>
      <c r="C43" s="237">
        <v>5108062</v>
      </c>
      <c r="D43" s="237" t="s">
        <v>1371</v>
      </c>
      <c r="E43" s="237" t="s">
        <v>1372</v>
      </c>
      <c r="F43" s="237" t="s">
        <v>1373</v>
      </c>
      <c r="G43" s="237">
        <v>2806</v>
      </c>
      <c r="H43" s="237">
        <v>40</v>
      </c>
      <c r="I43" s="237">
        <v>35168</v>
      </c>
      <c r="J43" s="237">
        <v>65002</v>
      </c>
      <c r="K43" s="237" t="s">
        <v>1690</v>
      </c>
      <c r="L43" s="237" t="s">
        <v>1974</v>
      </c>
    </row>
    <row r="44" spans="1:12" s="235" customFormat="1" x14ac:dyDescent="0.3">
      <c r="A44" s="236" t="s">
        <v>401</v>
      </c>
      <c r="B44" s="236" t="s">
        <v>6067</v>
      </c>
      <c r="C44" s="236">
        <v>5108055</v>
      </c>
      <c r="D44" s="236" t="s">
        <v>405</v>
      </c>
      <c r="E44" s="236" t="s">
        <v>406</v>
      </c>
      <c r="F44" s="236" t="s">
        <v>407</v>
      </c>
      <c r="G44" s="236">
        <v>2801</v>
      </c>
      <c r="H44" s="236">
        <v>30</v>
      </c>
      <c r="I44" s="236">
        <v>35168</v>
      </c>
      <c r="J44" s="236">
        <v>65002</v>
      </c>
      <c r="K44" s="236" t="s">
        <v>1690</v>
      </c>
      <c r="L44" s="236" t="s">
        <v>1974</v>
      </c>
    </row>
    <row r="45" spans="1:12" s="228" customFormat="1" x14ac:dyDescent="0.3">
      <c r="A45" s="229" t="s">
        <v>401</v>
      </c>
      <c r="B45" s="229" t="s">
        <v>34</v>
      </c>
      <c r="C45" s="229" t="s">
        <v>1626</v>
      </c>
      <c r="D45" s="229" t="s">
        <v>2958</v>
      </c>
      <c r="E45" s="229" t="s">
        <v>2959</v>
      </c>
      <c r="F45" s="229" t="s">
        <v>2960</v>
      </c>
      <c r="G45" s="229">
        <v>2803</v>
      </c>
      <c r="H45" s="229">
        <v>430</v>
      </c>
      <c r="I45" s="229">
        <v>35168</v>
      </c>
      <c r="J45" s="229">
        <v>65002</v>
      </c>
      <c r="K45" s="229" t="s">
        <v>1690</v>
      </c>
      <c r="L45" s="229" t="s">
        <v>1974</v>
      </c>
    </row>
    <row r="46" spans="1:12" s="235" customFormat="1" x14ac:dyDescent="0.3">
      <c r="A46" s="238" t="s">
        <v>401</v>
      </c>
      <c r="B46" s="238" t="s">
        <v>4</v>
      </c>
      <c r="C46" s="238">
        <v>5108053</v>
      </c>
      <c r="D46" s="238" t="s">
        <v>2861</v>
      </c>
      <c r="E46" s="238" t="s">
        <v>2862</v>
      </c>
      <c r="F46" s="238" t="s">
        <v>2863</v>
      </c>
      <c r="G46" s="238">
        <v>2804</v>
      </c>
      <c r="H46" s="238">
        <v>70</v>
      </c>
      <c r="I46" s="238">
        <v>35168</v>
      </c>
      <c r="J46" s="238">
        <v>65002</v>
      </c>
      <c r="K46" s="238" t="s">
        <v>1690</v>
      </c>
      <c r="L46" s="238" t="s">
        <v>1974</v>
      </c>
    </row>
    <row r="47" spans="1:12" s="235" customFormat="1" x14ac:dyDescent="0.3">
      <c r="A47" s="233" t="s">
        <v>1461</v>
      </c>
      <c r="B47" s="233" t="s">
        <v>198</v>
      </c>
      <c r="C47" s="233">
        <v>5112005</v>
      </c>
      <c r="D47" s="233" t="s">
        <v>454</v>
      </c>
      <c r="E47" s="233" t="s">
        <v>455</v>
      </c>
      <c r="F47" s="233" t="s">
        <v>456</v>
      </c>
      <c r="G47" s="233">
        <v>2803</v>
      </c>
      <c r="H47" s="233">
        <v>8</v>
      </c>
      <c r="I47" s="233">
        <v>35168</v>
      </c>
      <c r="J47" s="234">
        <v>65232</v>
      </c>
      <c r="K47" s="234" t="s">
        <v>1116</v>
      </c>
      <c r="L47" s="234" t="s">
        <v>1974</v>
      </c>
    </row>
    <row r="48" spans="1:12" s="235" customFormat="1" x14ac:dyDescent="0.3">
      <c r="A48" s="236" t="s">
        <v>1461</v>
      </c>
      <c r="B48" s="236" t="s">
        <v>35</v>
      </c>
      <c r="C48" s="236">
        <v>5112007</v>
      </c>
      <c r="D48" s="236" t="s">
        <v>1714</v>
      </c>
      <c r="E48" s="236" t="s">
        <v>1715</v>
      </c>
      <c r="F48" s="236" t="s">
        <v>1716</v>
      </c>
      <c r="G48" s="236">
        <v>2801</v>
      </c>
      <c r="H48" s="236">
        <v>5</v>
      </c>
      <c r="I48" s="236">
        <v>35168</v>
      </c>
      <c r="J48" s="236">
        <v>65232</v>
      </c>
      <c r="K48" s="236" t="s">
        <v>1116</v>
      </c>
      <c r="L48" s="236" t="s">
        <v>1974</v>
      </c>
    </row>
    <row r="49" spans="1:12" s="235" customFormat="1" x14ac:dyDescent="0.3">
      <c r="A49" s="238" t="s">
        <v>1461</v>
      </c>
      <c r="B49" s="238" t="s">
        <v>4</v>
      </c>
      <c r="C49" s="238">
        <v>5112006</v>
      </c>
      <c r="D49" s="238" t="s">
        <v>2864</v>
      </c>
      <c r="E49" s="238" t="s">
        <v>2865</v>
      </c>
      <c r="F49" s="238" t="s">
        <v>2866</v>
      </c>
      <c r="G49" s="238">
        <v>2804</v>
      </c>
      <c r="H49" s="238">
        <v>30</v>
      </c>
      <c r="I49" s="238">
        <v>35168</v>
      </c>
      <c r="J49" s="238">
        <v>65232</v>
      </c>
      <c r="K49" s="238" t="s">
        <v>1116</v>
      </c>
      <c r="L49" s="238" t="s">
        <v>1974</v>
      </c>
    </row>
    <row r="50" spans="1:12" s="228" customFormat="1" x14ac:dyDescent="0.3">
      <c r="A50" s="224" t="s">
        <v>2023</v>
      </c>
      <c r="B50" s="224" t="s">
        <v>597</v>
      </c>
      <c r="C50" s="224" t="s">
        <v>1507</v>
      </c>
      <c r="D50" s="224"/>
      <c r="E50" s="224"/>
      <c r="F50" s="224" t="s">
        <v>2025</v>
      </c>
      <c r="G50" s="224">
        <v>2816</v>
      </c>
      <c r="H50" s="224" t="s">
        <v>2024</v>
      </c>
      <c r="I50" s="224" t="s">
        <v>1454</v>
      </c>
      <c r="J50" s="224" t="s">
        <v>1454</v>
      </c>
      <c r="K50" s="224" t="s">
        <v>1692</v>
      </c>
      <c r="L50" s="224" t="s">
        <v>1974</v>
      </c>
    </row>
    <row r="51" spans="1:12" s="235" customFormat="1" x14ac:dyDescent="0.3">
      <c r="A51" s="236" t="s">
        <v>1101</v>
      </c>
      <c r="B51" s="236" t="s">
        <v>35</v>
      </c>
      <c r="C51" s="236">
        <v>5105166</v>
      </c>
      <c r="D51" s="236" t="s">
        <v>2728</v>
      </c>
      <c r="E51" s="236" t="s">
        <v>2729</v>
      </c>
      <c r="F51" s="236" t="s">
        <v>2730</v>
      </c>
      <c r="G51" s="236">
        <v>2801</v>
      </c>
      <c r="H51" s="236">
        <v>10</v>
      </c>
      <c r="I51" s="236">
        <v>35168</v>
      </c>
      <c r="J51" s="236">
        <v>29355</v>
      </c>
      <c r="K51" s="236" t="s">
        <v>2569</v>
      </c>
      <c r="L51" s="236" t="s">
        <v>1974</v>
      </c>
    </row>
    <row r="52" spans="1:12" s="235" customFormat="1" x14ac:dyDescent="0.3">
      <c r="A52" s="240" t="s">
        <v>1101</v>
      </c>
      <c r="B52" s="240" t="s">
        <v>198</v>
      </c>
      <c r="C52" s="240">
        <v>5105142</v>
      </c>
      <c r="D52" s="240" t="s">
        <v>2867</v>
      </c>
      <c r="E52" s="240" t="s">
        <v>2868</v>
      </c>
      <c r="F52" s="240" t="s">
        <v>2869</v>
      </c>
      <c r="G52" s="240">
        <v>2803</v>
      </c>
      <c r="H52" s="240">
        <v>4</v>
      </c>
      <c r="I52" s="240">
        <v>35168</v>
      </c>
      <c r="J52" s="241">
        <v>29355</v>
      </c>
      <c r="K52" s="241" t="s">
        <v>2569</v>
      </c>
      <c r="L52" s="241" t="s">
        <v>1974</v>
      </c>
    </row>
    <row r="53" spans="1:12" s="235" customFormat="1" x14ac:dyDescent="0.3">
      <c r="A53" s="243" t="s">
        <v>1101</v>
      </c>
      <c r="B53" s="243" t="s">
        <v>4</v>
      </c>
      <c r="C53" s="243">
        <v>5105145</v>
      </c>
      <c r="D53" s="243" t="s">
        <v>2885</v>
      </c>
      <c r="E53" s="243" t="s">
        <v>2886</v>
      </c>
      <c r="F53" s="243" t="s">
        <v>2887</v>
      </c>
      <c r="G53" s="243">
        <v>2804</v>
      </c>
      <c r="H53" s="243">
        <v>80</v>
      </c>
      <c r="I53" s="243">
        <v>35168</v>
      </c>
      <c r="J53" s="243">
        <v>29355</v>
      </c>
      <c r="K53" s="243" t="s">
        <v>2569</v>
      </c>
      <c r="L53" s="243" t="s">
        <v>1974</v>
      </c>
    </row>
    <row r="54" spans="1:12" s="235" customFormat="1" x14ac:dyDescent="0.3">
      <c r="A54" s="240" t="s">
        <v>466</v>
      </c>
      <c r="B54" s="240" t="s">
        <v>198</v>
      </c>
      <c r="C54" s="240">
        <v>5103029</v>
      </c>
      <c r="D54" s="240" t="s">
        <v>468</v>
      </c>
      <c r="E54" s="240" t="s">
        <v>467</v>
      </c>
      <c r="F54" s="240" t="s">
        <v>469</v>
      </c>
      <c r="G54" s="240">
        <v>2803</v>
      </c>
      <c r="H54" s="240">
        <v>10</v>
      </c>
      <c r="I54" s="240">
        <v>35168</v>
      </c>
      <c r="J54" s="241">
        <v>65232</v>
      </c>
      <c r="K54" s="241" t="s">
        <v>1691</v>
      </c>
      <c r="L54" s="241" t="s">
        <v>1974</v>
      </c>
    </row>
    <row r="55" spans="1:12" s="235" customFormat="1" x14ac:dyDescent="0.3">
      <c r="A55" s="242" t="s">
        <v>466</v>
      </c>
      <c r="B55" s="242" t="s">
        <v>6067</v>
      </c>
      <c r="C55" s="242">
        <v>5103030</v>
      </c>
      <c r="D55" s="242" t="s">
        <v>1702</v>
      </c>
      <c r="E55" s="242" t="s">
        <v>1703</v>
      </c>
      <c r="F55" s="242" t="s">
        <v>1704</v>
      </c>
      <c r="G55" s="242">
        <v>2801</v>
      </c>
      <c r="H55" s="242">
        <v>5</v>
      </c>
      <c r="I55" s="242">
        <v>35168</v>
      </c>
      <c r="J55" s="242">
        <v>65232</v>
      </c>
      <c r="K55" s="242" t="s">
        <v>1691</v>
      </c>
      <c r="L55" s="242" t="s">
        <v>1974</v>
      </c>
    </row>
    <row r="56" spans="1:12" s="235" customFormat="1" x14ac:dyDescent="0.3">
      <c r="A56" s="243" t="s">
        <v>466</v>
      </c>
      <c r="B56" s="243" t="s">
        <v>4</v>
      </c>
      <c r="C56" s="243">
        <v>5103021</v>
      </c>
      <c r="D56" s="243" t="s">
        <v>2870</v>
      </c>
      <c r="E56" s="243" t="s">
        <v>2871</v>
      </c>
      <c r="F56" s="243" t="s">
        <v>2872</v>
      </c>
      <c r="G56" s="243">
        <v>2804</v>
      </c>
      <c r="H56" s="243">
        <v>40</v>
      </c>
      <c r="I56" s="243">
        <v>35168</v>
      </c>
      <c r="J56" s="243">
        <v>65232</v>
      </c>
      <c r="K56" s="243" t="s">
        <v>1691</v>
      </c>
      <c r="L56" s="243" t="s">
        <v>1974</v>
      </c>
    </row>
    <row r="57" spans="1:12" s="235" customFormat="1" x14ac:dyDescent="0.3">
      <c r="A57" s="240" t="s">
        <v>408</v>
      </c>
      <c r="B57" s="240" t="s">
        <v>198</v>
      </c>
      <c r="C57" s="240">
        <v>5105140</v>
      </c>
      <c r="D57" s="240" t="s">
        <v>409</v>
      </c>
      <c r="E57" s="240" t="s">
        <v>410</v>
      </c>
      <c r="F57" s="240" t="s">
        <v>1566</v>
      </c>
      <c r="G57" s="240">
        <v>2803</v>
      </c>
      <c r="H57" s="240">
        <v>85</v>
      </c>
      <c r="I57" s="240">
        <v>35168</v>
      </c>
      <c r="J57" s="241">
        <v>29355</v>
      </c>
      <c r="K57" s="241" t="s">
        <v>1692</v>
      </c>
      <c r="L57" s="241" t="s">
        <v>1979</v>
      </c>
    </row>
    <row r="58" spans="1:12" s="228" customFormat="1" x14ac:dyDescent="0.3">
      <c r="A58" s="231" t="s">
        <v>408</v>
      </c>
      <c r="B58" s="231" t="s">
        <v>249</v>
      </c>
      <c r="C58" s="231" t="s">
        <v>1626</v>
      </c>
      <c r="D58" s="231" t="s">
        <v>2087</v>
      </c>
      <c r="E58" s="231" t="s">
        <v>2088</v>
      </c>
      <c r="F58" s="231" t="s">
        <v>2089</v>
      </c>
      <c r="G58" s="231">
        <v>2807</v>
      </c>
      <c r="H58" s="231">
        <v>1</v>
      </c>
      <c r="I58" s="231">
        <v>35168</v>
      </c>
      <c r="J58" s="231">
        <v>29355</v>
      </c>
      <c r="K58" s="231" t="s">
        <v>1692</v>
      </c>
      <c r="L58" s="231" t="s">
        <v>1979</v>
      </c>
    </row>
    <row r="59" spans="1:12" s="235" customFormat="1" x14ac:dyDescent="0.3">
      <c r="A59" s="242" t="s">
        <v>408</v>
      </c>
      <c r="B59" s="242" t="s">
        <v>6067</v>
      </c>
      <c r="C59" s="242">
        <v>5105148</v>
      </c>
      <c r="D59" s="242" t="s">
        <v>411</v>
      </c>
      <c r="E59" s="242" t="s">
        <v>412</v>
      </c>
      <c r="F59" s="242" t="s">
        <v>413</v>
      </c>
      <c r="G59" s="242">
        <v>2801</v>
      </c>
      <c r="H59" s="242">
        <v>120</v>
      </c>
      <c r="I59" s="242">
        <v>35168</v>
      </c>
      <c r="J59" s="242">
        <v>29355</v>
      </c>
      <c r="K59" s="242" t="s">
        <v>1692</v>
      </c>
      <c r="L59" s="242" t="s">
        <v>1979</v>
      </c>
    </row>
    <row r="60" spans="1:12" s="235" customFormat="1" x14ac:dyDescent="0.3">
      <c r="A60" s="243" t="s">
        <v>408</v>
      </c>
      <c r="B60" s="243" t="s">
        <v>4</v>
      </c>
      <c r="C60" s="243">
        <v>5105144</v>
      </c>
      <c r="D60" s="243" t="s">
        <v>2873</v>
      </c>
      <c r="E60" s="243" t="s">
        <v>2874</v>
      </c>
      <c r="F60" s="243" t="s">
        <v>2875</v>
      </c>
      <c r="G60" s="243">
        <v>2804</v>
      </c>
      <c r="H60" s="243">
        <v>320</v>
      </c>
      <c r="I60" s="243">
        <v>35168</v>
      </c>
      <c r="J60" s="243">
        <v>29355</v>
      </c>
      <c r="K60" s="243" t="s">
        <v>1692</v>
      </c>
      <c r="L60" s="243" t="s">
        <v>1979</v>
      </c>
    </row>
    <row r="61" spans="1:12" s="235" customFormat="1" x14ac:dyDescent="0.3">
      <c r="A61" s="240" t="s">
        <v>2167</v>
      </c>
      <c r="B61" s="240" t="s">
        <v>198</v>
      </c>
      <c r="C61" s="240"/>
      <c r="D61" s="240" t="s">
        <v>2168</v>
      </c>
      <c r="E61" s="240" t="s">
        <v>2169</v>
      </c>
      <c r="F61" s="240" t="s">
        <v>2170</v>
      </c>
      <c r="G61" s="240">
        <v>2803</v>
      </c>
      <c r="H61" s="240">
        <v>9</v>
      </c>
      <c r="I61" s="240">
        <v>35168</v>
      </c>
      <c r="J61" s="241">
        <v>65231</v>
      </c>
      <c r="K61" s="241" t="s">
        <v>1458</v>
      </c>
      <c r="L61" s="241" t="s">
        <v>1974</v>
      </c>
    </row>
    <row r="62" spans="1:12" s="235" customFormat="1" x14ac:dyDescent="0.3">
      <c r="A62" s="242" t="s">
        <v>2167</v>
      </c>
      <c r="B62" s="242" t="s">
        <v>6067</v>
      </c>
      <c r="C62" s="242"/>
      <c r="D62" s="242" t="s">
        <v>2171</v>
      </c>
      <c r="E62" s="242" t="s">
        <v>2172</v>
      </c>
      <c r="F62" s="242" t="s">
        <v>2173</v>
      </c>
      <c r="G62" s="242">
        <v>2801</v>
      </c>
      <c r="H62" s="242">
        <v>5</v>
      </c>
      <c r="I62" s="242">
        <v>35168</v>
      </c>
      <c r="J62" s="242">
        <v>65231</v>
      </c>
      <c r="K62" s="242" t="s">
        <v>1458</v>
      </c>
      <c r="L62" s="242" t="s">
        <v>1974</v>
      </c>
    </row>
    <row r="63" spans="1:12" s="235" customFormat="1" x14ac:dyDescent="0.3">
      <c r="A63" s="243" t="s">
        <v>2167</v>
      </c>
      <c r="B63" s="243" t="s">
        <v>4</v>
      </c>
      <c r="C63" s="243"/>
      <c r="D63" s="243" t="s">
        <v>2888</v>
      </c>
      <c r="E63" s="243" t="s">
        <v>2889</v>
      </c>
      <c r="F63" s="243" t="s">
        <v>2890</v>
      </c>
      <c r="G63" s="243">
        <v>2804</v>
      </c>
      <c r="H63" s="243">
        <v>50</v>
      </c>
      <c r="I63" s="243">
        <v>35168</v>
      </c>
      <c r="J63" s="243">
        <v>65231</v>
      </c>
      <c r="K63" s="243" t="s">
        <v>1458</v>
      </c>
      <c r="L63" s="243" t="s">
        <v>1974</v>
      </c>
    </row>
    <row r="64" spans="1:12" s="235" customFormat="1" x14ac:dyDescent="0.3">
      <c r="A64" s="240" t="s">
        <v>4297</v>
      </c>
      <c r="B64" s="240" t="s">
        <v>198</v>
      </c>
      <c r="C64" s="240">
        <v>5110089</v>
      </c>
      <c r="D64" s="244" t="s">
        <v>4900</v>
      </c>
      <c r="E64" s="244" t="s">
        <v>4901</v>
      </c>
      <c r="F64" s="244" t="s">
        <v>4902</v>
      </c>
      <c r="G64" s="240">
        <v>2803</v>
      </c>
      <c r="H64" s="244">
        <v>15</v>
      </c>
      <c r="I64" s="240">
        <v>35168</v>
      </c>
      <c r="J64" s="241">
        <v>65233</v>
      </c>
      <c r="K64" s="241" t="s">
        <v>429</v>
      </c>
      <c r="L64" s="241" t="s">
        <v>1974</v>
      </c>
    </row>
    <row r="65" spans="1:12" s="235" customFormat="1" x14ac:dyDescent="0.3">
      <c r="A65" s="246" t="s">
        <v>4297</v>
      </c>
      <c r="B65" s="246" t="s">
        <v>4</v>
      </c>
      <c r="C65" s="246">
        <v>5110090</v>
      </c>
      <c r="D65" s="245" t="s">
        <v>4903</v>
      </c>
      <c r="E65" s="245" t="s">
        <v>4904</v>
      </c>
      <c r="F65" s="245" t="s">
        <v>4905</v>
      </c>
      <c r="G65" s="246">
        <v>2804</v>
      </c>
      <c r="H65" s="245">
        <v>70</v>
      </c>
      <c r="I65" s="246">
        <v>35168</v>
      </c>
      <c r="J65" s="246">
        <v>65233</v>
      </c>
      <c r="K65" s="246" t="s">
        <v>429</v>
      </c>
      <c r="L65" s="246" t="s">
        <v>1974</v>
      </c>
    </row>
    <row r="66" spans="1:12" s="235" customFormat="1" x14ac:dyDescent="0.3">
      <c r="A66" s="242" t="s">
        <v>4297</v>
      </c>
      <c r="B66" s="242" t="s">
        <v>35</v>
      </c>
      <c r="C66" s="242">
        <v>5110027</v>
      </c>
      <c r="D66" s="247" t="s">
        <v>4906</v>
      </c>
      <c r="E66" s="247" t="s">
        <v>4907</v>
      </c>
      <c r="F66" s="247" t="s">
        <v>4908</v>
      </c>
      <c r="G66" s="242">
        <v>2801</v>
      </c>
      <c r="H66" s="247">
        <v>20</v>
      </c>
      <c r="I66" s="242">
        <v>35168</v>
      </c>
      <c r="J66" s="242">
        <v>65233</v>
      </c>
      <c r="K66" s="242" t="s">
        <v>429</v>
      </c>
      <c r="L66" s="242" t="s">
        <v>1974</v>
      </c>
    </row>
    <row r="67" spans="1:12" s="235" customFormat="1" x14ac:dyDescent="0.3">
      <c r="A67" s="240" t="s">
        <v>2732</v>
      </c>
      <c r="B67" s="240" t="s">
        <v>198</v>
      </c>
      <c r="C67" s="240">
        <v>5105141</v>
      </c>
      <c r="D67" s="240" t="s">
        <v>2876</v>
      </c>
      <c r="E67" s="240" t="s">
        <v>2877</v>
      </c>
      <c r="F67" s="240" t="s">
        <v>2878</v>
      </c>
      <c r="G67" s="240">
        <v>2803</v>
      </c>
      <c r="H67" s="240">
        <v>4</v>
      </c>
      <c r="I67" s="240">
        <v>35168</v>
      </c>
      <c r="J67" s="241">
        <v>29355</v>
      </c>
      <c r="K67" s="241" t="s">
        <v>1693</v>
      </c>
      <c r="L67" s="241" t="s">
        <v>1974</v>
      </c>
    </row>
    <row r="68" spans="1:12" s="235" customFormat="1" x14ac:dyDescent="0.3">
      <c r="A68" s="243" t="s">
        <v>2732</v>
      </c>
      <c r="B68" s="243" t="s">
        <v>4</v>
      </c>
      <c r="C68" s="243">
        <v>5105146</v>
      </c>
      <c r="D68" s="243" t="s">
        <v>2879</v>
      </c>
      <c r="E68" s="243" t="s">
        <v>2880</v>
      </c>
      <c r="F68" s="243" t="s">
        <v>2881</v>
      </c>
      <c r="G68" s="243">
        <v>2804</v>
      </c>
      <c r="H68" s="243">
        <v>60</v>
      </c>
      <c r="I68" s="243">
        <v>35168</v>
      </c>
      <c r="J68" s="243">
        <v>29355</v>
      </c>
      <c r="K68" s="243" t="s">
        <v>1693</v>
      </c>
      <c r="L68" s="243" t="s">
        <v>1974</v>
      </c>
    </row>
    <row r="69" spans="1:12" s="235" customFormat="1" x14ac:dyDescent="0.3">
      <c r="A69" s="242" t="s">
        <v>2732</v>
      </c>
      <c r="B69" s="242" t="s">
        <v>35</v>
      </c>
      <c r="C69" s="242">
        <v>5105149</v>
      </c>
      <c r="D69" s="242" t="s">
        <v>4897</v>
      </c>
      <c r="E69" s="242" t="s">
        <v>4898</v>
      </c>
      <c r="F69" s="242" t="s">
        <v>4899</v>
      </c>
      <c r="G69" s="242">
        <v>2801</v>
      </c>
      <c r="H69" s="242">
        <v>20</v>
      </c>
      <c r="I69" s="242">
        <v>35168</v>
      </c>
      <c r="J69" s="242">
        <v>29355</v>
      </c>
      <c r="K69" s="242" t="s">
        <v>1693</v>
      </c>
      <c r="L69" s="242" t="s">
        <v>1974</v>
      </c>
    </row>
    <row r="70" spans="1:12" s="235" customFormat="1" x14ac:dyDescent="0.3">
      <c r="A70" s="240" t="s">
        <v>414</v>
      </c>
      <c r="B70" s="240" t="s">
        <v>198</v>
      </c>
      <c r="C70" s="240">
        <v>5111035</v>
      </c>
      <c r="D70" s="240" t="s">
        <v>415</v>
      </c>
      <c r="E70" s="240" t="s">
        <v>416</v>
      </c>
      <c r="F70" s="240" t="s">
        <v>417</v>
      </c>
      <c r="G70" s="240">
        <v>2803</v>
      </c>
      <c r="H70" s="240">
        <v>20</v>
      </c>
      <c r="I70" s="240">
        <v>35168</v>
      </c>
      <c r="J70" s="241">
        <v>65235</v>
      </c>
      <c r="K70" s="241" t="s">
        <v>1694</v>
      </c>
      <c r="L70" s="241" t="s">
        <v>1974</v>
      </c>
    </row>
    <row r="71" spans="1:12" s="235" customFormat="1" x14ac:dyDescent="0.3">
      <c r="A71" s="242" t="s">
        <v>414</v>
      </c>
      <c r="B71" s="242" t="s">
        <v>35</v>
      </c>
      <c r="C71" s="242">
        <v>5111045</v>
      </c>
      <c r="D71" s="242" t="s">
        <v>418</v>
      </c>
      <c r="E71" s="242" t="s">
        <v>419</v>
      </c>
      <c r="F71" s="242" t="s">
        <v>420</v>
      </c>
      <c r="G71" s="242">
        <v>2801</v>
      </c>
      <c r="H71" s="242">
        <v>30</v>
      </c>
      <c r="I71" s="242">
        <v>35168</v>
      </c>
      <c r="J71" s="242">
        <v>65235</v>
      </c>
      <c r="K71" s="242" t="s">
        <v>1694</v>
      </c>
      <c r="L71" s="242" t="s">
        <v>1974</v>
      </c>
    </row>
    <row r="72" spans="1:12" s="235" customFormat="1" x14ac:dyDescent="0.3">
      <c r="A72" s="243" t="s">
        <v>414</v>
      </c>
      <c r="B72" s="243" t="s">
        <v>4</v>
      </c>
      <c r="C72" s="243">
        <v>5111044</v>
      </c>
      <c r="D72" s="243" t="s">
        <v>2882</v>
      </c>
      <c r="E72" s="243" t="s">
        <v>2883</v>
      </c>
      <c r="F72" s="243" t="s">
        <v>2884</v>
      </c>
      <c r="G72" s="243">
        <v>2804</v>
      </c>
      <c r="H72" s="243">
        <v>50</v>
      </c>
      <c r="I72" s="243">
        <v>35168</v>
      </c>
      <c r="J72" s="243">
        <v>65235</v>
      </c>
      <c r="K72" s="243" t="s">
        <v>1694</v>
      </c>
      <c r="L72" s="243" t="s">
        <v>1974</v>
      </c>
    </row>
    <row r="73" spans="1:12" s="235" customFormat="1" x14ac:dyDescent="0.3">
      <c r="A73" s="240" t="s">
        <v>3203</v>
      </c>
      <c r="B73" s="240" t="s">
        <v>198</v>
      </c>
      <c r="C73" s="240">
        <v>5105143</v>
      </c>
      <c r="D73" s="244" t="s">
        <v>4909</v>
      </c>
      <c r="E73" s="244" t="s">
        <v>4910</v>
      </c>
      <c r="F73" s="244" t="s">
        <v>4911</v>
      </c>
      <c r="G73" s="240">
        <v>2803</v>
      </c>
      <c r="H73" s="240">
        <v>10</v>
      </c>
      <c r="I73" s="240">
        <v>35168</v>
      </c>
      <c r="J73" s="241">
        <v>65487</v>
      </c>
      <c r="K73" s="241" t="s">
        <v>1692</v>
      </c>
      <c r="L73" s="241" t="s">
        <v>1974</v>
      </c>
    </row>
    <row r="74" spans="1:12" s="235" customFormat="1" x14ac:dyDescent="0.3">
      <c r="A74" s="243" t="s">
        <v>3203</v>
      </c>
      <c r="B74" s="243" t="s">
        <v>4</v>
      </c>
      <c r="C74" s="243">
        <v>5105147</v>
      </c>
      <c r="D74" s="245" t="s">
        <v>3207</v>
      </c>
      <c r="E74" s="245" t="s">
        <v>3208</v>
      </c>
      <c r="F74" s="245" t="s">
        <v>3209</v>
      </c>
      <c r="G74" s="243">
        <v>2804</v>
      </c>
      <c r="H74" s="243">
        <v>70</v>
      </c>
      <c r="I74" s="243">
        <v>35168</v>
      </c>
      <c r="J74" s="243">
        <v>65487</v>
      </c>
      <c r="K74" s="243" t="s">
        <v>1692</v>
      </c>
      <c r="L74" s="243" t="s">
        <v>1974</v>
      </c>
    </row>
    <row r="75" spans="1:12" s="235" customFormat="1" x14ac:dyDescent="0.3">
      <c r="A75" s="242" t="s">
        <v>3203</v>
      </c>
      <c r="B75" s="242" t="s">
        <v>35</v>
      </c>
      <c r="C75" s="242">
        <v>5105165</v>
      </c>
      <c r="D75" s="242" t="s">
        <v>3204</v>
      </c>
      <c r="E75" s="242" t="s">
        <v>3205</v>
      </c>
      <c r="F75" s="242" t="s">
        <v>3206</v>
      </c>
      <c r="G75" s="242">
        <v>2801</v>
      </c>
      <c r="H75" s="242">
        <v>2</v>
      </c>
      <c r="I75" s="242">
        <v>35168</v>
      </c>
      <c r="J75" s="242">
        <v>65487</v>
      </c>
      <c r="K75" s="242" t="s">
        <v>1692</v>
      </c>
      <c r="L75" s="242" t="s">
        <v>1974</v>
      </c>
    </row>
    <row r="76" spans="1:12" s="228" customFormat="1" x14ac:dyDescent="0.3">
      <c r="A76" s="232" t="s">
        <v>1506</v>
      </c>
      <c r="B76" s="232" t="s">
        <v>11</v>
      </c>
      <c r="C76" s="232" t="s">
        <v>1626</v>
      </c>
      <c r="D76" s="232" t="s">
        <v>1445</v>
      </c>
      <c r="E76" s="232" t="s">
        <v>1446</v>
      </c>
      <c r="F76" s="232" t="s">
        <v>1447</v>
      </c>
      <c r="G76" s="232">
        <v>2805</v>
      </c>
      <c r="H76" s="232">
        <v>220</v>
      </c>
      <c r="I76" s="232">
        <v>35168</v>
      </c>
      <c r="J76" s="232">
        <v>65110</v>
      </c>
      <c r="K76" s="232" t="s">
        <v>1695</v>
      </c>
      <c r="L76" s="232" t="s">
        <v>1974</v>
      </c>
    </row>
  </sheetData>
  <autoFilter ref="A1:L76">
    <sortState ref="A2:L91">
      <sortCondition ref="A1:A90"/>
    </sortState>
  </autoFilter>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S68"/>
  <sheetViews>
    <sheetView workbookViewId="0">
      <pane ySplit="1" topLeftCell="A2" activePane="bottomLeft" state="frozen"/>
      <selection pane="bottomLeft" activeCell="A28" sqref="A28"/>
    </sheetView>
  </sheetViews>
  <sheetFormatPr defaultRowHeight="14.4" x14ac:dyDescent="0.3"/>
  <cols>
    <col min="1" max="1" width="24.44140625" customWidth="1"/>
    <col min="2" max="2" width="13" customWidth="1"/>
    <col min="3" max="3" width="14.44140625" customWidth="1"/>
    <col min="4" max="4" width="13.44140625" customWidth="1"/>
    <col min="5" max="5" width="15" customWidth="1"/>
    <col min="6" max="6" width="15.6640625" customWidth="1"/>
    <col min="9" max="9" width="13.33203125" customWidth="1"/>
    <col min="10" max="10" width="12.5546875" bestFit="1" customWidth="1"/>
    <col min="11" max="11" width="14.44140625" customWidth="1"/>
    <col min="12" max="12" width="12.44140625" customWidth="1"/>
    <col min="13" max="13" width="7.44140625" customWidth="1"/>
    <col min="14" max="14" width="8" customWidth="1"/>
    <col min="15" max="15" width="17.5546875" customWidth="1"/>
    <col min="16" max="16" width="45.44140625" customWidth="1"/>
  </cols>
  <sheetData>
    <row r="1" spans="1:15" ht="27.75" customHeight="1" x14ac:dyDescent="0.35">
      <c r="A1" s="38" t="s">
        <v>140</v>
      </c>
      <c r="B1" s="39" t="s">
        <v>1</v>
      </c>
      <c r="C1" s="39" t="s">
        <v>159</v>
      </c>
      <c r="D1" s="39" t="s">
        <v>9</v>
      </c>
      <c r="E1" s="39" t="s">
        <v>2258</v>
      </c>
      <c r="F1" s="39" t="s">
        <v>2256</v>
      </c>
      <c r="G1" s="39" t="s">
        <v>0</v>
      </c>
      <c r="H1" s="39" t="s">
        <v>5</v>
      </c>
      <c r="I1" s="39" t="s">
        <v>607</v>
      </c>
      <c r="J1" s="39" t="s">
        <v>155</v>
      </c>
      <c r="K1" s="39" t="s">
        <v>1455</v>
      </c>
      <c r="L1" s="39" t="s">
        <v>2</v>
      </c>
    </row>
    <row r="2" spans="1:15" x14ac:dyDescent="0.3">
      <c r="A2" s="60" t="s">
        <v>1976</v>
      </c>
      <c r="B2" s="61" t="s">
        <v>34</v>
      </c>
      <c r="C2" s="319" t="s">
        <v>1626</v>
      </c>
      <c r="D2" s="61"/>
      <c r="E2" s="61"/>
      <c r="F2" s="61" t="s">
        <v>1838</v>
      </c>
      <c r="G2" s="61">
        <v>2005</v>
      </c>
      <c r="H2" s="61">
        <v>240</v>
      </c>
      <c r="I2" s="62" t="s">
        <v>1454</v>
      </c>
      <c r="J2" s="62" t="s">
        <v>1454</v>
      </c>
      <c r="K2" s="61" t="s">
        <v>654</v>
      </c>
      <c r="L2" s="61" t="s">
        <v>1974</v>
      </c>
      <c r="O2" s="355" t="s">
        <v>1753</v>
      </c>
    </row>
    <row r="3" spans="1:15" x14ac:dyDescent="0.3">
      <c r="A3" s="60" t="s">
        <v>2274</v>
      </c>
      <c r="B3" s="61" t="s">
        <v>34</v>
      </c>
      <c r="C3" s="61" t="s">
        <v>6911</v>
      </c>
      <c r="D3" s="61" t="s">
        <v>2275</v>
      </c>
      <c r="E3" s="61" t="s">
        <v>2276</v>
      </c>
      <c r="F3" s="61" t="s">
        <v>2277</v>
      </c>
      <c r="G3" s="61">
        <v>2009</v>
      </c>
      <c r="H3" s="61">
        <v>290</v>
      </c>
      <c r="I3" s="62">
        <v>35104</v>
      </c>
      <c r="J3" s="62">
        <v>29355</v>
      </c>
      <c r="K3" s="61" t="s">
        <v>1417</v>
      </c>
      <c r="L3" s="61" t="s">
        <v>1974</v>
      </c>
      <c r="O3" s="355"/>
    </row>
    <row r="4" spans="1:15" x14ac:dyDescent="0.3">
      <c r="A4" s="25" t="s">
        <v>2274</v>
      </c>
      <c r="B4" s="7" t="s">
        <v>11</v>
      </c>
      <c r="C4" s="7" t="s">
        <v>6912</v>
      </c>
      <c r="D4" s="7" t="s">
        <v>2284</v>
      </c>
      <c r="E4" s="7" t="s">
        <v>2285</v>
      </c>
      <c r="F4" s="7" t="s">
        <v>2286</v>
      </c>
      <c r="G4" s="7">
        <v>2011</v>
      </c>
      <c r="H4" s="7">
        <v>560</v>
      </c>
      <c r="I4" s="34">
        <v>35104</v>
      </c>
      <c r="J4" s="34">
        <v>29355</v>
      </c>
      <c r="K4" s="7" t="s">
        <v>1417</v>
      </c>
      <c r="L4" s="7" t="s">
        <v>1974</v>
      </c>
      <c r="O4" s="355"/>
    </row>
    <row r="5" spans="1:15" ht="15" customHeight="1" x14ac:dyDescent="0.3">
      <c r="A5" s="112" t="s">
        <v>2274</v>
      </c>
      <c r="B5" s="75" t="s">
        <v>597</v>
      </c>
      <c r="C5" s="283" t="s">
        <v>6916</v>
      </c>
      <c r="D5" s="75" t="s">
        <v>2278</v>
      </c>
      <c r="E5" s="75" t="s">
        <v>2279</v>
      </c>
      <c r="F5" s="75" t="s">
        <v>2280</v>
      </c>
      <c r="G5" s="75">
        <v>2008</v>
      </c>
      <c r="H5" s="75">
        <v>13</v>
      </c>
      <c r="I5" s="114">
        <v>35104</v>
      </c>
      <c r="J5" s="114">
        <v>29355</v>
      </c>
      <c r="K5" s="75" t="s">
        <v>1417</v>
      </c>
      <c r="L5" s="75" t="s">
        <v>1974</v>
      </c>
      <c r="O5" s="355"/>
    </row>
    <row r="6" spans="1:15" ht="15" customHeight="1" x14ac:dyDescent="0.3">
      <c r="A6" s="9" t="s">
        <v>2274</v>
      </c>
      <c r="B6" s="9" t="s">
        <v>249</v>
      </c>
      <c r="C6" s="289" t="s">
        <v>6917</v>
      </c>
      <c r="D6" s="9" t="s">
        <v>2281</v>
      </c>
      <c r="E6" s="9" t="s">
        <v>2282</v>
      </c>
      <c r="F6" s="9" t="s">
        <v>2283</v>
      </c>
      <c r="G6" s="9">
        <v>2010</v>
      </c>
      <c r="H6" s="9">
        <v>1</v>
      </c>
      <c r="I6" s="282">
        <v>35104</v>
      </c>
      <c r="J6" s="282">
        <v>29355</v>
      </c>
      <c r="K6" s="9" t="s">
        <v>1417</v>
      </c>
      <c r="L6" s="9" t="s">
        <v>1974</v>
      </c>
      <c r="O6" s="355"/>
    </row>
    <row r="7" spans="1:15" ht="15" customHeight="1" x14ac:dyDescent="0.3">
      <c r="A7" s="45" t="s">
        <v>2274</v>
      </c>
      <c r="B7" s="46" t="s">
        <v>1014</v>
      </c>
      <c r="C7" s="294" t="s">
        <v>6918</v>
      </c>
      <c r="D7" s="46" t="s">
        <v>4986</v>
      </c>
      <c r="E7" s="46" t="s">
        <v>4987</v>
      </c>
      <c r="F7" s="46" t="s">
        <v>4988</v>
      </c>
      <c r="G7" s="46">
        <v>2012</v>
      </c>
      <c r="H7" s="46">
        <v>2</v>
      </c>
      <c r="I7" s="46">
        <v>35104</v>
      </c>
      <c r="J7" s="47">
        <v>29355</v>
      </c>
      <c r="K7" s="46" t="s">
        <v>428</v>
      </c>
      <c r="L7" s="46" t="s">
        <v>1974</v>
      </c>
      <c r="O7" s="355"/>
    </row>
    <row r="8" spans="1:15" x14ac:dyDescent="0.3">
      <c r="A8" s="27" t="s">
        <v>1502</v>
      </c>
      <c r="B8" s="20" t="s">
        <v>597</v>
      </c>
      <c r="C8" s="20" t="s">
        <v>6436</v>
      </c>
      <c r="D8" s="20" t="s">
        <v>1591</v>
      </c>
      <c r="E8" s="20" t="s">
        <v>1592</v>
      </c>
      <c r="F8" s="20" t="s">
        <v>1593</v>
      </c>
      <c r="G8" s="20">
        <v>917</v>
      </c>
      <c r="H8" s="20">
        <v>55</v>
      </c>
      <c r="I8" s="20">
        <v>35104</v>
      </c>
      <c r="J8" s="20" t="s">
        <v>776</v>
      </c>
      <c r="K8" s="20" t="s">
        <v>430</v>
      </c>
      <c r="L8" s="20" t="s">
        <v>1973</v>
      </c>
      <c r="O8" s="356"/>
    </row>
    <row r="9" spans="1:15" x14ac:dyDescent="0.3">
      <c r="A9" s="60" t="s">
        <v>1502</v>
      </c>
      <c r="B9" s="61" t="s">
        <v>34</v>
      </c>
      <c r="C9" s="61" t="s">
        <v>6159</v>
      </c>
      <c r="D9" s="61" t="s">
        <v>1213</v>
      </c>
      <c r="E9" s="61" t="s">
        <v>1211</v>
      </c>
      <c r="F9" s="61" t="s">
        <v>1212</v>
      </c>
      <c r="G9" s="61">
        <v>730</v>
      </c>
      <c r="H9" s="61">
        <v>310</v>
      </c>
      <c r="I9" s="61">
        <v>35104</v>
      </c>
      <c r="J9" s="61" t="s">
        <v>776</v>
      </c>
      <c r="K9" s="87" t="s">
        <v>430</v>
      </c>
      <c r="L9" s="61" t="s">
        <v>1973</v>
      </c>
      <c r="O9" s="356"/>
    </row>
    <row r="10" spans="1:15" x14ac:dyDescent="0.3">
      <c r="A10" s="21" t="s">
        <v>1502</v>
      </c>
      <c r="B10" s="18" t="s">
        <v>198</v>
      </c>
      <c r="C10" s="284" t="s">
        <v>6919</v>
      </c>
      <c r="D10" s="18" t="s">
        <v>768</v>
      </c>
      <c r="E10" s="18" t="s">
        <v>769</v>
      </c>
      <c r="F10" s="18" t="s">
        <v>770</v>
      </c>
      <c r="G10" s="18" t="s">
        <v>771</v>
      </c>
      <c r="H10" s="18">
        <v>30</v>
      </c>
      <c r="I10" s="18">
        <v>35104</v>
      </c>
      <c r="J10" s="18">
        <v>29355</v>
      </c>
      <c r="K10" s="18"/>
      <c r="L10" s="18" t="s">
        <v>1974</v>
      </c>
      <c r="O10" s="356"/>
    </row>
    <row r="11" spans="1:15" x14ac:dyDescent="0.3">
      <c r="A11" s="51" t="s">
        <v>1502</v>
      </c>
      <c r="B11" s="52" t="s">
        <v>4</v>
      </c>
      <c r="C11" s="286" t="s">
        <v>6920</v>
      </c>
      <c r="D11" s="52" t="s">
        <v>772</v>
      </c>
      <c r="E11" s="52" t="s">
        <v>773</v>
      </c>
      <c r="F11" s="52" t="s">
        <v>774</v>
      </c>
      <c r="G11" s="52" t="s">
        <v>775</v>
      </c>
      <c r="H11" s="52">
        <v>100</v>
      </c>
      <c r="I11" s="52">
        <v>35104</v>
      </c>
      <c r="J11" s="52" t="s">
        <v>776</v>
      </c>
      <c r="K11" s="52"/>
      <c r="L11" s="52" t="s">
        <v>1974</v>
      </c>
      <c r="O11" s="356"/>
    </row>
    <row r="12" spans="1:15" x14ac:dyDescent="0.3">
      <c r="A12" s="67" t="s">
        <v>1502</v>
      </c>
      <c r="B12" s="67" t="s">
        <v>35</v>
      </c>
      <c r="C12" s="287" t="s">
        <v>6921</v>
      </c>
      <c r="D12" s="67" t="s">
        <v>2701</v>
      </c>
      <c r="E12" s="67" t="s">
        <v>2702</v>
      </c>
      <c r="F12" s="67" t="s">
        <v>2703</v>
      </c>
      <c r="G12" s="67">
        <v>2205</v>
      </c>
      <c r="H12" s="67">
        <v>10</v>
      </c>
      <c r="I12" s="67">
        <v>35104</v>
      </c>
      <c r="J12" s="67">
        <v>29355</v>
      </c>
      <c r="K12" s="67" t="s">
        <v>430</v>
      </c>
      <c r="L12" s="67" t="s">
        <v>1973</v>
      </c>
      <c r="O12" s="356"/>
    </row>
    <row r="13" spans="1:15" x14ac:dyDescent="0.3">
      <c r="A13" s="45" t="s">
        <v>227</v>
      </c>
      <c r="B13" s="46" t="s">
        <v>1014</v>
      </c>
      <c r="C13" s="294" t="s">
        <v>6922</v>
      </c>
      <c r="D13" s="46" t="s">
        <v>4983</v>
      </c>
      <c r="E13" s="46" t="s">
        <v>4984</v>
      </c>
      <c r="F13" s="46" t="s">
        <v>4985</v>
      </c>
      <c r="G13" s="46">
        <v>1122</v>
      </c>
      <c r="H13" s="46">
        <v>2</v>
      </c>
      <c r="I13" s="46">
        <v>35104</v>
      </c>
      <c r="J13" s="47">
        <v>65001</v>
      </c>
      <c r="K13" s="46" t="s">
        <v>428</v>
      </c>
      <c r="L13" s="46" t="s">
        <v>1974</v>
      </c>
      <c r="O13" s="356"/>
    </row>
    <row r="14" spans="1:15" x14ac:dyDescent="0.3">
      <c r="A14" s="21" t="s">
        <v>384</v>
      </c>
      <c r="B14" s="18" t="s">
        <v>198</v>
      </c>
      <c r="C14" s="284" t="s">
        <v>6923</v>
      </c>
      <c r="D14" s="18" t="s">
        <v>777</v>
      </c>
      <c r="E14" s="18" t="s">
        <v>623</v>
      </c>
      <c r="F14" s="18" t="s">
        <v>621</v>
      </c>
      <c r="G14" s="18" t="s">
        <v>771</v>
      </c>
      <c r="H14" s="18">
        <v>30</v>
      </c>
      <c r="I14" s="18">
        <v>35104</v>
      </c>
      <c r="J14" s="18">
        <v>29355</v>
      </c>
      <c r="K14" s="18"/>
      <c r="L14" s="18" t="s">
        <v>1974</v>
      </c>
      <c r="O14" s="356"/>
    </row>
    <row r="15" spans="1:15" x14ac:dyDescent="0.3">
      <c r="A15" s="51" t="s">
        <v>384</v>
      </c>
      <c r="B15" s="52" t="s">
        <v>4</v>
      </c>
      <c r="C15" s="285" t="s">
        <v>6924</v>
      </c>
      <c r="D15" s="52" t="s">
        <v>778</v>
      </c>
      <c r="E15" s="52" t="s">
        <v>624</v>
      </c>
      <c r="F15" s="52" t="s">
        <v>622</v>
      </c>
      <c r="G15" s="52" t="s">
        <v>775</v>
      </c>
      <c r="H15" s="52">
        <v>100</v>
      </c>
      <c r="I15" s="52">
        <v>35104</v>
      </c>
      <c r="J15" s="52" t="s">
        <v>776</v>
      </c>
      <c r="K15" s="52"/>
      <c r="L15" s="52" t="s">
        <v>1974</v>
      </c>
      <c r="O15" s="356"/>
    </row>
    <row r="16" spans="1:15" ht="14.7" x14ac:dyDescent="0.35">
      <c r="A16" s="67" t="s">
        <v>384</v>
      </c>
      <c r="B16" s="67" t="s">
        <v>6067</v>
      </c>
      <c r="C16" s="287" t="s">
        <v>6925</v>
      </c>
      <c r="D16" s="67" t="s">
        <v>2704</v>
      </c>
      <c r="E16" s="67" t="s">
        <v>2705</v>
      </c>
      <c r="F16" s="67" t="s">
        <v>2706</v>
      </c>
      <c r="G16" s="67">
        <v>2205</v>
      </c>
      <c r="H16" s="67">
        <v>10</v>
      </c>
      <c r="I16" s="67">
        <v>35104</v>
      </c>
      <c r="J16" s="67">
        <v>29355</v>
      </c>
      <c r="K16" s="67" t="s">
        <v>654</v>
      </c>
      <c r="L16" s="67" t="s">
        <v>1974</v>
      </c>
      <c r="O16" s="126"/>
    </row>
    <row r="17" spans="1:19" x14ac:dyDescent="0.3">
      <c r="A17" s="88" t="s">
        <v>1504</v>
      </c>
      <c r="B17" s="61" t="s">
        <v>34</v>
      </c>
      <c r="C17" s="61" t="s">
        <v>1626</v>
      </c>
      <c r="D17" s="61" t="s">
        <v>1238</v>
      </c>
      <c r="E17" s="61" t="s">
        <v>1239</v>
      </c>
      <c r="F17" s="61" t="s">
        <v>1240</v>
      </c>
      <c r="G17" s="61">
        <v>706</v>
      </c>
      <c r="H17" s="61">
        <v>160</v>
      </c>
      <c r="I17" s="61">
        <v>35104</v>
      </c>
      <c r="J17" s="61" t="s">
        <v>776</v>
      </c>
      <c r="K17" s="87" t="s">
        <v>430</v>
      </c>
      <c r="L17" s="61" t="s">
        <v>1973</v>
      </c>
    </row>
    <row r="18" spans="1:19" x14ac:dyDescent="0.3">
      <c r="A18" s="78" t="s">
        <v>1504</v>
      </c>
      <c r="B18" s="20" t="s">
        <v>597</v>
      </c>
      <c r="C18" s="20" t="s">
        <v>1626</v>
      </c>
      <c r="D18" s="20" t="s">
        <v>1588</v>
      </c>
      <c r="E18" s="20" t="s">
        <v>1589</v>
      </c>
      <c r="F18" s="20" t="s">
        <v>1590</v>
      </c>
      <c r="G18" s="20">
        <v>916</v>
      </c>
      <c r="H18" s="20">
        <v>30</v>
      </c>
      <c r="I18" s="20">
        <v>35104</v>
      </c>
      <c r="J18" s="20" t="s">
        <v>776</v>
      </c>
      <c r="K18" s="77" t="s">
        <v>430</v>
      </c>
      <c r="L18" s="20" t="s">
        <v>1973</v>
      </c>
    </row>
    <row r="19" spans="1:19" ht="14.7" x14ac:dyDescent="0.35">
      <c r="A19" s="27" t="s">
        <v>6291</v>
      </c>
      <c r="B19" s="20" t="s">
        <v>597</v>
      </c>
      <c r="C19" s="237" t="s">
        <v>1626</v>
      </c>
      <c r="D19" s="20"/>
      <c r="E19" s="20"/>
      <c r="F19" s="20" t="s">
        <v>6292</v>
      </c>
      <c r="G19" s="20">
        <v>923</v>
      </c>
      <c r="H19" s="20">
        <v>25</v>
      </c>
      <c r="I19" s="79" t="s">
        <v>1454</v>
      </c>
      <c r="J19" s="79" t="s">
        <v>1454</v>
      </c>
      <c r="K19" s="80" t="s">
        <v>430</v>
      </c>
      <c r="L19" s="133" t="s">
        <v>1973</v>
      </c>
    </row>
    <row r="20" spans="1:19" ht="14.7" x14ac:dyDescent="0.35">
      <c r="A20" s="27" t="s">
        <v>2931</v>
      </c>
      <c r="B20" s="20" t="s">
        <v>597</v>
      </c>
      <c r="C20" s="288" t="s">
        <v>6926</v>
      </c>
      <c r="D20" s="20"/>
      <c r="E20" s="20"/>
      <c r="F20" s="20" t="s">
        <v>2932</v>
      </c>
      <c r="G20" s="20">
        <v>924</v>
      </c>
      <c r="H20" s="20">
        <v>2</v>
      </c>
      <c r="I20" s="79" t="s">
        <v>1454</v>
      </c>
      <c r="J20" s="79" t="s">
        <v>1454</v>
      </c>
      <c r="K20" s="80" t="s">
        <v>430</v>
      </c>
      <c r="L20" s="133" t="s">
        <v>1973</v>
      </c>
    </row>
    <row r="21" spans="1:19" ht="14.7" x14ac:dyDescent="0.35">
      <c r="A21" s="89" t="s">
        <v>1835</v>
      </c>
      <c r="B21" s="61" t="s">
        <v>34</v>
      </c>
      <c r="C21" s="61" t="s">
        <v>6437</v>
      </c>
      <c r="D21" s="61"/>
      <c r="E21" s="61"/>
      <c r="F21" s="61" t="s">
        <v>1836</v>
      </c>
      <c r="G21" s="61">
        <v>2003</v>
      </c>
      <c r="H21" s="61">
        <v>18</v>
      </c>
      <c r="I21" s="62" t="s">
        <v>1454</v>
      </c>
      <c r="J21" s="62" t="s">
        <v>1454</v>
      </c>
      <c r="K21" s="61" t="s">
        <v>1417</v>
      </c>
      <c r="L21" s="61" t="s">
        <v>1972</v>
      </c>
    </row>
    <row r="22" spans="1:19" ht="14.7" x14ac:dyDescent="0.35">
      <c r="A22" s="27" t="s">
        <v>1835</v>
      </c>
      <c r="B22" s="20" t="s">
        <v>597</v>
      </c>
      <c r="C22" s="20" t="s">
        <v>6438</v>
      </c>
      <c r="D22" s="20"/>
      <c r="E22" s="20"/>
      <c r="F22" s="20" t="s">
        <v>1837</v>
      </c>
      <c r="G22" s="20">
        <v>2004</v>
      </c>
      <c r="H22" s="20">
        <v>2</v>
      </c>
      <c r="I22" s="36" t="s">
        <v>1454</v>
      </c>
      <c r="J22" s="36" t="s">
        <v>1454</v>
      </c>
      <c r="K22" s="20" t="s">
        <v>1417</v>
      </c>
      <c r="L22" s="20" t="s">
        <v>1972</v>
      </c>
    </row>
    <row r="23" spans="1:19" ht="14.7" x14ac:dyDescent="0.35">
      <c r="A23" s="83" t="s">
        <v>1835</v>
      </c>
      <c r="B23" s="84" t="s">
        <v>249</v>
      </c>
      <c r="C23" s="291" t="s">
        <v>6927</v>
      </c>
      <c r="D23" s="84"/>
      <c r="E23" s="84"/>
      <c r="F23" s="84" t="s">
        <v>6287</v>
      </c>
      <c r="G23" s="84">
        <v>2007</v>
      </c>
      <c r="H23" s="84">
        <v>1</v>
      </c>
      <c r="I23" s="85" t="s">
        <v>1454</v>
      </c>
      <c r="J23" s="85" t="s">
        <v>1454</v>
      </c>
      <c r="K23" s="84" t="s">
        <v>1417</v>
      </c>
      <c r="L23" s="84" t="s">
        <v>1972</v>
      </c>
    </row>
    <row r="24" spans="1:19" s="1" customFormat="1" ht="15" customHeight="1" x14ac:dyDescent="0.3">
      <c r="A24" s="61" t="s">
        <v>7164</v>
      </c>
      <c r="B24" s="61" t="s">
        <v>34</v>
      </c>
      <c r="C24" s="61" t="s">
        <v>1507</v>
      </c>
      <c r="D24" s="61"/>
      <c r="E24" s="61"/>
      <c r="F24" s="61" t="s">
        <v>7166</v>
      </c>
      <c r="G24" s="61">
        <v>2319</v>
      </c>
      <c r="H24" s="61">
        <v>50</v>
      </c>
      <c r="I24" s="61" t="s">
        <v>1454</v>
      </c>
      <c r="J24" s="61" t="s">
        <v>1454</v>
      </c>
      <c r="K24" s="61" t="s">
        <v>654</v>
      </c>
      <c r="L24" s="61"/>
      <c r="M24" s="4"/>
      <c r="N24" s="4"/>
      <c r="P24" s="304"/>
      <c r="Q24" s="304"/>
      <c r="R24" s="212"/>
      <c r="S24" s="129"/>
    </row>
    <row r="25" spans="1:19" s="1" customFormat="1" ht="15" customHeight="1" x14ac:dyDescent="0.3">
      <c r="A25" s="20" t="s">
        <v>7164</v>
      </c>
      <c r="B25" s="20" t="s">
        <v>597</v>
      </c>
      <c r="C25" s="20" t="s">
        <v>1507</v>
      </c>
      <c r="D25" s="20"/>
      <c r="E25" s="20"/>
      <c r="F25" s="20" t="s">
        <v>7165</v>
      </c>
      <c r="G25" s="20">
        <v>2320</v>
      </c>
      <c r="H25" s="20">
        <v>2</v>
      </c>
      <c r="I25" s="20" t="s">
        <v>1454</v>
      </c>
      <c r="J25" s="20" t="s">
        <v>1454</v>
      </c>
      <c r="K25" s="20" t="s">
        <v>654</v>
      </c>
      <c r="L25" s="20"/>
      <c r="M25" s="4"/>
      <c r="N25" s="4"/>
      <c r="P25" s="304"/>
      <c r="Q25" s="304"/>
      <c r="R25" s="212"/>
      <c r="S25" s="129"/>
    </row>
    <row r="26" spans="1:19" s="1" customFormat="1" ht="15" customHeight="1" x14ac:dyDescent="0.3">
      <c r="A26" s="57" t="s">
        <v>7164</v>
      </c>
      <c r="B26" s="57" t="s">
        <v>11</v>
      </c>
      <c r="C26" s="57" t="s">
        <v>1507</v>
      </c>
      <c r="D26" s="57"/>
      <c r="E26" s="57"/>
      <c r="F26" s="57" t="s">
        <v>7167</v>
      </c>
      <c r="G26" s="57">
        <v>2321</v>
      </c>
      <c r="H26" s="57">
        <v>170</v>
      </c>
      <c r="I26" s="57" t="s">
        <v>1454</v>
      </c>
      <c r="J26" s="57" t="s">
        <v>1454</v>
      </c>
      <c r="K26" s="57" t="s">
        <v>654</v>
      </c>
      <c r="L26" s="57"/>
      <c r="M26" s="4"/>
      <c r="N26" s="4"/>
      <c r="P26" s="304"/>
      <c r="Q26" s="304"/>
      <c r="R26" s="212"/>
      <c r="S26" s="129"/>
    </row>
    <row r="27" spans="1:19" s="1" customFormat="1" ht="15" customHeight="1" x14ac:dyDescent="0.3">
      <c r="A27" s="9" t="s">
        <v>7164</v>
      </c>
      <c r="B27" s="9" t="s">
        <v>6092</v>
      </c>
      <c r="C27" s="9" t="s">
        <v>1507</v>
      </c>
      <c r="D27" s="9"/>
      <c r="E27" s="9"/>
      <c r="F27" s="9" t="s">
        <v>7168</v>
      </c>
      <c r="G27" s="9">
        <v>2322</v>
      </c>
      <c r="H27" s="9">
        <v>1</v>
      </c>
      <c r="I27" s="9" t="s">
        <v>1454</v>
      </c>
      <c r="J27" s="9" t="s">
        <v>1454</v>
      </c>
      <c r="K27" s="9" t="s">
        <v>654</v>
      </c>
      <c r="L27" s="9"/>
      <c r="M27" s="4"/>
      <c r="N27" s="4"/>
      <c r="P27" s="304"/>
      <c r="Q27" s="304"/>
      <c r="R27" s="212"/>
      <c r="S27" s="129"/>
    </row>
    <row r="28" spans="1:19" s="1" customFormat="1" ht="15" customHeight="1" x14ac:dyDescent="0.3">
      <c r="A28" s="9" t="s">
        <v>7164</v>
      </c>
      <c r="B28" s="9" t="s">
        <v>249</v>
      </c>
      <c r="C28" s="9" t="s">
        <v>1507</v>
      </c>
      <c r="D28" s="325"/>
      <c r="E28" s="325"/>
      <c r="F28" s="325"/>
      <c r="G28" s="325">
        <v>2479</v>
      </c>
      <c r="H28" s="325">
        <v>1</v>
      </c>
      <c r="I28" s="9" t="s">
        <v>1454</v>
      </c>
      <c r="J28" s="9" t="s">
        <v>1454</v>
      </c>
      <c r="K28" s="9" t="s">
        <v>654</v>
      </c>
      <c r="L28" s="9"/>
      <c r="M28" s="4"/>
      <c r="N28" s="4"/>
      <c r="P28" s="313"/>
      <c r="Q28" s="313"/>
      <c r="R28" s="212"/>
      <c r="S28" s="129"/>
    </row>
    <row r="29" spans="1:19" ht="14.7" x14ac:dyDescent="0.35">
      <c r="A29" s="60" t="s">
        <v>1977</v>
      </c>
      <c r="B29" s="61" t="s">
        <v>34</v>
      </c>
      <c r="C29" s="61" t="s">
        <v>6913</v>
      </c>
      <c r="D29" s="61" t="s">
        <v>1738</v>
      </c>
      <c r="E29" s="61" t="s">
        <v>1739</v>
      </c>
      <c r="F29" s="61" t="s">
        <v>1740</v>
      </c>
      <c r="G29" s="61">
        <v>730</v>
      </c>
      <c r="H29" s="61">
        <v>310</v>
      </c>
      <c r="I29" s="61">
        <v>35104</v>
      </c>
      <c r="J29" s="61">
        <v>29355</v>
      </c>
      <c r="K29" s="87" t="s">
        <v>430</v>
      </c>
      <c r="L29" s="61" t="s">
        <v>1973</v>
      </c>
    </row>
    <row r="30" spans="1:19" ht="14.7" x14ac:dyDescent="0.35">
      <c r="A30" s="95" t="s">
        <v>1977</v>
      </c>
      <c r="B30" s="20" t="s">
        <v>597</v>
      </c>
      <c r="C30" s="288" t="s">
        <v>6928</v>
      </c>
      <c r="D30" s="20" t="s">
        <v>1741</v>
      </c>
      <c r="E30" s="20" t="s">
        <v>1742</v>
      </c>
      <c r="F30" s="20" t="s">
        <v>1743</v>
      </c>
      <c r="G30" s="20">
        <v>731</v>
      </c>
      <c r="H30" s="20">
        <v>35</v>
      </c>
      <c r="I30" s="20">
        <v>35104</v>
      </c>
      <c r="J30" s="20">
        <v>29355</v>
      </c>
      <c r="K30" s="77" t="s">
        <v>430</v>
      </c>
      <c r="L30" s="20" t="s">
        <v>1973</v>
      </c>
    </row>
    <row r="31" spans="1:19" ht="14.7" x14ac:dyDescent="0.35">
      <c r="A31" s="45" t="s">
        <v>1977</v>
      </c>
      <c r="B31" s="46" t="s">
        <v>1014</v>
      </c>
      <c r="C31" s="311" t="s">
        <v>7428</v>
      </c>
      <c r="D31" s="46" t="s">
        <v>7226</v>
      </c>
      <c r="E31" s="46" t="s">
        <v>7227</v>
      </c>
      <c r="F31" s="46" t="s">
        <v>7228</v>
      </c>
      <c r="G31" s="46">
        <v>2207</v>
      </c>
      <c r="H31" s="46">
        <v>80</v>
      </c>
      <c r="I31" s="47">
        <v>35104</v>
      </c>
      <c r="J31" s="47">
        <v>29355</v>
      </c>
      <c r="K31" s="46" t="s">
        <v>428</v>
      </c>
      <c r="L31" s="46" t="s">
        <v>1973</v>
      </c>
    </row>
    <row r="32" spans="1:19" x14ac:dyDescent="0.3">
      <c r="A32" s="60" t="s">
        <v>6907</v>
      </c>
      <c r="B32" s="61" t="s">
        <v>34</v>
      </c>
      <c r="C32" s="61" t="s">
        <v>6439</v>
      </c>
      <c r="D32" s="61"/>
      <c r="E32" s="61"/>
      <c r="F32" s="61" t="s">
        <v>1841</v>
      </c>
      <c r="G32" s="61">
        <v>2008</v>
      </c>
      <c r="H32" s="61">
        <v>180</v>
      </c>
      <c r="I32" s="90" t="s">
        <v>1454</v>
      </c>
      <c r="J32" s="90" t="s">
        <v>1454</v>
      </c>
      <c r="K32" s="91" t="s">
        <v>654</v>
      </c>
      <c r="L32" s="61" t="s">
        <v>1974</v>
      </c>
    </row>
    <row r="33" spans="1:12" x14ac:dyDescent="0.3">
      <c r="A33" s="56" t="s">
        <v>6907</v>
      </c>
      <c r="B33" s="57" t="s">
        <v>11</v>
      </c>
      <c r="C33" s="57" t="s">
        <v>6271</v>
      </c>
      <c r="D33" s="57"/>
      <c r="E33" s="57"/>
      <c r="F33" s="57" t="s">
        <v>2529</v>
      </c>
      <c r="G33" s="57">
        <v>2040</v>
      </c>
      <c r="H33" s="57">
        <v>540</v>
      </c>
      <c r="I33" s="115" t="s">
        <v>1454</v>
      </c>
      <c r="J33" s="115" t="s">
        <v>1454</v>
      </c>
      <c r="K33" s="82" t="s">
        <v>654</v>
      </c>
      <c r="L33" s="57" t="s">
        <v>1974</v>
      </c>
    </row>
    <row r="34" spans="1:12" x14ac:dyDescent="0.3">
      <c r="A34" s="83" t="s">
        <v>6907</v>
      </c>
      <c r="B34" s="84" t="s">
        <v>249</v>
      </c>
      <c r="C34" s="291" t="s">
        <v>6929</v>
      </c>
      <c r="D34" s="84"/>
      <c r="E34" s="84"/>
      <c r="F34" s="84" t="s">
        <v>2530</v>
      </c>
      <c r="G34" s="84">
        <v>2041</v>
      </c>
      <c r="H34" s="84">
        <v>1</v>
      </c>
      <c r="I34" s="85" t="s">
        <v>1454</v>
      </c>
      <c r="J34" s="85" t="s">
        <v>1454</v>
      </c>
      <c r="K34" s="86" t="s">
        <v>654</v>
      </c>
      <c r="L34" s="84" t="s">
        <v>1974</v>
      </c>
    </row>
    <row r="35" spans="1:12" x14ac:dyDescent="0.3">
      <c r="A35" s="92" t="s">
        <v>1594</v>
      </c>
      <c r="B35" s="61" t="s">
        <v>34</v>
      </c>
      <c r="C35" s="61" t="s">
        <v>6440</v>
      </c>
      <c r="D35" s="61"/>
      <c r="E35" s="61"/>
      <c r="F35" s="61" t="s">
        <v>1844</v>
      </c>
      <c r="G35" s="61">
        <v>732</v>
      </c>
      <c r="H35" s="61">
        <v>75</v>
      </c>
      <c r="I35" s="62" t="s">
        <v>1454</v>
      </c>
      <c r="J35" s="62" t="s">
        <v>1454</v>
      </c>
      <c r="K35" s="87" t="s">
        <v>430</v>
      </c>
      <c r="L35" s="61" t="s">
        <v>1973</v>
      </c>
    </row>
    <row r="36" spans="1:12" x14ac:dyDescent="0.3">
      <c r="A36" s="78" t="s">
        <v>1594</v>
      </c>
      <c r="B36" s="20" t="s">
        <v>597</v>
      </c>
      <c r="C36" s="20" t="s">
        <v>6441</v>
      </c>
      <c r="D36" s="20"/>
      <c r="E36" s="20"/>
      <c r="F36" s="20" t="s">
        <v>1595</v>
      </c>
      <c r="G36" s="20">
        <v>918</v>
      </c>
      <c r="H36" s="20">
        <v>4</v>
      </c>
      <c r="I36" s="76" t="s">
        <v>1454</v>
      </c>
      <c r="J36" s="76" t="s">
        <v>1454</v>
      </c>
      <c r="K36" s="77" t="s">
        <v>430</v>
      </c>
      <c r="L36" s="20" t="s">
        <v>1973</v>
      </c>
    </row>
    <row r="37" spans="1:12" x14ac:dyDescent="0.3">
      <c r="A37" s="45" t="s">
        <v>7583</v>
      </c>
      <c r="B37" s="46" t="s">
        <v>1014</v>
      </c>
      <c r="C37" s="290" t="s">
        <v>6930</v>
      </c>
      <c r="D37" s="46"/>
      <c r="E37" s="46"/>
      <c r="F37" s="46" t="s">
        <v>1516</v>
      </c>
      <c r="G37" s="46">
        <v>3513</v>
      </c>
      <c r="H37" s="46">
        <v>5</v>
      </c>
      <c r="I37" s="47"/>
      <c r="J37" s="47"/>
      <c r="K37" s="46" t="s">
        <v>428</v>
      </c>
      <c r="L37" s="46" t="s">
        <v>1974</v>
      </c>
    </row>
    <row r="38" spans="1:12" x14ac:dyDescent="0.3">
      <c r="A38" s="97" t="s">
        <v>3368</v>
      </c>
      <c r="B38" s="71" t="s">
        <v>34</v>
      </c>
      <c r="C38" s="71" t="s">
        <v>6160</v>
      </c>
      <c r="D38" s="71"/>
      <c r="E38" s="71"/>
      <c r="F38" s="71" t="s">
        <v>3568</v>
      </c>
      <c r="G38" s="71">
        <v>731</v>
      </c>
      <c r="H38" s="71">
        <v>310</v>
      </c>
      <c r="I38" s="72" t="s">
        <v>1454</v>
      </c>
      <c r="J38" s="72" t="s">
        <v>1454</v>
      </c>
      <c r="K38" s="98" t="s">
        <v>431</v>
      </c>
      <c r="L38" s="71" t="s">
        <v>1974</v>
      </c>
    </row>
    <row r="39" spans="1:12" x14ac:dyDescent="0.3">
      <c r="A39" s="28" t="s">
        <v>3368</v>
      </c>
      <c r="B39" s="9" t="s">
        <v>249</v>
      </c>
      <c r="C39" s="289" t="s">
        <v>6931</v>
      </c>
      <c r="D39" s="9"/>
      <c r="E39" s="9"/>
      <c r="F39" s="9" t="s">
        <v>3569</v>
      </c>
      <c r="G39" s="9">
        <v>931</v>
      </c>
      <c r="H39" s="9">
        <v>1</v>
      </c>
      <c r="I39" s="37" t="s">
        <v>1454</v>
      </c>
      <c r="J39" s="37" t="s">
        <v>1454</v>
      </c>
      <c r="K39" s="9" t="s">
        <v>431</v>
      </c>
      <c r="L39" s="9" t="s">
        <v>1974</v>
      </c>
    </row>
    <row r="40" spans="1:12" x14ac:dyDescent="0.3">
      <c r="A40" s="57" t="s">
        <v>3368</v>
      </c>
      <c r="B40" s="57" t="s">
        <v>11</v>
      </c>
      <c r="C40" s="56" t="s">
        <v>1507</v>
      </c>
      <c r="D40" s="56"/>
      <c r="E40" s="56"/>
      <c r="F40" s="56" t="s">
        <v>7290</v>
      </c>
      <c r="G40" s="56">
        <v>2422</v>
      </c>
      <c r="H40" s="56">
        <v>400</v>
      </c>
      <c r="I40" s="56" t="s">
        <v>1454</v>
      </c>
      <c r="J40" s="56" t="s">
        <v>1454</v>
      </c>
      <c r="K40" s="56" t="s">
        <v>431</v>
      </c>
      <c r="L40" s="56" t="s">
        <v>4652</v>
      </c>
    </row>
    <row r="41" spans="1:12" x14ac:dyDescent="0.3">
      <c r="A41" s="28" t="s">
        <v>3368</v>
      </c>
      <c r="B41" s="28" t="s">
        <v>6092</v>
      </c>
      <c r="C41" s="28" t="s">
        <v>1507</v>
      </c>
      <c r="D41" s="28"/>
      <c r="E41" s="28"/>
      <c r="F41" s="28"/>
      <c r="G41" s="28">
        <v>2423</v>
      </c>
      <c r="H41" s="28">
        <v>1</v>
      </c>
      <c r="I41" s="28" t="s">
        <v>1454</v>
      </c>
      <c r="J41" s="28" t="s">
        <v>1454</v>
      </c>
      <c r="K41" s="28" t="s">
        <v>522</v>
      </c>
      <c r="L41" s="28" t="s">
        <v>4652</v>
      </c>
    </row>
    <row r="42" spans="1:12" x14ac:dyDescent="0.3">
      <c r="A42" s="75" t="s">
        <v>3368</v>
      </c>
      <c r="B42" s="75" t="s">
        <v>597</v>
      </c>
      <c r="C42" s="75" t="s">
        <v>1507</v>
      </c>
      <c r="D42" s="75"/>
      <c r="E42" s="75"/>
      <c r="F42" s="75"/>
      <c r="G42" s="75">
        <v>2490</v>
      </c>
      <c r="H42" s="75">
        <v>5</v>
      </c>
      <c r="I42" s="75" t="s">
        <v>1454</v>
      </c>
      <c r="J42" s="75" t="s">
        <v>1454</v>
      </c>
      <c r="K42" s="75" t="s">
        <v>431</v>
      </c>
      <c r="L42" s="75" t="s">
        <v>1974</v>
      </c>
    </row>
    <row r="43" spans="1:12" x14ac:dyDescent="0.3">
      <c r="A43" s="97" t="s">
        <v>2448</v>
      </c>
      <c r="B43" s="71" t="s">
        <v>34</v>
      </c>
      <c r="C43" s="71" t="s">
        <v>6442</v>
      </c>
      <c r="D43" s="71"/>
      <c r="E43" s="71"/>
      <c r="F43" s="71" t="s">
        <v>2447</v>
      </c>
      <c r="G43" s="71">
        <v>761</v>
      </c>
      <c r="H43" s="71">
        <v>48</v>
      </c>
      <c r="I43" s="72" t="s">
        <v>1454</v>
      </c>
      <c r="J43" s="72" t="s">
        <v>1454</v>
      </c>
      <c r="K43" s="98" t="s">
        <v>522</v>
      </c>
      <c r="L43" s="71" t="s">
        <v>1974</v>
      </c>
    </row>
    <row r="44" spans="1:12" x14ac:dyDescent="0.3">
      <c r="A44" s="28" t="s">
        <v>2448</v>
      </c>
      <c r="B44" s="9" t="s">
        <v>249</v>
      </c>
      <c r="C44" s="289" t="s">
        <v>6932</v>
      </c>
      <c r="D44" s="9"/>
      <c r="E44" s="9"/>
      <c r="F44" s="9" t="s">
        <v>2994</v>
      </c>
      <c r="G44" s="9">
        <v>961</v>
      </c>
      <c r="H44" s="9">
        <v>1</v>
      </c>
      <c r="I44" s="113" t="s">
        <v>1454</v>
      </c>
      <c r="J44" s="113" t="s">
        <v>1454</v>
      </c>
      <c r="K44" s="9" t="s">
        <v>522</v>
      </c>
      <c r="L44" s="9" t="s">
        <v>1974</v>
      </c>
    </row>
    <row r="45" spans="1:12" x14ac:dyDescent="0.3">
      <c r="A45" s="60" t="s">
        <v>6909</v>
      </c>
      <c r="B45" s="61" t="s">
        <v>34</v>
      </c>
      <c r="C45" s="61" t="s">
        <v>6443</v>
      </c>
      <c r="D45" s="61"/>
      <c r="E45" s="61"/>
      <c r="F45" s="61" t="s">
        <v>1842</v>
      </c>
      <c r="G45" s="61">
        <v>2011</v>
      </c>
      <c r="H45" s="61">
        <v>38</v>
      </c>
      <c r="I45" s="93" t="s">
        <v>1454</v>
      </c>
      <c r="J45" s="93" t="s">
        <v>1454</v>
      </c>
      <c r="K45" s="94" t="s">
        <v>654</v>
      </c>
      <c r="L45" s="61" t="s">
        <v>1974</v>
      </c>
    </row>
    <row r="46" spans="1:12" x14ac:dyDescent="0.3">
      <c r="A46" s="158" t="s">
        <v>7584</v>
      </c>
      <c r="B46" s="156" t="s">
        <v>1014</v>
      </c>
      <c r="C46" s="293" t="s">
        <v>6933</v>
      </c>
      <c r="D46" s="156"/>
      <c r="E46" s="156"/>
      <c r="F46" s="156" t="s">
        <v>1517</v>
      </c>
      <c r="G46" s="156">
        <v>3514</v>
      </c>
      <c r="H46" s="156">
        <v>10</v>
      </c>
      <c r="I46" s="163"/>
      <c r="J46" s="163"/>
      <c r="K46" s="156" t="s">
        <v>428</v>
      </c>
      <c r="L46" s="156" t="s">
        <v>1974</v>
      </c>
    </row>
    <row r="47" spans="1:12" x14ac:dyDescent="0.3">
      <c r="A47" s="60" t="s">
        <v>1839</v>
      </c>
      <c r="B47" s="61" t="s">
        <v>34</v>
      </c>
      <c r="C47" s="61" t="s">
        <v>6448</v>
      </c>
      <c r="D47" s="61"/>
      <c r="E47" s="61"/>
      <c r="F47" s="61" t="s">
        <v>1840</v>
      </c>
      <c r="G47" s="61">
        <v>731</v>
      </c>
      <c r="H47" s="61">
        <v>65</v>
      </c>
      <c r="I47" s="90" t="s">
        <v>1454</v>
      </c>
      <c r="J47" s="90" t="s">
        <v>1454</v>
      </c>
      <c r="K47" s="91" t="s">
        <v>430</v>
      </c>
      <c r="L47" s="61" t="s">
        <v>1973</v>
      </c>
    </row>
    <row r="48" spans="1:12" x14ac:dyDescent="0.3">
      <c r="A48" s="157" t="s">
        <v>1839</v>
      </c>
      <c r="B48" s="75" t="s">
        <v>597</v>
      </c>
      <c r="C48" s="75" t="s">
        <v>6910</v>
      </c>
      <c r="D48" s="75"/>
      <c r="E48" s="75"/>
      <c r="F48" s="75" t="s">
        <v>1843</v>
      </c>
      <c r="G48" s="75">
        <v>922</v>
      </c>
      <c r="H48" s="75">
        <v>4</v>
      </c>
      <c r="I48" s="162" t="s">
        <v>1454</v>
      </c>
      <c r="J48" s="162" t="s">
        <v>1454</v>
      </c>
      <c r="K48" s="80" t="s">
        <v>430</v>
      </c>
      <c r="L48" s="75" t="s">
        <v>1973</v>
      </c>
    </row>
    <row r="49" spans="1:12" x14ac:dyDescent="0.3">
      <c r="A49" s="83" t="s">
        <v>1839</v>
      </c>
      <c r="B49" s="84" t="s">
        <v>249</v>
      </c>
      <c r="C49" s="84" t="s">
        <v>1507</v>
      </c>
      <c r="D49" s="84"/>
      <c r="E49" s="84"/>
      <c r="F49" s="84" t="s">
        <v>2589</v>
      </c>
      <c r="G49" s="84">
        <v>931</v>
      </c>
      <c r="H49" s="84">
        <v>1</v>
      </c>
      <c r="I49" s="123" t="s">
        <v>1454</v>
      </c>
      <c r="J49" s="123" t="s">
        <v>1454</v>
      </c>
      <c r="K49" s="84" t="s">
        <v>430</v>
      </c>
      <c r="L49" s="84" t="s">
        <v>1973</v>
      </c>
    </row>
    <row r="50" spans="1:12" x14ac:dyDescent="0.3">
      <c r="A50" s="22" t="s">
        <v>6288</v>
      </c>
      <c r="B50" s="61" t="s">
        <v>34</v>
      </c>
      <c r="C50" s="319" t="s">
        <v>1626</v>
      </c>
      <c r="D50" s="61"/>
      <c r="E50" s="61"/>
      <c r="F50" s="61" t="s">
        <v>6289</v>
      </c>
      <c r="G50" s="61">
        <v>762</v>
      </c>
      <c r="H50" s="61">
        <v>220</v>
      </c>
      <c r="I50" s="62" t="s">
        <v>1454</v>
      </c>
      <c r="J50" s="62" t="s">
        <v>1454</v>
      </c>
      <c r="K50" s="16" t="s">
        <v>522</v>
      </c>
      <c r="L50" s="61" t="s">
        <v>1974</v>
      </c>
    </row>
    <row r="51" spans="1:12" x14ac:dyDescent="0.3">
      <c r="A51" s="28" t="s">
        <v>6288</v>
      </c>
      <c r="B51" s="9" t="s">
        <v>249</v>
      </c>
      <c r="C51" s="289" t="s">
        <v>6936</v>
      </c>
      <c r="D51" s="9"/>
      <c r="E51" s="9"/>
      <c r="F51" s="9" t="s">
        <v>6290</v>
      </c>
      <c r="G51" s="9">
        <v>962</v>
      </c>
      <c r="H51" s="9">
        <v>1</v>
      </c>
      <c r="I51" s="113" t="s">
        <v>1454</v>
      </c>
      <c r="J51" s="113" t="s">
        <v>1454</v>
      </c>
      <c r="K51" s="9" t="s">
        <v>522</v>
      </c>
      <c r="L51" s="9" t="s">
        <v>1974</v>
      </c>
    </row>
    <row r="52" spans="1:12" x14ac:dyDescent="0.3">
      <c r="A52" s="158" t="s">
        <v>7585</v>
      </c>
      <c r="B52" s="156" t="s">
        <v>1014</v>
      </c>
      <c r="C52" s="293"/>
      <c r="D52" s="156"/>
      <c r="E52" s="156"/>
      <c r="F52" s="156" t="s">
        <v>7511</v>
      </c>
      <c r="G52" s="156">
        <v>3646</v>
      </c>
      <c r="H52" s="156">
        <v>20</v>
      </c>
      <c r="I52" s="163"/>
      <c r="J52" s="163"/>
      <c r="K52" s="156" t="s">
        <v>428</v>
      </c>
      <c r="L52" s="156" t="s">
        <v>1974</v>
      </c>
    </row>
    <row r="53" spans="1:12" x14ac:dyDescent="0.3">
      <c r="A53" s="158" t="s">
        <v>7587</v>
      </c>
      <c r="B53" s="156" t="s">
        <v>1014</v>
      </c>
      <c r="C53" s="293"/>
      <c r="D53" s="156"/>
      <c r="E53" s="156"/>
      <c r="F53" s="156" t="s">
        <v>7512</v>
      </c>
      <c r="G53" s="156">
        <v>3653</v>
      </c>
      <c r="H53" s="156">
        <v>20</v>
      </c>
      <c r="I53" s="163"/>
      <c r="J53" s="163"/>
      <c r="K53" s="156" t="s">
        <v>428</v>
      </c>
      <c r="L53" s="156" t="s">
        <v>1974</v>
      </c>
    </row>
    <row r="54" spans="1:12" ht="15" customHeight="1" x14ac:dyDescent="0.3">
      <c r="A54" s="158" t="s">
        <v>7586</v>
      </c>
      <c r="B54" s="156" t="s">
        <v>1014</v>
      </c>
      <c r="C54" s="293" t="s">
        <v>6934</v>
      </c>
      <c r="D54" s="156"/>
      <c r="E54" s="156"/>
      <c r="F54" s="156" t="s">
        <v>1518</v>
      </c>
      <c r="G54" s="156">
        <v>3503</v>
      </c>
      <c r="H54" s="156">
        <v>26</v>
      </c>
      <c r="I54" s="163"/>
      <c r="J54" s="163"/>
      <c r="K54" s="156" t="s">
        <v>428</v>
      </c>
      <c r="L54" s="156" t="s">
        <v>1974</v>
      </c>
    </row>
    <row r="55" spans="1:12" ht="15" customHeight="1" x14ac:dyDescent="0.3">
      <c r="A55" s="22" t="s">
        <v>2449</v>
      </c>
      <c r="B55" s="61" t="s">
        <v>34</v>
      </c>
      <c r="C55" s="61" t="s">
        <v>6444</v>
      </c>
      <c r="D55" s="61"/>
      <c r="E55" s="61"/>
      <c r="F55" s="61" t="s">
        <v>2446</v>
      </c>
      <c r="G55" s="61">
        <v>760</v>
      </c>
      <c r="H55" s="61">
        <v>500</v>
      </c>
      <c r="I55" s="62" t="s">
        <v>1454</v>
      </c>
      <c r="J55" s="62" t="s">
        <v>1454</v>
      </c>
      <c r="K55" s="16" t="s">
        <v>522</v>
      </c>
      <c r="L55" s="61" t="s">
        <v>1974</v>
      </c>
    </row>
    <row r="56" spans="1:12" ht="15" customHeight="1" x14ac:dyDescent="0.3">
      <c r="A56" s="83" t="s">
        <v>2449</v>
      </c>
      <c r="B56" s="84" t="s">
        <v>249</v>
      </c>
      <c r="C56" s="291" t="s">
        <v>6935</v>
      </c>
      <c r="D56" s="84"/>
      <c r="E56" s="84"/>
      <c r="F56" s="84" t="s">
        <v>2995</v>
      </c>
      <c r="G56" s="84">
        <v>960</v>
      </c>
      <c r="H56" s="84">
        <v>1</v>
      </c>
      <c r="I56" s="85" t="s">
        <v>1454</v>
      </c>
      <c r="J56" s="85" t="s">
        <v>1454</v>
      </c>
      <c r="K56" s="84" t="s">
        <v>522</v>
      </c>
      <c r="L56" s="84" t="s">
        <v>1974</v>
      </c>
    </row>
    <row r="57" spans="1:12" x14ac:dyDescent="0.3">
      <c r="A57" s="27" t="s">
        <v>2933</v>
      </c>
      <c r="B57" s="20" t="s">
        <v>597</v>
      </c>
      <c r="C57" s="20" t="s">
        <v>6445</v>
      </c>
      <c r="D57" s="20"/>
      <c r="E57" s="20"/>
      <c r="F57" s="20" t="s">
        <v>2934</v>
      </c>
      <c r="G57" s="20">
        <v>930</v>
      </c>
      <c r="H57" s="20">
        <v>2</v>
      </c>
      <c r="I57" s="76" t="s">
        <v>1454</v>
      </c>
      <c r="J57" s="76" t="s">
        <v>1454</v>
      </c>
      <c r="K57" s="77" t="s">
        <v>430</v>
      </c>
      <c r="L57" s="20" t="s">
        <v>1973</v>
      </c>
    </row>
    <row r="58" spans="1:12" x14ac:dyDescent="0.3">
      <c r="A58" s="60" t="s">
        <v>414</v>
      </c>
      <c r="B58" s="61" t="s">
        <v>34</v>
      </c>
      <c r="C58" s="61" t="s">
        <v>6435</v>
      </c>
      <c r="D58" s="61" t="s">
        <v>2287</v>
      </c>
      <c r="E58" s="61" t="s">
        <v>2288</v>
      </c>
      <c r="F58" s="61" t="s">
        <v>2289</v>
      </c>
      <c r="G58" s="61">
        <v>2009</v>
      </c>
      <c r="H58" s="61">
        <v>290</v>
      </c>
      <c r="I58" s="61">
        <v>35104</v>
      </c>
      <c r="J58" s="61">
        <v>65235</v>
      </c>
      <c r="K58" s="61" t="s">
        <v>1417</v>
      </c>
      <c r="L58" s="61" t="s">
        <v>1974</v>
      </c>
    </row>
    <row r="59" spans="1:12" x14ac:dyDescent="0.3">
      <c r="A59" s="108" t="s">
        <v>414</v>
      </c>
      <c r="B59" s="109" t="s">
        <v>11</v>
      </c>
      <c r="C59" s="109" t="s">
        <v>6367</v>
      </c>
      <c r="D59" s="109" t="s">
        <v>2296</v>
      </c>
      <c r="E59" s="109" t="s">
        <v>2297</v>
      </c>
      <c r="F59" s="109" t="s">
        <v>2298</v>
      </c>
      <c r="G59" s="109">
        <v>2011</v>
      </c>
      <c r="H59" s="109">
        <v>560</v>
      </c>
      <c r="I59" s="109">
        <v>35104</v>
      </c>
      <c r="J59" s="109">
        <v>65235</v>
      </c>
      <c r="K59" s="109" t="s">
        <v>1417</v>
      </c>
      <c r="L59" s="109" t="s">
        <v>1974</v>
      </c>
    </row>
    <row r="60" spans="1:12" x14ac:dyDescent="0.3">
      <c r="A60" s="112" t="s">
        <v>414</v>
      </c>
      <c r="B60" s="75" t="s">
        <v>597</v>
      </c>
      <c r="C60" s="281" t="s">
        <v>6937</v>
      </c>
      <c r="D60" s="75" t="s">
        <v>2290</v>
      </c>
      <c r="E60" s="75" t="s">
        <v>2291</v>
      </c>
      <c r="F60" s="75" t="s">
        <v>2292</v>
      </c>
      <c r="G60" s="75">
        <v>2008</v>
      </c>
      <c r="H60" s="75">
        <v>13</v>
      </c>
      <c r="I60" s="75">
        <v>35104</v>
      </c>
      <c r="J60" s="75">
        <v>65235</v>
      </c>
      <c r="K60" s="75" t="s">
        <v>1417</v>
      </c>
      <c r="L60" s="75" t="s">
        <v>1974</v>
      </c>
    </row>
    <row r="61" spans="1:12" ht="15" customHeight="1" x14ac:dyDescent="0.3">
      <c r="A61" s="83" t="s">
        <v>414</v>
      </c>
      <c r="B61" s="84" t="s">
        <v>249</v>
      </c>
      <c r="C61" s="291" t="s">
        <v>6938</v>
      </c>
      <c r="D61" s="84" t="s">
        <v>2293</v>
      </c>
      <c r="E61" s="84" t="s">
        <v>2294</v>
      </c>
      <c r="F61" s="84" t="s">
        <v>2295</v>
      </c>
      <c r="G61" s="84">
        <v>2010</v>
      </c>
      <c r="H61" s="84">
        <v>1</v>
      </c>
      <c r="I61" s="85">
        <v>35104</v>
      </c>
      <c r="J61" s="85">
        <v>65235</v>
      </c>
      <c r="K61" s="84" t="s">
        <v>1417</v>
      </c>
      <c r="L61" s="84" t="s">
        <v>1974</v>
      </c>
    </row>
    <row r="62" spans="1:12" ht="15" customHeight="1" x14ac:dyDescent="0.3">
      <c r="A62" s="70" t="s">
        <v>6908</v>
      </c>
      <c r="B62" s="71" t="s">
        <v>34</v>
      </c>
      <c r="C62" s="71" t="s">
        <v>6447</v>
      </c>
      <c r="D62" s="71"/>
      <c r="E62" s="71"/>
      <c r="F62" s="71" t="s">
        <v>2326</v>
      </c>
      <c r="G62" s="71">
        <v>2012</v>
      </c>
      <c r="H62" s="71">
        <v>18</v>
      </c>
      <c r="I62" s="72" t="s">
        <v>1454</v>
      </c>
      <c r="J62" s="72" t="s">
        <v>1454</v>
      </c>
      <c r="K62" s="71" t="s">
        <v>654</v>
      </c>
      <c r="L62" s="71" t="s">
        <v>1974</v>
      </c>
    </row>
    <row r="63" spans="1:12" ht="15" customHeight="1" x14ac:dyDescent="0.3">
      <c r="A63" s="112" t="s">
        <v>6908</v>
      </c>
      <c r="B63" s="75" t="s">
        <v>597</v>
      </c>
      <c r="C63" s="75" t="s">
        <v>6446</v>
      </c>
      <c r="D63" s="75"/>
      <c r="E63" s="75"/>
      <c r="F63" s="75" t="s">
        <v>2327</v>
      </c>
      <c r="G63" s="75">
        <v>2013</v>
      </c>
      <c r="H63" s="75">
        <v>2</v>
      </c>
      <c r="I63" s="114" t="s">
        <v>1454</v>
      </c>
      <c r="J63" s="114" t="s">
        <v>1454</v>
      </c>
      <c r="K63" s="75" t="s">
        <v>654</v>
      </c>
      <c r="L63" s="75" t="s">
        <v>1974</v>
      </c>
    </row>
    <row r="64" spans="1:12" ht="15" customHeight="1" x14ac:dyDescent="0.3">
      <c r="A64" s="27" t="s">
        <v>1503</v>
      </c>
      <c r="B64" s="160" t="s">
        <v>597</v>
      </c>
      <c r="C64" s="160" t="s">
        <v>1626</v>
      </c>
      <c r="D64" s="160" t="s">
        <v>2786</v>
      </c>
      <c r="E64" s="160" t="s">
        <v>2787</v>
      </c>
      <c r="F64" s="160" t="s">
        <v>2788</v>
      </c>
      <c r="G64" s="160">
        <v>2206</v>
      </c>
      <c r="H64" s="160">
        <v>55</v>
      </c>
      <c r="I64" s="160">
        <v>35104</v>
      </c>
      <c r="J64" s="160" t="s">
        <v>776</v>
      </c>
      <c r="K64" s="160"/>
      <c r="L64" s="160" t="s">
        <v>1973</v>
      </c>
    </row>
    <row r="65" spans="1:12" ht="15" customHeight="1" x14ac:dyDescent="0.3">
      <c r="A65" s="97" t="s">
        <v>3859</v>
      </c>
      <c r="B65" s="71" t="s">
        <v>34</v>
      </c>
      <c r="C65" s="71" t="s">
        <v>6449</v>
      </c>
      <c r="D65" s="71"/>
      <c r="E65" s="71"/>
      <c r="F65" s="71" t="s">
        <v>3860</v>
      </c>
      <c r="G65" s="71">
        <v>763</v>
      </c>
      <c r="H65" s="71">
        <v>80</v>
      </c>
      <c r="I65" s="71" t="s">
        <v>1454</v>
      </c>
      <c r="J65" s="71" t="s">
        <v>1454</v>
      </c>
      <c r="K65" s="98" t="s">
        <v>522</v>
      </c>
      <c r="L65" s="71" t="s">
        <v>1974</v>
      </c>
    </row>
    <row r="66" spans="1:12" x14ac:dyDescent="0.3">
      <c r="A66" s="142" t="s">
        <v>3859</v>
      </c>
      <c r="B66" s="142" t="s">
        <v>249</v>
      </c>
      <c r="C66" s="292" t="s">
        <v>6939</v>
      </c>
      <c r="D66" s="142"/>
      <c r="E66" s="142"/>
      <c r="F66" s="142" t="s">
        <v>3861</v>
      </c>
      <c r="G66" s="142">
        <v>963</v>
      </c>
      <c r="H66" s="142">
        <v>1</v>
      </c>
      <c r="I66" s="161" t="s">
        <v>1454</v>
      </c>
      <c r="J66" s="161" t="s">
        <v>1454</v>
      </c>
      <c r="K66" s="142" t="s">
        <v>522</v>
      </c>
      <c r="L66" s="142" t="s">
        <v>1974</v>
      </c>
    </row>
    <row r="67" spans="1:12" x14ac:dyDescent="0.3">
      <c r="A67" s="159" t="s">
        <v>1931</v>
      </c>
      <c r="B67" s="141" t="s">
        <v>34</v>
      </c>
      <c r="C67" s="141" t="s">
        <v>6450</v>
      </c>
      <c r="D67" s="141"/>
      <c r="E67" s="141"/>
      <c r="F67" s="141" t="s">
        <v>1932</v>
      </c>
      <c r="G67" s="141">
        <v>2005</v>
      </c>
      <c r="H67" s="141">
        <v>30</v>
      </c>
      <c r="I67" s="159" t="s">
        <v>1454</v>
      </c>
      <c r="J67" s="159" t="s">
        <v>1454</v>
      </c>
      <c r="K67" s="159" t="s">
        <v>1417</v>
      </c>
      <c r="L67" s="141" t="s">
        <v>1972</v>
      </c>
    </row>
    <row r="68" spans="1:12" x14ac:dyDescent="0.3">
      <c r="A68" s="81" t="s">
        <v>1931</v>
      </c>
      <c r="B68" s="75" t="s">
        <v>597</v>
      </c>
      <c r="C68" s="75" t="s">
        <v>6451</v>
      </c>
      <c r="D68" s="75"/>
      <c r="E68" s="75"/>
      <c r="F68" s="75" t="s">
        <v>1933</v>
      </c>
      <c r="G68" s="75">
        <v>2006</v>
      </c>
      <c r="H68" s="75">
        <v>3</v>
      </c>
      <c r="I68" s="81" t="s">
        <v>1454</v>
      </c>
      <c r="J68" s="81" t="s">
        <v>1454</v>
      </c>
      <c r="K68" s="81" t="s">
        <v>1417</v>
      </c>
      <c r="L68" s="75" t="s">
        <v>1972</v>
      </c>
    </row>
  </sheetData>
  <mergeCells count="1">
    <mergeCell ref="O2:O15"/>
  </mergeCells>
  <conditionalFormatting sqref="M24:M28">
    <cfRule type="cellIs" dxfId="32" priority="1" operator="equal">
      <formula>"!!!"</formula>
    </cfRule>
  </conditionalFormatting>
  <hyperlinks>
    <hyperlink ref="O2" r:id="rId1"/>
  </hyperlinks>
  <pageMargins left="0.7" right="0.7" top="0.75" bottom="0.75" header="0.3" footer="0.3"/>
  <pageSetup paperSize="9" orientation="portrait"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Q48"/>
  <sheetViews>
    <sheetView workbookViewId="0">
      <pane ySplit="1" topLeftCell="A5" activePane="bottomLeft" state="frozen"/>
      <selection pane="bottomLeft" activeCell="B55" sqref="B55"/>
    </sheetView>
  </sheetViews>
  <sheetFormatPr defaultRowHeight="14.4" x14ac:dyDescent="0.3"/>
  <cols>
    <col min="1" max="1" width="25.44140625" customWidth="1"/>
    <col min="2" max="2" width="10.5546875" customWidth="1"/>
    <col min="3" max="3" width="15.88671875" customWidth="1"/>
    <col min="4" max="4" width="17.33203125" customWidth="1"/>
    <col min="5" max="5" width="13.44140625" customWidth="1"/>
    <col min="6" max="6" width="15.44140625" customWidth="1"/>
    <col min="9" max="9" width="10.5546875" customWidth="1"/>
    <col min="10" max="10" width="12.5546875" bestFit="1" customWidth="1"/>
    <col min="11" max="11" width="12.44140625" bestFit="1" customWidth="1"/>
    <col min="12" max="12" width="12.44140625" customWidth="1"/>
    <col min="13" max="13" width="9.33203125" customWidth="1"/>
    <col min="14" max="14" width="5.44140625" customWidth="1"/>
    <col min="15" max="15" width="15.33203125" customWidth="1"/>
    <col min="16" max="16" width="15.44140625" bestFit="1" customWidth="1"/>
  </cols>
  <sheetData>
    <row r="1" spans="1:17" ht="32.1" customHeight="1" x14ac:dyDescent="0.3">
      <c r="A1" s="17" t="s">
        <v>140</v>
      </c>
      <c r="B1" s="12" t="s">
        <v>1</v>
      </c>
      <c r="C1" s="12" t="s">
        <v>159</v>
      </c>
      <c r="D1" s="12" t="s">
        <v>9</v>
      </c>
      <c r="E1" s="12" t="s">
        <v>2259</v>
      </c>
      <c r="F1" s="12" t="s">
        <v>2256</v>
      </c>
      <c r="G1" s="12" t="s">
        <v>0</v>
      </c>
      <c r="H1" s="12" t="s">
        <v>5</v>
      </c>
      <c r="I1" s="12" t="s">
        <v>1102</v>
      </c>
      <c r="J1" s="12" t="s">
        <v>155</v>
      </c>
      <c r="K1" s="12" t="s">
        <v>1455</v>
      </c>
      <c r="L1" s="12" t="s">
        <v>2</v>
      </c>
      <c r="M1" s="64"/>
      <c r="N1" s="64"/>
      <c r="O1" s="2" t="s">
        <v>1166</v>
      </c>
      <c r="P1" s="96" t="s">
        <v>2324</v>
      </c>
      <c r="Q1" s="175" t="s">
        <v>4296</v>
      </c>
    </row>
    <row r="2" spans="1:17" ht="16.350000000000001" customHeight="1" x14ac:dyDescent="0.3">
      <c r="A2" s="27" t="s">
        <v>4235</v>
      </c>
      <c r="B2" s="20" t="s">
        <v>597</v>
      </c>
      <c r="C2" s="20" t="s">
        <v>6717</v>
      </c>
      <c r="D2" s="20"/>
      <c r="E2" s="20"/>
      <c r="F2" s="20" t="s">
        <v>4238</v>
      </c>
      <c r="G2" s="20">
        <v>960</v>
      </c>
      <c r="H2" s="20">
        <v>2</v>
      </c>
      <c r="I2" s="20" t="s">
        <v>1454</v>
      </c>
      <c r="J2" s="36" t="s">
        <v>1454</v>
      </c>
      <c r="K2" s="20" t="s">
        <v>1573</v>
      </c>
      <c r="L2" s="20" t="s">
        <v>1974</v>
      </c>
      <c r="M2" s="64"/>
      <c r="N2" s="64"/>
      <c r="O2" s="2"/>
    </row>
    <row r="3" spans="1:17" ht="15" customHeight="1" x14ac:dyDescent="0.35">
      <c r="A3" s="22" t="s">
        <v>4235</v>
      </c>
      <c r="B3" s="16" t="s">
        <v>34</v>
      </c>
      <c r="C3" s="295" t="s">
        <v>6940</v>
      </c>
      <c r="D3" s="16"/>
      <c r="E3" s="16"/>
      <c r="F3" s="16" t="s">
        <v>4236</v>
      </c>
      <c r="G3" s="16">
        <v>730</v>
      </c>
      <c r="H3" s="16">
        <v>45</v>
      </c>
      <c r="I3" s="16" t="s">
        <v>1454</v>
      </c>
      <c r="J3" s="30" t="s">
        <v>1454</v>
      </c>
      <c r="K3" s="16" t="s">
        <v>1573</v>
      </c>
      <c r="L3" s="16" t="s">
        <v>1974</v>
      </c>
      <c r="M3" s="64"/>
      <c r="N3" s="64"/>
      <c r="O3" s="2"/>
    </row>
    <row r="4" spans="1:17" ht="13.95" customHeight="1" x14ac:dyDescent="0.35">
      <c r="A4" s="28" t="s">
        <v>4235</v>
      </c>
      <c r="B4" s="9" t="s">
        <v>249</v>
      </c>
      <c r="C4" s="289" t="s">
        <v>6941</v>
      </c>
      <c r="D4" s="9"/>
      <c r="E4" s="9"/>
      <c r="F4" s="9" t="s">
        <v>4237</v>
      </c>
      <c r="G4" s="9">
        <v>930</v>
      </c>
      <c r="H4" s="9">
        <v>1</v>
      </c>
      <c r="I4" s="9" t="s">
        <v>1454</v>
      </c>
      <c r="J4" s="37" t="s">
        <v>1454</v>
      </c>
      <c r="K4" s="9" t="s">
        <v>1573</v>
      </c>
      <c r="L4" s="9" t="s">
        <v>1974</v>
      </c>
      <c r="M4" s="64"/>
      <c r="N4" s="64"/>
      <c r="O4" s="2"/>
    </row>
    <row r="5" spans="1:17" ht="13.95" customHeight="1" x14ac:dyDescent="0.35">
      <c r="A5" s="154" t="s">
        <v>4728</v>
      </c>
      <c r="B5" s="154" t="s">
        <v>3781</v>
      </c>
      <c r="C5" s="299" t="s">
        <v>6942</v>
      </c>
      <c r="D5" s="154"/>
      <c r="E5" s="154"/>
      <c r="F5" s="154"/>
      <c r="G5" s="154">
        <v>999</v>
      </c>
      <c r="H5" s="154">
        <v>1</v>
      </c>
      <c r="I5" s="154" t="s">
        <v>1454</v>
      </c>
      <c r="J5" s="155" t="s">
        <v>1454</v>
      </c>
      <c r="K5" s="154" t="s">
        <v>522</v>
      </c>
      <c r="L5" s="154" t="s">
        <v>1974</v>
      </c>
      <c r="M5" s="64"/>
      <c r="N5" s="64"/>
      <c r="O5" s="2"/>
    </row>
    <row r="6" spans="1:17" ht="14.7" x14ac:dyDescent="0.35">
      <c r="A6" s="25" t="s">
        <v>4239</v>
      </c>
      <c r="B6" s="7" t="s">
        <v>11</v>
      </c>
      <c r="C6" s="7">
        <v>2770</v>
      </c>
      <c r="D6" s="7"/>
      <c r="E6" s="7"/>
      <c r="F6" s="7" t="s">
        <v>4240</v>
      </c>
      <c r="G6" s="7">
        <v>2770</v>
      </c>
      <c r="H6" s="7">
        <v>650</v>
      </c>
      <c r="I6" s="7" t="s">
        <v>1454</v>
      </c>
      <c r="J6" s="34" t="s">
        <v>1454</v>
      </c>
      <c r="K6" s="7" t="s">
        <v>574</v>
      </c>
      <c r="L6" s="7" t="s">
        <v>1974</v>
      </c>
      <c r="M6" s="65"/>
      <c r="N6" s="65"/>
    </row>
    <row r="7" spans="1:17" ht="14.7" x14ac:dyDescent="0.35">
      <c r="A7" s="28" t="s">
        <v>4239</v>
      </c>
      <c r="B7" s="9" t="s">
        <v>249</v>
      </c>
      <c r="C7" s="9">
        <v>2971</v>
      </c>
      <c r="D7" s="9"/>
      <c r="E7" s="9"/>
      <c r="F7" s="9" t="s">
        <v>4241</v>
      </c>
      <c r="G7" s="9">
        <v>2970</v>
      </c>
      <c r="H7" s="9">
        <v>1</v>
      </c>
      <c r="I7" s="9" t="s">
        <v>1454</v>
      </c>
      <c r="J7" s="37" t="s">
        <v>1454</v>
      </c>
      <c r="K7" s="9" t="s">
        <v>574</v>
      </c>
      <c r="L7" s="9" t="s">
        <v>1974</v>
      </c>
      <c r="M7" s="65"/>
      <c r="N7" s="65"/>
    </row>
    <row r="8" spans="1:17" ht="14.7" x14ac:dyDescent="0.35">
      <c r="A8" s="22" t="s">
        <v>2466</v>
      </c>
      <c r="B8" s="16" t="s">
        <v>34</v>
      </c>
      <c r="C8" s="16">
        <v>3878</v>
      </c>
      <c r="D8" s="16"/>
      <c r="E8" s="16"/>
      <c r="F8" s="16" t="s">
        <v>4242</v>
      </c>
      <c r="G8" s="16">
        <v>740</v>
      </c>
      <c r="H8" s="16">
        <v>370</v>
      </c>
      <c r="I8" s="16" t="s">
        <v>1454</v>
      </c>
      <c r="J8" s="30" t="s">
        <v>1454</v>
      </c>
      <c r="K8" s="16" t="s">
        <v>1691</v>
      </c>
      <c r="L8" s="16" t="s">
        <v>1974</v>
      </c>
      <c r="M8" s="65"/>
      <c r="N8" s="65"/>
    </row>
    <row r="9" spans="1:17" ht="14.7" x14ac:dyDescent="0.35">
      <c r="A9" s="27" t="s">
        <v>2466</v>
      </c>
      <c r="B9" s="20" t="s">
        <v>597</v>
      </c>
      <c r="C9" s="20">
        <v>3880</v>
      </c>
      <c r="D9" s="20"/>
      <c r="E9" s="20"/>
      <c r="F9" s="20" t="s">
        <v>2468</v>
      </c>
      <c r="G9" s="20">
        <v>960</v>
      </c>
      <c r="H9" s="20">
        <v>15</v>
      </c>
      <c r="I9" s="20" t="s">
        <v>1454</v>
      </c>
      <c r="J9" s="36" t="s">
        <v>1454</v>
      </c>
      <c r="K9" s="20" t="s">
        <v>1691</v>
      </c>
      <c r="L9" s="20" t="s">
        <v>1974</v>
      </c>
    </row>
    <row r="10" spans="1:17" ht="14.7" x14ac:dyDescent="0.35">
      <c r="A10" s="164" t="s">
        <v>4152</v>
      </c>
      <c r="B10" s="167" t="s">
        <v>3825</v>
      </c>
      <c r="C10" s="300" t="s">
        <v>6943</v>
      </c>
      <c r="D10" s="167"/>
      <c r="E10" s="167"/>
      <c r="F10" s="167" t="s">
        <v>4146</v>
      </c>
      <c r="G10" s="167">
        <v>1819</v>
      </c>
      <c r="H10" s="167">
        <v>2</v>
      </c>
      <c r="I10" s="167" t="s">
        <v>1454</v>
      </c>
      <c r="J10" s="166" t="s">
        <v>1454</v>
      </c>
      <c r="K10" s="167" t="s">
        <v>428</v>
      </c>
      <c r="L10" s="167" t="s">
        <v>1974</v>
      </c>
    </row>
    <row r="11" spans="1:17" ht="14.7" x14ac:dyDescent="0.35">
      <c r="A11" s="164" t="s">
        <v>4153</v>
      </c>
      <c r="B11" s="167" t="s">
        <v>3825</v>
      </c>
      <c r="C11" s="300" t="s">
        <v>6944</v>
      </c>
      <c r="D11" s="167"/>
      <c r="E11" s="167"/>
      <c r="F11" s="167" t="s">
        <v>4147</v>
      </c>
      <c r="G11" s="167">
        <v>2819</v>
      </c>
      <c r="H11" s="167">
        <v>17</v>
      </c>
      <c r="I11" s="167" t="s">
        <v>1454</v>
      </c>
      <c r="J11" s="166" t="s">
        <v>1454</v>
      </c>
      <c r="K11" s="167" t="s">
        <v>428</v>
      </c>
      <c r="L11" s="167" t="s">
        <v>1974</v>
      </c>
    </row>
    <row r="12" spans="1:17" ht="14.7" x14ac:dyDescent="0.35">
      <c r="A12" s="164" t="s">
        <v>4154</v>
      </c>
      <c r="B12" s="167" t="s">
        <v>3825</v>
      </c>
      <c r="C12" s="300" t="s">
        <v>6945</v>
      </c>
      <c r="D12" s="167"/>
      <c r="E12" s="167"/>
      <c r="F12" s="167" t="s">
        <v>4148</v>
      </c>
      <c r="G12" s="167">
        <v>3819</v>
      </c>
      <c r="H12" s="167">
        <v>1</v>
      </c>
      <c r="I12" s="167" t="s">
        <v>1454</v>
      </c>
      <c r="J12" s="166" t="s">
        <v>1454</v>
      </c>
      <c r="K12" s="167" t="s">
        <v>428</v>
      </c>
      <c r="L12" s="167" t="s">
        <v>1974</v>
      </c>
      <c r="M12" s="65"/>
      <c r="N12" s="65"/>
    </row>
    <row r="13" spans="1:17" ht="14.7" x14ac:dyDescent="0.35">
      <c r="A13" s="25" t="s">
        <v>227</v>
      </c>
      <c r="B13" s="7" t="s">
        <v>3073</v>
      </c>
      <c r="C13" s="7" t="s">
        <v>1507</v>
      </c>
      <c r="D13" s="7" t="s">
        <v>3074</v>
      </c>
      <c r="E13" s="7" t="s">
        <v>3075</v>
      </c>
      <c r="F13" s="7" t="s">
        <v>3076</v>
      </c>
      <c r="G13" s="7"/>
      <c r="H13" s="7"/>
      <c r="I13" s="7"/>
      <c r="J13" s="34">
        <v>65001</v>
      </c>
      <c r="K13" s="7"/>
      <c r="L13" s="7" t="s">
        <v>1974</v>
      </c>
    </row>
    <row r="14" spans="1:17" ht="14.7" x14ac:dyDescent="0.35">
      <c r="A14" s="27" t="s">
        <v>5802</v>
      </c>
      <c r="B14" s="20" t="s">
        <v>597</v>
      </c>
      <c r="C14" s="20" t="s">
        <v>1507</v>
      </c>
      <c r="D14" s="20"/>
      <c r="E14" s="20"/>
      <c r="F14" s="20" t="s">
        <v>6057</v>
      </c>
      <c r="G14" s="20">
        <v>950</v>
      </c>
      <c r="H14" s="20">
        <v>4</v>
      </c>
      <c r="I14" s="20" t="s">
        <v>1454</v>
      </c>
      <c r="J14" s="36" t="s">
        <v>1454</v>
      </c>
      <c r="K14" s="20" t="s">
        <v>440</v>
      </c>
      <c r="L14" s="20"/>
    </row>
    <row r="15" spans="1:17" ht="14.7" x14ac:dyDescent="0.35">
      <c r="A15" s="154" t="s">
        <v>5802</v>
      </c>
      <c r="B15" s="154" t="s">
        <v>3781</v>
      </c>
      <c r="C15" s="154" t="s">
        <v>1507</v>
      </c>
      <c r="D15" s="154"/>
      <c r="E15" s="154"/>
      <c r="F15" s="154" t="s">
        <v>6058</v>
      </c>
      <c r="G15" s="154">
        <v>998</v>
      </c>
      <c r="H15" s="154">
        <v>1</v>
      </c>
      <c r="I15" s="154" t="s">
        <v>1454</v>
      </c>
      <c r="J15" s="155" t="s">
        <v>1454</v>
      </c>
      <c r="K15" s="154" t="s">
        <v>440</v>
      </c>
      <c r="L15" s="154"/>
    </row>
    <row r="16" spans="1:17" x14ac:dyDescent="0.3">
      <c r="A16" s="22" t="s">
        <v>3681</v>
      </c>
      <c r="B16" s="16" t="s">
        <v>34</v>
      </c>
      <c r="C16" s="16" t="s">
        <v>6478</v>
      </c>
      <c r="D16" s="16"/>
      <c r="E16" s="16"/>
      <c r="F16" s="16" t="s">
        <v>3682</v>
      </c>
      <c r="G16" s="16">
        <v>951</v>
      </c>
      <c r="H16" s="16">
        <v>65</v>
      </c>
      <c r="I16" s="16" t="s">
        <v>1454</v>
      </c>
      <c r="J16" s="30" t="s">
        <v>1454</v>
      </c>
      <c r="K16" s="16" t="s">
        <v>430</v>
      </c>
      <c r="L16" s="16" t="s">
        <v>1974</v>
      </c>
      <c r="M16" s="65"/>
      <c r="N16" s="65"/>
    </row>
    <row r="17" spans="1:12" ht="14.7" x14ac:dyDescent="0.35">
      <c r="A17" s="27" t="s">
        <v>3681</v>
      </c>
      <c r="B17" s="20" t="s">
        <v>597</v>
      </c>
      <c r="C17" s="298" t="s">
        <v>6946</v>
      </c>
      <c r="D17" s="20"/>
      <c r="E17" s="20"/>
      <c r="F17" s="20" t="s">
        <v>3824</v>
      </c>
      <c r="G17" s="20">
        <v>950</v>
      </c>
      <c r="H17" s="20">
        <v>2</v>
      </c>
      <c r="I17" s="20" t="s">
        <v>1454</v>
      </c>
      <c r="J17" s="36" t="s">
        <v>1454</v>
      </c>
      <c r="K17" s="20" t="s">
        <v>430</v>
      </c>
      <c r="L17" s="20" t="s">
        <v>1974</v>
      </c>
    </row>
    <row r="18" spans="1:12" x14ac:dyDescent="0.3">
      <c r="A18" s="20" t="s">
        <v>6361</v>
      </c>
      <c r="B18" s="20" t="s">
        <v>597</v>
      </c>
      <c r="C18" s="20" t="s">
        <v>6869</v>
      </c>
      <c r="D18" s="20"/>
      <c r="E18" s="20"/>
      <c r="F18" s="20" t="s">
        <v>6362</v>
      </c>
      <c r="G18" s="20">
        <v>949</v>
      </c>
      <c r="H18" s="20">
        <v>4</v>
      </c>
      <c r="I18" s="20" t="s">
        <v>1454</v>
      </c>
      <c r="J18" s="20" t="s">
        <v>1454</v>
      </c>
      <c r="K18" s="20" t="s">
        <v>440</v>
      </c>
      <c r="L18" s="20"/>
    </row>
    <row r="19" spans="1:12" x14ac:dyDescent="0.3">
      <c r="A19" s="16" t="s">
        <v>6361</v>
      </c>
      <c r="B19" s="16" t="s">
        <v>34</v>
      </c>
      <c r="C19" s="16" t="s">
        <v>6870</v>
      </c>
      <c r="D19" s="16"/>
      <c r="E19" s="16"/>
      <c r="F19" s="16" t="s">
        <v>6363</v>
      </c>
      <c r="G19" s="16">
        <v>997</v>
      </c>
      <c r="H19" s="16">
        <v>50</v>
      </c>
      <c r="I19" s="16" t="s">
        <v>1454</v>
      </c>
      <c r="J19" s="16" t="s">
        <v>1454</v>
      </c>
      <c r="K19" s="16" t="s">
        <v>440</v>
      </c>
      <c r="L19" s="16"/>
    </row>
    <row r="20" spans="1:12" ht="14.7" x14ac:dyDescent="0.35">
      <c r="A20" s="66" t="s">
        <v>581</v>
      </c>
      <c r="B20" s="67" t="s">
        <v>35</v>
      </c>
      <c r="C20" s="67" t="s">
        <v>1507</v>
      </c>
      <c r="D20" s="67" t="s">
        <v>4299</v>
      </c>
      <c r="E20" s="67" t="s">
        <v>4300</v>
      </c>
      <c r="F20" s="67" t="s">
        <v>4301</v>
      </c>
      <c r="G20" s="67">
        <v>3807</v>
      </c>
      <c r="H20" s="67">
        <v>1</v>
      </c>
      <c r="I20" s="67">
        <v>41798</v>
      </c>
      <c r="J20" s="68">
        <v>65021</v>
      </c>
      <c r="K20" s="67"/>
      <c r="L20" s="67"/>
    </row>
    <row r="21" spans="1:12" ht="14.7" x14ac:dyDescent="0.35">
      <c r="A21" s="25" t="s">
        <v>4201</v>
      </c>
      <c r="B21" s="7" t="s">
        <v>11</v>
      </c>
      <c r="C21" s="7" t="s">
        <v>1507</v>
      </c>
      <c r="D21" s="7" t="s">
        <v>4202</v>
      </c>
      <c r="E21" s="7" t="s">
        <v>4203</v>
      </c>
      <c r="F21" s="7" t="s">
        <v>4204</v>
      </c>
      <c r="G21" s="7"/>
      <c r="H21" s="7">
        <v>1</v>
      </c>
      <c r="I21" s="7"/>
      <c r="J21" s="34">
        <v>65110</v>
      </c>
      <c r="K21" s="7"/>
      <c r="L21" s="7"/>
    </row>
    <row r="22" spans="1:12" ht="14.7" x14ac:dyDescent="0.35">
      <c r="A22" s="22" t="s">
        <v>4639</v>
      </c>
      <c r="B22" s="16" t="s">
        <v>34</v>
      </c>
      <c r="C22" s="295" t="s">
        <v>6947</v>
      </c>
      <c r="D22" s="16"/>
      <c r="E22" s="16"/>
      <c r="F22" s="16" t="s">
        <v>4693</v>
      </c>
      <c r="G22" s="16">
        <v>735</v>
      </c>
      <c r="H22" s="16">
        <v>165</v>
      </c>
      <c r="I22" s="16" t="s">
        <v>1454</v>
      </c>
      <c r="J22" s="30"/>
      <c r="K22" s="16" t="s">
        <v>1573</v>
      </c>
      <c r="L22" s="16"/>
    </row>
    <row r="23" spans="1:12" ht="14.7" x14ac:dyDescent="0.35">
      <c r="A23" s="28" t="s">
        <v>4639</v>
      </c>
      <c r="B23" s="9" t="s">
        <v>249</v>
      </c>
      <c r="C23" s="289" t="s">
        <v>6948</v>
      </c>
      <c r="D23" s="9"/>
      <c r="E23" s="9"/>
      <c r="F23" s="9" t="s">
        <v>4694</v>
      </c>
      <c r="G23" s="9">
        <v>935</v>
      </c>
      <c r="H23" s="9">
        <v>1</v>
      </c>
      <c r="I23" s="9" t="s">
        <v>1454</v>
      </c>
      <c r="J23" s="9"/>
      <c r="K23" s="9" t="s">
        <v>1573</v>
      </c>
      <c r="L23" s="9"/>
    </row>
    <row r="24" spans="1:12" ht="14.7" x14ac:dyDescent="0.35">
      <c r="A24" s="27" t="s">
        <v>3631</v>
      </c>
      <c r="B24" s="20" t="s">
        <v>597</v>
      </c>
      <c r="C24" s="20" t="s">
        <v>6914</v>
      </c>
      <c r="D24" s="20"/>
      <c r="E24" s="20"/>
      <c r="F24" s="20" t="s">
        <v>4527</v>
      </c>
      <c r="G24" s="20">
        <v>961</v>
      </c>
      <c r="H24" s="20">
        <v>3</v>
      </c>
      <c r="I24" s="20" t="s">
        <v>1454</v>
      </c>
      <c r="J24" s="36" t="s">
        <v>1454</v>
      </c>
      <c r="K24" s="20" t="s">
        <v>1573</v>
      </c>
      <c r="L24" s="20" t="s">
        <v>1974</v>
      </c>
    </row>
    <row r="25" spans="1:12" ht="14.7" x14ac:dyDescent="0.35">
      <c r="A25" s="22" t="s">
        <v>3631</v>
      </c>
      <c r="B25" s="16" t="s">
        <v>34</v>
      </c>
      <c r="C25" s="16" t="s">
        <v>6915</v>
      </c>
      <c r="D25" s="16"/>
      <c r="E25" s="16"/>
      <c r="F25" s="16" t="s">
        <v>3632</v>
      </c>
      <c r="G25" s="16">
        <v>732</v>
      </c>
      <c r="H25" s="16">
        <v>105</v>
      </c>
      <c r="I25" s="16" t="s">
        <v>1454</v>
      </c>
      <c r="J25" s="30" t="s">
        <v>1454</v>
      </c>
      <c r="K25" s="16" t="s">
        <v>1573</v>
      </c>
      <c r="L25" s="16" t="s">
        <v>1974</v>
      </c>
    </row>
    <row r="26" spans="1:12" ht="14.7" x14ac:dyDescent="0.35">
      <c r="A26" s="28" t="s">
        <v>3631</v>
      </c>
      <c r="B26" s="9" t="s">
        <v>249</v>
      </c>
      <c r="C26" s="289" t="s">
        <v>6949</v>
      </c>
      <c r="D26" s="9"/>
      <c r="E26" s="9"/>
      <c r="F26" s="9" t="s">
        <v>3633</v>
      </c>
      <c r="G26" s="9">
        <v>932</v>
      </c>
      <c r="H26" s="9">
        <v>1</v>
      </c>
      <c r="I26" s="9" t="s">
        <v>1454</v>
      </c>
      <c r="J26" s="37" t="s">
        <v>1454</v>
      </c>
      <c r="K26" s="9" t="s">
        <v>1573</v>
      </c>
      <c r="L26" s="9" t="s">
        <v>1974</v>
      </c>
    </row>
    <row r="27" spans="1:12" ht="14.7" x14ac:dyDescent="0.35">
      <c r="A27" s="154" t="s">
        <v>4726</v>
      </c>
      <c r="B27" s="154" t="s">
        <v>3781</v>
      </c>
      <c r="C27" s="297" t="s">
        <v>6950</v>
      </c>
      <c r="D27" s="154"/>
      <c r="E27" s="154"/>
      <c r="F27" s="154"/>
      <c r="G27" s="154">
        <v>999</v>
      </c>
      <c r="H27" s="154">
        <v>1</v>
      </c>
      <c r="I27" s="154" t="s">
        <v>1454</v>
      </c>
      <c r="J27" s="155" t="s">
        <v>1454</v>
      </c>
      <c r="K27" s="154" t="s">
        <v>522</v>
      </c>
      <c r="L27" s="154"/>
    </row>
    <row r="28" spans="1:12" ht="14.7" x14ac:dyDescent="0.35">
      <c r="A28" s="22" t="s">
        <v>4302</v>
      </c>
      <c r="B28" s="16" t="s">
        <v>34</v>
      </c>
      <c r="C28" s="16" t="s">
        <v>6718</v>
      </c>
      <c r="D28" s="16"/>
      <c r="E28" s="16"/>
      <c r="F28" s="16" t="s">
        <v>4304</v>
      </c>
      <c r="G28" s="16">
        <v>733</v>
      </c>
      <c r="H28" s="16">
        <v>60</v>
      </c>
      <c r="I28" s="16" t="s">
        <v>1454</v>
      </c>
      <c r="J28" s="30" t="s">
        <v>1454</v>
      </c>
      <c r="K28" s="16" t="s">
        <v>1573</v>
      </c>
      <c r="L28" s="16" t="s">
        <v>1974</v>
      </c>
    </row>
    <row r="29" spans="1:12" ht="14.7" x14ac:dyDescent="0.35">
      <c r="A29" s="28" t="s">
        <v>4302</v>
      </c>
      <c r="B29" s="9" t="s">
        <v>249</v>
      </c>
      <c r="C29" s="289" t="s">
        <v>6951</v>
      </c>
      <c r="D29" s="9"/>
      <c r="E29" s="9"/>
      <c r="F29" s="9" t="s">
        <v>4303</v>
      </c>
      <c r="G29" s="9">
        <v>933</v>
      </c>
      <c r="H29" s="9">
        <v>1</v>
      </c>
      <c r="I29" s="9" t="s">
        <v>1454</v>
      </c>
      <c r="J29" s="37" t="s">
        <v>1454</v>
      </c>
      <c r="K29" s="9" t="s">
        <v>1573</v>
      </c>
      <c r="L29" s="9" t="s">
        <v>1974</v>
      </c>
    </row>
    <row r="30" spans="1:12" ht="14.7" x14ac:dyDescent="0.35">
      <c r="A30" s="154" t="s">
        <v>4727</v>
      </c>
      <c r="B30" s="154" t="s">
        <v>3781</v>
      </c>
      <c r="C30" s="297" t="s">
        <v>6952</v>
      </c>
      <c r="D30" s="154"/>
      <c r="E30" s="154"/>
      <c r="F30" s="154"/>
      <c r="G30" s="154">
        <v>999</v>
      </c>
      <c r="H30" s="154">
        <v>1</v>
      </c>
      <c r="I30" s="154" t="s">
        <v>1454</v>
      </c>
      <c r="J30" s="155" t="s">
        <v>1454</v>
      </c>
      <c r="K30" s="154" t="s">
        <v>522</v>
      </c>
      <c r="L30" s="154"/>
    </row>
    <row r="31" spans="1:12" x14ac:dyDescent="0.3">
      <c r="A31" s="16" t="s">
        <v>4640</v>
      </c>
      <c r="B31" s="16" t="s">
        <v>34</v>
      </c>
      <c r="C31" s="16" t="s">
        <v>6719</v>
      </c>
      <c r="D31" s="16"/>
      <c r="E31" s="16"/>
      <c r="F31" s="16" t="s">
        <v>4661</v>
      </c>
      <c r="G31" s="16">
        <v>734</v>
      </c>
      <c r="H31" s="16">
        <v>100</v>
      </c>
      <c r="I31" s="16" t="s">
        <v>1454</v>
      </c>
      <c r="J31" s="16" t="s">
        <v>1454</v>
      </c>
      <c r="K31" s="16" t="s">
        <v>1573</v>
      </c>
      <c r="L31" s="16"/>
    </row>
    <row r="32" spans="1:12" ht="14.7" x14ac:dyDescent="0.35">
      <c r="A32" s="9" t="s">
        <v>4640</v>
      </c>
      <c r="B32" s="9" t="s">
        <v>249</v>
      </c>
      <c r="C32" s="289" t="s">
        <v>6953</v>
      </c>
      <c r="D32" s="9"/>
      <c r="E32" s="9"/>
      <c r="F32" s="9" t="s">
        <v>4662</v>
      </c>
      <c r="G32" s="9">
        <v>934</v>
      </c>
      <c r="H32" s="9">
        <v>1</v>
      </c>
      <c r="I32" s="9" t="s">
        <v>1454</v>
      </c>
      <c r="J32" s="9" t="s">
        <v>1454</v>
      </c>
      <c r="K32" s="9" t="s">
        <v>1573</v>
      </c>
      <c r="L32" s="9"/>
    </row>
    <row r="33" spans="1:12" ht="14.7" x14ac:dyDescent="0.35">
      <c r="A33" s="46" t="s">
        <v>3912</v>
      </c>
      <c r="B33" s="46" t="s">
        <v>1134</v>
      </c>
      <c r="C33" s="49" t="s">
        <v>1507</v>
      </c>
      <c r="D33" s="46"/>
      <c r="E33" s="46"/>
      <c r="F33" s="46"/>
      <c r="G33" s="46">
        <v>2570</v>
      </c>
      <c r="H33" s="46">
        <v>10</v>
      </c>
      <c r="I33" s="46" t="s">
        <v>1454</v>
      </c>
      <c r="J33" s="46" t="s">
        <v>1454</v>
      </c>
      <c r="K33" s="46" t="s">
        <v>428</v>
      </c>
      <c r="L33" s="46" t="s">
        <v>1974</v>
      </c>
    </row>
    <row r="34" spans="1:12" ht="14.7" x14ac:dyDescent="0.35">
      <c r="A34" s="20" t="s">
        <v>2545</v>
      </c>
      <c r="B34" s="20" t="s">
        <v>597</v>
      </c>
      <c r="C34" s="20">
        <v>1457</v>
      </c>
      <c r="D34" s="20"/>
      <c r="E34" s="20"/>
      <c r="F34" s="20" t="s">
        <v>2549</v>
      </c>
      <c r="G34" s="20">
        <v>912</v>
      </c>
      <c r="H34" s="20">
        <v>8</v>
      </c>
      <c r="I34" s="20" t="s">
        <v>1454</v>
      </c>
      <c r="J34" s="20" t="s">
        <v>1454</v>
      </c>
      <c r="K34" s="20" t="s">
        <v>433</v>
      </c>
      <c r="L34" s="20" t="s">
        <v>1974</v>
      </c>
    </row>
    <row r="35" spans="1:12" ht="14.7" x14ac:dyDescent="0.35">
      <c r="A35" s="16" t="s">
        <v>2545</v>
      </c>
      <c r="B35" s="16" t="s">
        <v>34</v>
      </c>
      <c r="C35" s="16" t="s">
        <v>6720</v>
      </c>
      <c r="D35" s="16"/>
      <c r="E35" s="16"/>
      <c r="F35" s="16" t="s">
        <v>2548</v>
      </c>
      <c r="G35" s="16">
        <v>732</v>
      </c>
      <c r="H35" s="16">
        <v>98</v>
      </c>
      <c r="I35" s="16" t="s">
        <v>1454</v>
      </c>
      <c r="J35" s="16" t="s">
        <v>1454</v>
      </c>
      <c r="K35" s="16" t="s">
        <v>433</v>
      </c>
      <c r="L35" s="16" t="s">
        <v>1974</v>
      </c>
    </row>
    <row r="36" spans="1:12" x14ac:dyDescent="0.3">
      <c r="A36" s="9" t="s">
        <v>4761</v>
      </c>
      <c r="B36" s="9" t="s">
        <v>249</v>
      </c>
      <c r="C36" s="9" t="s">
        <v>2992</v>
      </c>
      <c r="D36" s="9"/>
      <c r="E36" s="9"/>
      <c r="F36" s="9" t="s">
        <v>2547</v>
      </c>
      <c r="G36" s="9">
        <v>2970</v>
      </c>
      <c r="H36" s="9">
        <v>1</v>
      </c>
      <c r="I36" s="9" t="s">
        <v>1454</v>
      </c>
      <c r="J36" s="9" t="s">
        <v>1454</v>
      </c>
      <c r="K36" s="9" t="s">
        <v>433</v>
      </c>
      <c r="L36" s="9" t="s">
        <v>1974</v>
      </c>
    </row>
    <row r="37" spans="1:12" x14ac:dyDescent="0.3">
      <c r="A37" s="7" t="s">
        <v>4761</v>
      </c>
      <c r="B37" s="107" t="s">
        <v>11</v>
      </c>
      <c r="C37" s="107" t="s">
        <v>2993</v>
      </c>
      <c r="D37" s="107"/>
      <c r="E37" s="107"/>
      <c r="F37" s="107" t="s">
        <v>2546</v>
      </c>
      <c r="G37" s="107">
        <v>2770</v>
      </c>
      <c r="H37" s="107">
        <v>380</v>
      </c>
      <c r="I37" s="107" t="s">
        <v>1454</v>
      </c>
      <c r="J37" s="107" t="s">
        <v>1454</v>
      </c>
      <c r="K37" s="107" t="s">
        <v>433</v>
      </c>
      <c r="L37" s="107" t="s">
        <v>1974</v>
      </c>
    </row>
    <row r="38" spans="1:12" x14ac:dyDescent="0.3">
      <c r="A38" s="9" t="s">
        <v>408</v>
      </c>
      <c r="B38" s="9" t="s">
        <v>249</v>
      </c>
      <c r="C38" s="289" t="s">
        <v>6954</v>
      </c>
      <c r="D38" s="9" t="s">
        <v>2271</v>
      </c>
      <c r="E38" s="9" t="s">
        <v>2272</v>
      </c>
      <c r="F38" s="9" t="s">
        <v>2273</v>
      </c>
      <c r="G38" s="9">
        <v>3803</v>
      </c>
      <c r="H38" s="9">
        <v>1</v>
      </c>
      <c r="I38" s="9">
        <v>65200</v>
      </c>
      <c r="J38" s="9">
        <v>29355</v>
      </c>
      <c r="K38" s="9"/>
      <c r="L38" s="9" t="s">
        <v>1975</v>
      </c>
    </row>
    <row r="39" spans="1:12" x14ac:dyDescent="0.3">
      <c r="A39" s="173" t="s">
        <v>3131</v>
      </c>
      <c r="B39" s="20" t="s">
        <v>597</v>
      </c>
      <c r="C39" s="288" t="s">
        <v>6955</v>
      </c>
      <c r="D39" s="20"/>
      <c r="E39" s="20"/>
      <c r="F39" s="20" t="s">
        <v>3093</v>
      </c>
      <c r="G39" s="20">
        <v>961</v>
      </c>
      <c r="H39" s="20">
        <v>2</v>
      </c>
      <c r="I39" s="20" t="s">
        <v>1454</v>
      </c>
      <c r="J39" s="20" t="s">
        <v>1454</v>
      </c>
      <c r="K39" s="20" t="s">
        <v>1691</v>
      </c>
      <c r="L39" s="20" t="s">
        <v>1974</v>
      </c>
    </row>
    <row r="40" spans="1:12" x14ac:dyDescent="0.3">
      <c r="A40" s="172" t="s">
        <v>3131</v>
      </c>
      <c r="B40" s="174" t="s">
        <v>249</v>
      </c>
      <c r="C40" s="296" t="s">
        <v>6956</v>
      </c>
      <c r="D40" s="174"/>
      <c r="E40" s="174"/>
      <c r="F40" s="174" t="s">
        <v>3094</v>
      </c>
      <c r="G40" s="174">
        <v>962</v>
      </c>
      <c r="H40" s="174">
        <v>1</v>
      </c>
      <c r="I40" s="174" t="s">
        <v>1454</v>
      </c>
      <c r="J40" s="174" t="s">
        <v>1454</v>
      </c>
      <c r="K40" s="174" t="s">
        <v>1691</v>
      </c>
      <c r="L40" s="174" t="s">
        <v>1974</v>
      </c>
    </row>
    <row r="41" spans="1:12" x14ac:dyDescent="0.3">
      <c r="A41" s="167" t="s">
        <v>4155</v>
      </c>
      <c r="B41" s="167" t="s">
        <v>3825</v>
      </c>
      <c r="C41" s="302" t="s">
        <v>6957</v>
      </c>
      <c r="D41" s="167"/>
      <c r="E41" s="167"/>
      <c r="F41" s="167" t="s">
        <v>4149</v>
      </c>
      <c r="G41" s="167">
        <v>1800</v>
      </c>
      <c r="H41" s="167">
        <v>2</v>
      </c>
      <c r="I41" s="167" t="s">
        <v>1454</v>
      </c>
      <c r="J41" s="167" t="s">
        <v>1454</v>
      </c>
      <c r="K41" s="167" t="s">
        <v>428</v>
      </c>
      <c r="L41" s="167" t="s">
        <v>1974</v>
      </c>
    </row>
    <row r="42" spans="1:12" x14ac:dyDescent="0.3">
      <c r="A42" s="171" t="s">
        <v>4156</v>
      </c>
      <c r="B42" s="167" t="s">
        <v>3825</v>
      </c>
      <c r="C42" s="302" t="s">
        <v>6958</v>
      </c>
      <c r="D42" s="167"/>
      <c r="E42" s="167"/>
      <c r="F42" s="167" t="s">
        <v>4150</v>
      </c>
      <c r="G42" s="167">
        <v>2800</v>
      </c>
      <c r="H42" s="167">
        <v>17</v>
      </c>
      <c r="I42" s="167" t="s">
        <v>1454</v>
      </c>
      <c r="J42" s="167" t="s">
        <v>1454</v>
      </c>
      <c r="K42" s="167" t="s">
        <v>428</v>
      </c>
      <c r="L42" s="167" t="s">
        <v>1974</v>
      </c>
    </row>
    <row r="43" spans="1:12" x14ac:dyDescent="0.3">
      <c r="A43" s="171" t="s">
        <v>4157</v>
      </c>
      <c r="B43" s="170" t="s">
        <v>3825</v>
      </c>
      <c r="C43" s="301" t="s">
        <v>6959</v>
      </c>
      <c r="D43" s="170"/>
      <c r="E43" s="170"/>
      <c r="F43" s="170" t="s">
        <v>4151</v>
      </c>
      <c r="G43" s="170">
        <v>3800</v>
      </c>
      <c r="H43" s="170">
        <v>1</v>
      </c>
      <c r="I43" s="170" t="s">
        <v>1454</v>
      </c>
      <c r="J43" s="170" t="s">
        <v>1454</v>
      </c>
      <c r="K43" s="170" t="s">
        <v>428</v>
      </c>
      <c r="L43" s="170" t="s">
        <v>1974</v>
      </c>
    </row>
    <row r="44" spans="1:12" x14ac:dyDescent="0.3">
      <c r="A44" s="20" t="s">
        <v>3245</v>
      </c>
      <c r="B44" s="176" t="s">
        <v>597</v>
      </c>
      <c r="C44" s="176" t="s">
        <v>6721</v>
      </c>
      <c r="D44" s="176"/>
      <c r="E44" s="176"/>
      <c r="F44" s="176" t="s">
        <v>3243</v>
      </c>
      <c r="G44" s="176">
        <v>960</v>
      </c>
      <c r="H44" s="176">
        <v>4</v>
      </c>
      <c r="I44" s="176" t="s">
        <v>1454</v>
      </c>
      <c r="J44" s="176" t="s">
        <v>1454</v>
      </c>
      <c r="K44" s="176" t="s">
        <v>434</v>
      </c>
      <c r="L44" s="176" t="s">
        <v>1974</v>
      </c>
    </row>
    <row r="45" spans="1:12" x14ac:dyDescent="0.3">
      <c r="A45" s="9" t="s">
        <v>3245</v>
      </c>
      <c r="B45" s="84" t="s">
        <v>249</v>
      </c>
      <c r="C45" s="291" t="s">
        <v>6960</v>
      </c>
      <c r="D45" s="84"/>
      <c r="E45" s="84"/>
      <c r="F45" s="84" t="s">
        <v>3244</v>
      </c>
      <c r="G45" s="84">
        <v>961</v>
      </c>
      <c r="H45" s="84">
        <v>1</v>
      </c>
      <c r="I45" s="84" t="s">
        <v>1454</v>
      </c>
      <c r="J45" s="84" t="s">
        <v>1454</v>
      </c>
      <c r="K45" s="84" t="s">
        <v>434</v>
      </c>
      <c r="L45" s="84" t="s">
        <v>1974</v>
      </c>
    </row>
    <row r="46" spans="1:12" x14ac:dyDescent="0.3">
      <c r="A46" s="142" t="s">
        <v>2467</v>
      </c>
      <c r="B46" s="142" t="s">
        <v>249</v>
      </c>
      <c r="C46" s="142" t="s">
        <v>1626</v>
      </c>
      <c r="D46" s="142" t="s">
        <v>2268</v>
      </c>
      <c r="E46" s="142" t="s">
        <v>2269</v>
      </c>
      <c r="F46" s="142" t="s">
        <v>2270</v>
      </c>
      <c r="G46" s="142">
        <v>505</v>
      </c>
      <c r="H46" s="142">
        <v>1</v>
      </c>
      <c r="I46" s="142">
        <v>65200</v>
      </c>
      <c r="J46" s="142">
        <v>29355</v>
      </c>
      <c r="K46" s="142"/>
      <c r="L46" s="142" t="s">
        <v>1974</v>
      </c>
    </row>
    <row r="47" spans="1:12" x14ac:dyDescent="0.3">
      <c r="A47" s="143" t="s">
        <v>1846</v>
      </c>
      <c r="B47" s="143" t="s">
        <v>34</v>
      </c>
      <c r="C47" s="143" t="s">
        <v>6477</v>
      </c>
      <c r="D47" s="143"/>
      <c r="E47" s="143"/>
      <c r="F47" s="143" t="s">
        <v>1847</v>
      </c>
      <c r="G47" s="143">
        <v>702</v>
      </c>
      <c r="H47" s="143">
        <v>155</v>
      </c>
      <c r="I47" s="143" t="s">
        <v>1454</v>
      </c>
      <c r="J47" s="143" t="s">
        <v>1454</v>
      </c>
      <c r="K47" s="143" t="s">
        <v>429</v>
      </c>
      <c r="L47" s="143" t="s">
        <v>1974</v>
      </c>
    </row>
    <row r="48" spans="1:12" x14ac:dyDescent="0.3">
      <c r="A48" s="142" t="s">
        <v>1846</v>
      </c>
      <c r="B48" s="142" t="s">
        <v>249</v>
      </c>
      <c r="C48" s="292" t="s">
        <v>6961</v>
      </c>
      <c r="D48" s="142"/>
      <c r="E48" s="142"/>
      <c r="F48" s="142" t="s">
        <v>1848</v>
      </c>
      <c r="G48" s="142">
        <v>902</v>
      </c>
      <c r="H48" s="142">
        <v>1</v>
      </c>
      <c r="I48" s="142" t="s">
        <v>1454</v>
      </c>
      <c r="J48" s="142" t="s">
        <v>1454</v>
      </c>
      <c r="K48" s="142" t="s">
        <v>429</v>
      </c>
      <c r="L48" s="142" t="s">
        <v>1974</v>
      </c>
    </row>
  </sheetData>
  <conditionalFormatting sqref="J4">
    <cfRule type="cellIs" dxfId="15" priority="20" stopIfTrue="1" operator="lessThan">
      <formula>80%</formula>
    </cfRule>
  </conditionalFormatting>
  <conditionalFormatting sqref="J6">
    <cfRule type="cellIs" dxfId="14" priority="19" stopIfTrue="1" operator="lessThan">
      <formula>80%</formula>
    </cfRule>
  </conditionalFormatting>
  <conditionalFormatting sqref="J9">
    <cfRule type="cellIs" dxfId="13" priority="18" stopIfTrue="1" operator="lessThan">
      <formula>80%</formula>
    </cfRule>
  </conditionalFormatting>
  <conditionalFormatting sqref="J11">
    <cfRule type="cellIs" dxfId="12" priority="17" stopIfTrue="1" operator="lessThan">
      <formula>80%</formula>
    </cfRule>
  </conditionalFormatting>
  <conditionalFormatting sqref="J16">
    <cfRule type="cellIs" dxfId="11" priority="13" stopIfTrue="1" operator="lessThan">
      <formula>80%</formula>
    </cfRule>
  </conditionalFormatting>
  <conditionalFormatting sqref="J20">
    <cfRule type="cellIs" dxfId="10" priority="12" stopIfTrue="1" operator="lessThan">
      <formula>80%</formula>
    </cfRule>
  </conditionalFormatting>
  <conditionalFormatting sqref="J26">
    <cfRule type="cellIs" dxfId="9" priority="7" stopIfTrue="1" operator="lessThan">
      <formula>80%</formula>
    </cfRule>
  </conditionalFormatting>
  <conditionalFormatting sqref="J29">
    <cfRule type="cellIs" dxfId="8" priority="4" stopIfTrue="1" operator="lessThan">
      <formula>80%</formula>
    </cfRule>
  </conditionalFormatting>
  <hyperlinks>
    <hyperlink ref="P1" r:id="rId1"/>
  </hyperlinks>
  <pageMargins left="0.7" right="0.7" top="0.75" bottom="0.75" header="0.3" footer="0.3"/>
  <pageSetup paperSize="9" orientation="portrait"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U31"/>
  <sheetViews>
    <sheetView workbookViewId="0">
      <pane xSplit="1" ySplit="1" topLeftCell="B2" activePane="bottomRight" state="frozen"/>
      <selection activeCell="C6" sqref="C6"/>
      <selection pane="topRight" activeCell="C6" sqref="C6"/>
      <selection pane="bottomLeft" activeCell="C6" sqref="C6"/>
      <selection pane="bottomRight" activeCell="C6" sqref="C6"/>
    </sheetView>
  </sheetViews>
  <sheetFormatPr defaultRowHeight="14.4" x14ac:dyDescent="0.3"/>
  <cols>
    <col min="1" max="1" width="11.44140625" bestFit="1" customWidth="1"/>
    <col min="2" max="2" width="10.5546875" bestFit="1" customWidth="1"/>
    <col min="3" max="3" width="12" bestFit="1" customWidth="1"/>
    <col min="4" max="4" width="12.44140625" bestFit="1" customWidth="1"/>
    <col min="5" max="5" width="19" bestFit="1" customWidth="1"/>
    <col min="6" max="6" width="10.5546875" bestFit="1" customWidth="1"/>
    <col min="7" max="7" width="12.5546875" bestFit="1" customWidth="1"/>
    <col min="8" max="8" width="14.5546875" bestFit="1" customWidth="1"/>
    <col min="9" max="9" width="15.5546875" bestFit="1" customWidth="1"/>
    <col min="10" max="10" width="13" bestFit="1" customWidth="1"/>
    <col min="11" max="11" width="15.44140625" bestFit="1" customWidth="1"/>
    <col min="12" max="12" width="18.5546875" bestFit="1" customWidth="1"/>
    <col min="13" max="13" width="15.5546875" bestFit="1" customWidth="1"/>
    <col min="14" max="14" width="18.5546875" bestFit="1" customWidth="1"/>
    <col min="15" max="15" width="9.44140625" bestFit="1" customWidth="1"/>
    <col min="16" max="16" width="16.44140625" bestFit="1" customWidth="1"/>
    <col min="17" max="17" width="19" bestFit="1" customWidth="1"/>
    <col min="18" max="18" width="9" bestFit="1" customWidth="1"/>
    <col min="19" max="19" width="12.5546875" bestFit="1" customWidth="1"/>
    <col min="20" max="20" width="10.44140625" bestFit="1" customWidth="1"/>
    <col min="21" max="21" width="17.44140625" bestFit="1" customWidth="1"/>
  </cols>
  <sheetData>
    <row r="1" spans="1:21" x14ac:dyDescent="0.35">
      <c r="A1" t="s">
        <v>994</v>
      </c>
      <c r="B1" t="s">
        <v>886</v>
      </c>
      <c r="C1" t="s">
        <v>887</v>
      </c>
      <c r="D1" t="s">
        <v>895</v>
      </c>
      <c r="E1" t="s">
        <v>904</v>
      </c>
      <c r="F1" t="s">
        <v>914</v>
      </c>
      <c r="G1" t="s">
        <v>916</v>
      </c>
      <c r="H1" t="s">
        <v>917</v>
      </c>
      <c r="I1" t="s">
        <v>921</v>
      </c>
      <c r="J1" t="s">
        <v>925</v>
      </c>
      <c r="K1" t="s">
        <v>928</v>
      </c>
      <c r="L1" t="s">
        <v>938</v>
      </c>
      <c r="M1" t="s">
        <v>960</v>
      </c>
      <c r="N1" t="s">
        <v>965</v>
      </c>
      <c r="O1" t="s">
        <v>966</v>
      </c>
      <c r="P1" t="s">
        <v>967</v>
      </c>
      <c r="Q1" t="s">
        <v>978</v>
      </c>
      <c r="R1" t="s">
        <v>989</v>
      </c>
      <c r="S1" t="s">
        <v>996</v>
      </c>
      <c r="T1" t="s">
        <v>992</v>
      </c>
      <c r="U1" t="s">
        <v>997</v>
      </c>
    </row>
    <row r="2" spans="1:21" x14ac:dyDescent="0.35">
      <c r="A2">
        <v>1</v>
      </c>
      <c r="B2" t="s">
        <v>767</v>
      </c>
      <c r="C2" t="s">
        <v>767</v>
      </c>
      <c r="D2" t="s">
        <v>767</v>
      </c>
      <c r="E2" t="s">
        <v>767</v>
      </c>
      <c r="F2" t="s">
        <v>767</v>
      </c>
      <c r="G2" t="s">
        <v>767</v>
      </c>
      <c r="H2" t="s">
        <v>767</v>
      </c>
      <c r="I2" t="s">
        <v>767</v>
      </c>
      <c r="J2" t="s">
        <v>767</v>
      </c>
      <c r="K2" t="s">
        <v>767</v>
      </c>
      <c r="L2" t="s">
        <v>767</v>
      </c>
      <c r="M2" t="s">
        <v>767</v>
      </c>
      <c r="N2" t="s">
        <v>767</v>
      </c>
      <c r="O2" t="s">
        <v>767</v>
      </c>
      <c r="P2" t="s">
        <v>767</v>
      </c>
      <c r="Q2" t="s">
        <v>767</v>
      </c>
      <c r="R2" t="s">
        <v>767</v>
      </c>
      <c r="S2" t="s">
        <v>4</v>
      </c>
      <c r="T2" t="s">
        <v>767</v>
      </c>
      <c r="U2" t="s">
        <v>998</v>
      </c>
    </row>
    <row r="3" spans="1:21" x14ac:dyDescent="0.35">
      <c r="A3">
        <v>2</v>
      </c>
      <c r="B3" t="s">
        <v>4</v>
      </c>
      <c r="C3" t="s">
        <v>4</v>
      </c>
      <c r="D3" t="s">
        <v>4</v>
      </c>
      <c r="E3" t="s">
        <v>4</v>
      </c>
      <c r="F3" t="s">
        <v>4</v>
      </c>
      <c r="G3" t="s">
        <v>4</v>
      </c>
      <c r="H3" t="s">
        <v>4</v>
      </c>
      <c r="I3" t="s">
        <v>4</v>
      </c>
      <c r="J3" t="s">
        <v>4</v>
      </c>
      <c r="K3" t="s">
        <v>4</v>
      </c>
      <c r="L3" t="s">
        <v>4</v>
      </c>
      <c r="M3" t="s">
        <v>4</v>
      </c>
      <c r="N3" t="s">
        <v>4</v>
      </c>
      <c r="O3" t="s">
        <v>4</v>
      </c>
      <c r="P3" t="s">
        <v>4</v>
      </c>
      <c r="Q3" t="s">
        <v>4</v>
      </c>
      <c r="R3" t="s">
        <v>4</v>
      </c>
      <c r="S3" t="s">
        <v>767</v>
      </c>
      <c r="T3" t="s">
        <v>4</v>
      </c>
      <c r="U3" t="s">
        <v>999</v>
      </c>
    </row>
    <row r="4" spans="1:21" x14ac:dyDescent="0.35">
      <c r="A4">
        <v>3</v>
      </c>
      <c r="B4" t="s">
        <v>879</v>
      </c>
      <c r="C4" t="s">
        <v>11</v>
      </c>
      <c r="D4" t="s">
        <v>11</v>
      </c>
      <c r="E4" t="s">
        <v>11</v>
      </c>
      <c r="F4" t="s">
        <v>11</v>
      </c>
      <c r="G4" t="s">
        <v>11</v>
      </c>
      <c r="H4" t="s">
        <v>11</v>
      </c>
      <c r="I4" t="s">
        <v>11</v>
      </c>
      <c r="J4" t="s">
        <v>11</v>
      </c>
      <c r="K4" t="s">
        <v>11</v>
      </c>
      <c r="L4" t="s">
        <v>11</v>
      </c>
      <c r="M4" t="s">
        <v>11</v>
      </c>
      <c r="N4" t="s">
        <v>11</v>
      </c>
      <c r="O4" t="s">
        <v>11</v>
      </c>
      <c r="P4" t="s">
        <v>11</v>
      </c>
      <c r="Q4" t="s">
        <v>11</v>
      </c>
      <c r="R4" t="s">
        <v>11</v>
      </c>
      <c r="S4" t="s">
        <v>879</v>
      </c>
      <c r="T4" t="s">
        <v>11</v>
      </c>
      <c r="U4" t="s">
        <v>1000</v>
      </c>
    </row>
    <row r="5" spans="1:21" x14ac:dyDescent="0.35">
      <c r="A5">
        <v>4</v>
      </c>
      <c r="B5" t="s">
        <v>35</v>
      </c>
      <c r="C5" t="s">
        <v>879</v>
      </c>
      <c r="D5" t="s">
        <v>879</v>
      </c>
      <c r="E5" t="s">
        <v>879</v>
      </c>
      <c r="F5" t="s">
        <v>879</v>
      </c>
      <c r="G5" t="s">
        <v>879</v>
      </c>
      <c r="H5" t="s">
        <v>879</v>
      </c>
      <c r="I5" t="s">
        <v>879</v>
      </c>
      <c r="J5" t="s">
        <v>879</v>
      </c>
      <c r="K5" t="s">
        <v>879</v>
      </c>
      <c r="L5" t="s">
        <v>879</v>
      </c>
      <c r="M5" t="s">
        <v>879</v>
      </c>
      <c r="N5" t="s">
        <v>888</v>
      </c>
      <c r="O5" t="s">
        <v>879</v>
      </c>
      <c r="P5" t="s">
        <v>879</v>
      </c>
      <c r="Q5" t="s">
        <v>879</v>
      </c>
      <c r="R5" t="s">
        <v>879</v>
      </c>
      <c r="S5" t="s">
        <v>11</v>
      </c>
      <c r="T5" t="s">
        <v>35</v>
      </c>
      <c r="U5" t="s">
        <v>1001</v>
      </c>
    </row>
    <row r="6" spans="1:21" x14ac:dyDescent="0.35">
      <c r="A6">
        <v>5</v>
      </c>
      <c r="B6" t="s">
        <v>880</v>
      </c>
      <c r="C6" t="s">
        <v>35</v>
      </c>
      <c r="D6" t="s">
        <v>597</v>
      </c>
      <c r="E6" t="s">
        <v>597</v>
      </c>
      <c r="F6" t="s">
        <v>35</v>
      </c>
      <c r="G6" t="s">
        <v>35</v>
      </c>
      <c r="H6" t="s">
        <v>35</v>
      </c>
      <c r="I6" t="s">
        <v>35</v>
      </c>
      <c r="J6" t="s">
        <v>35</v>
      </c>
      <c r="K6" t="s">
        <v>35</v>
      </c>
      <c r="L6" t="s">
        <v>597</v>
      </c>
      <c r="M6" t="s">
        <v>597</v>
      </c>
      <c r="N6" t="s">
        <v>889</v>
      </c>
      <c r="O6" t="s">
        <v>888</v>
      </c>
      <c r="P6" t="s">
        <v>35</v>
      </c>
      <c r="Q6" t="s">
        <v>35</v>
      </c>
      <c r="R6" t="s">
        <v>35</v>
      </c>
      <c r="S6" t="s">
        <v>35</v>
      </c>
      <c r="T6" t="s">
        <v>888</v>
      </c>
      <c r="U6" t="s">
        <v>1002</v>
      </c>
    </row>
    <row r="7" spans="1:21" x14ac:dyDescent="0.35">
      <c r="A7">
        <v>6</v>
      </c>
      <c r="B7" t="s">
        <v>881</v>
      </c>
      <c r="C7" t="s">
        <v>888</v>
      </c>
      <c r="D7" t="s">
        <v>35</v>
      </c>
      <c r="E7" t="s">
        <v>35</v>
      </c>
      <c r="F7" t="s">
        <v>888</v>
      </c>
      <c r="G7" t="s">
        <v>888</v>
      </c>
      <c r="H7" t="s">
        <v>888</v>
      </c>
      <c r="I7" t="s">
        <v>888</v>
      </c>
      <c r="J7" t="s">
        <v>888</v>
      </c>
      <c r="K7" t="s">
        <v>888</v>
      </c>
      <c r="L7" t="s">
        <v>35</v>
      </c>
      <c r="M7" t="s">
        <v>35</v>
      </c>
      <c r="N7" t="s">
        <v>35</v>
      </c>
      <c r="O7" t="s">
        <v>889</v>
      </c>
      <c r="P7" t="s">
        <v>888</v>
      </c>
      <c r="Q7" t="s">
        <v>979</v>
      </c>
      <c r="R7" t="s">
        <v>990</v>
      </c>
      <c r="T7" t="s">
        <v>889</v>
      </c>
      <c r="U7" t="s">
        <v>1003</v>
      </c>
    </row>
    <row r="8" spans="1:21" x14ac:dyDescent="0.35">
      <c r="A8">
        <v>7</v>
      </c>
      <c r="B8" t="s">
        <v>882</v>
      </c>
      <c r="C8" t="s">
        <v>889</v>
      </c>
      <c r="D8" t="s">
        <v>767</v>
      </c>
      <c r="E8" t="s">
        <v>888</v>
      </c>
      <c r="F8" t="s">
        <v>889</v>
      </c>
      <c r="G8" t="s">
        <v>889</v>
      </c>
      <c r="H8" t="s">
        <v>889</v>
      </c>
      <c r="I8" t="s">
        <v>889</v>
      </c>
      <c r="J8" t="s">
        <v>889</v>
      </c>
      <c r="K8" t="s">
        <v>889</v>
      </c>
      <c r="L8" t="s">
        <v>888</v>
      </c>
      <c r="M8" t="s">
        <v>888</v>
      </c>
      <c r="O8" t="s">
        <v>896</v>
      </c>
      <c r="P8" t="s">
        <v>889</v>
      </c>
      <c r="Q8" t="s">
        <v>980</v>
      </c>
      <c r="R8" t="s">
        <v>991</v>
      </c>
      <c r="T8" t="s">
        <v>896</v>
      </c>
      <c r="U8" t="s">
        <v>1004</v>
      </c>
    </row>
    <row r="9" spans="1:21" x14ac:dyDescent="0.35">
      <c r="A9">
        <v>8</v>
      </c>
      <c r="B9" t="s">
        <v>883</v>
      </c>
      <c r="C9" t="s">
        <v>890</v>
      </c>
      <c r="D9" t="s">
        <v>4</v>
      </c>
      <c r="E9" t="s">
        <v>889</v>
      </c>
      <c r="F9" t="s">
        <v>896</v>
      </c>
      <c r="H9" t="s">
        <v>918</v>
      </c>
      <c r="I9" t="s">
        <v>922</v>
      </c>
      <c r="J9" t="s">
        <v>896</v>
      </c>
      <c r="K9" t="s">
        <v>929</v>
      </c>
      <c r="L9" t="s">
        <v>889</v>
      </c>
      <c r="M9" t="s">
        <v>889</v>
      </c>
      <c r="P9" t="s">
        <v>968</v>
      </c>
      <c r="Q9" t="s">
        <v>981</v>
      </c>
      <c r="T9" t="s">
        <v>993</v>
      </c>
      <c r="U9" t="s">
        <v>1005</v>
      </c>
    </row>
    <row r="10" spans="1:21" x14ac:dyDescent="0.35">
      <c r="A10">
        <v>9</v>
      </c>
      <c r="B10" t="s">
        <v>884</v>
      </c>
      <c r="C10" t="s">
        <v>891</v>
      </c>
      <c r="D10" t="s">
        <v>888</v>
      </c>
      <c r="E10" t="s">
        <v>896</v>
      </c>
      <c r="F10" t="s">
        <v>915</v>
      </c>
      <c r="H10" t="s">
        <v>920</v>
      </c>
      <c r="I10" t="s">
        <v>923</v>
      </c>
      <c r="J10" t="s">
        <v>926</v>
      </c>
      <c r="K10" t="s">
        <v>930</v>
      </c>
      <c r="L10" t="s">
        <v>939</v>
      </c>
      <c r="M10" t="s">
        <v>896</v>
      </c>
      <c r="P10" t="s">
        <v>969</v>
      </c>
      <c r="Q10" t="s">
        <v>982</v>
      </c>
      <c r="U10" t="s">
        <v>1006</v>
      </c>
    </row>
    <row r="11" spans="1:21" x14ac:dyDescent="0.35">
      <c r="A11">
        <v>10</v>
      </c>
      <c r="B11" t="s">
        <v>885</v>
      </c>
      <c r="C11" t="s">
        <v>892</v>
      </c>
      <c r="D11" t="s">
        <v>896</v>
      </c>
      <c r="E11" t="s">
        <v>905</v>
      </c>
      <c r="H11" t="s">
        <v>919</v>
      </c>
      <c r="I11" t="s">
        <v>924</v>
      </c>
      <c r="J11" t="s">
        <v>927</v>
      </c>
      <c r="K11" t="s">
        <v>931</v>
      </c>
      <c r="L11" t="s">
        <v>940</v>
      </c>
      <c r="M11" t="s">
        <v>961</v>
      </c>
      <c r="P11" t="s">
        <v>896</v>
      </c>
      <c r="Q11" t="s">
        <v>983</v>
      </c>
      <c r="U11" t="s">
        <v>1007</v>
      </c>
    </row>
    <row r="12" spans="1:21" x14ac:dyDescent="0.35">
      <c r="A12">
        <v>11</v>
      </c>
      <c r="C12" t="s">
        <v>893</v>
      </c>
      <c r="D12" t="s">
        <v>897</v>
      </c>
      <c r="E12" t="s">
        <v>912</v>
      </c>
      <c r="K12" t="s">
        <v>932</v>
      </c>
      <c r="L12" t="s">
        <v>942</v>
      </c>
      <c r="M12" t="s">
        <v>962</v>
      </c>
      <c r="P12" t="s">
        <v>970</v>
      </c>
      <c r="Q12" t="s">
        <v>984</v>
      </c>
      <c r="U12" t="s">
        <v>1008</v>
      </c>
    </row>
    <row r="13" spans="1:21" x14ac:dyDescent="0.35">
      <c r="A13">
        <v>12</v>
      </c>
      <c r="C13" t="s">
        <v>894</v>
      </c>
      <c r="D13" t="s">
        <v>898</v>
      </c>
      <c r="E13" t="s">
        <v>913</v>
      </c>
      <c r="K13" t="s">
        <v>933</v>
      </c>
      <c r="L13" t="s">
        <v>944</v>
      </c>
      <c r="M13" t="s">
        <v>963</v>
      </c>
      <c r="P13" t="s">
        <v>971</v>
      </c>
      <c r="Q13" t="s">
        <v>985</v>
      </c>
      <c r="U13" t="s">
        <v>1009</v>
      </c>
    </row>
    <row r="14" spans="1:21" x14ac:dyDescent="0.35">
      <c r="A14">
        <v>13</v>
      </c>
      <c r="D14" t="s">
        <v>899</v>
      </c>
      <c r="E14" t="s">
        <v>906</v>
      </c>
      <c r="K14" t="s">
        <v>934</v>
      </c>
      <c r="L14" t="s">
        <v>945</v>
      </c>
      <c r="M14" t="s">
        <v>964</v>
      </c>
      <c r="P14" t="s">
        <v>972</v>
      </c>
      <c r="Q14" t="s">
        <v>986</v>
      </c>
    </row>
    <row r="15" spans="1:21" x14ac:dyDescent="0.35">
      <c r="A15">
        <v>14</v>
      </c>
      <c r="D15" t="s">
        <v>900</v>
      </c>
      <c r="E15" t="s">
        <v>907</v>
      </c>
      <c r="K15" t="s">
        <v>935</v>
      </c>
      <c r="L15" t="s">
        <v>946</v>
      </c>
      <c r="P15" t="s">
        <v>973</v>
      </c>
      <c r="Q15" t="s">
        <v>987</v>
      </c>
    </row>
    <row r="16" spans="1:21" x14ac:dyDescent="0.35">
      <c r="A16">
        <v>15</v>
      </c>
      <c r="D16" t="s">
        <v>901</v>
      </c>
      <c r="E16" t="s">
        <v>908</v>
      </c>
      <c r="K16" t="s">
        <v>936</v>
      </c>
      <c r="L16" t="s">
        <v>947</v>
      </c>
      <c r="P16" t="s">
        <v>974</v>
      </c>
      <c r="Q16" t="s">
        <v>988</v>
      </c>
    </row>
    <row r="17" spans="1:16" ht="14.7" x14ac:dyDescent="0.35">
      <c r="A17">
        <v>16</v>
      </c>
      <c r="D17" t="s">
        <v>902</v>
      </c>
      <c r="E17" t="s">
        <v>909</v>
      </c>
      <c r="K17" t="s">
        <v>937</v>
      </c>
      <c r="L17" t="s">
        <v>948</v>
      </c>
      <c r="P17" t="s">
        <v>975</v>
      </c>
    </row>
    <row r="18" spans="1:16" ht="14.7" x14ac:dyDescent="0.35">
      <c r="A18">
        <v>17</v>
      </c>
      <c r="D18" t="s">
        <v>903</v>
      </c>
      <c r="E18" t="s">
        <v>910</v>
      </c>
      <c r="L18" t="s">
        <v>949</v>
      </c>
      <c r="P18" t="s">
        <v>976</v>
      </c>
    </row>
    <row r="19" spans="1:16" ht="14.7" x14ac:dyDescent="0.35">
      <c r="A19">
        <v>18</v>
      </c>
      <c r="E19" t="s">
        <v>911</v>
      </c>
      <c r="L19" t="s">
        <v>950</v>
      </c>
      <c r="P19" t="s">
        <v>977</v>
      </c>
    </row>
    <row r="20" spans="1:16" ht="14.7" x14ac:dyDescent="0.35">
      <c r="A20">
        <v>19</v>
      </c>
      <c r="L20" t="s">
        <v>951</v>
      </c>
    </row>
    <row r="21" spans="1:16" ht="14.7" x14ac:dyDescent="0.35">
      <c r="A21">
        <v>20</v>
      </c>
      <c r="L21" t="s">
        <v>952</v>
      </c>
    </row>
    <row r="22" spans="1:16" ht="14.7" x14ac:dyDescent="0.35">
      <c r="A22">
        <v>21</v>
      </c>
      <c r="L22" t="s">
        <v>941</v>
      </c>
    </row>
    <row r="23" spans="1:16" ht="14.7" x14ac:dyDescent="0.35">
      <c r="A23">
        <v>22</v>
      </c>
      <c r="L23" t="s">
        <v>943</v>
      </c>
    </row>
    <row r="24" spans="1:16" ht="14.7" x14ac:dyDescent="0.35">
      <c r="A24">
        <v>23</v>
      </c>
      <c r="L24" t="s">
        <v>953</v>
      </c>
    </row>
    <row r="25" spans="1:16" ht="14.7" x14ac:dyDescent="0.35">
      <c r="A25">
        <v>24</v>
      </c>
      <c r="L25" t="s">
        <v>954</v>
      </c>
    </row>
    <row r="26" spans="1:16" ht="14.7" x14ac:dyDescent="0.35">
      <c r="A26">
        <v>25</v>
      </c>
      <c r="L26" t="s">
        <v>955</v>
      </c>
    </row>
    <row r="27" spans="1:16" ht="14.7" x14ac:dyDescent="0.35">
      <c r="A27">
        <v>26</v>
      </c>
      <c r="L27" t="s">
        <v>956</v>
      </c>
    </row>
    <row r="28" spans="1:16" ht="14.7" x14ac:dyDescent="0.35">
      <c r="A28">
        <v>27</v>
      </c>
      <c r="L28" t="s">
        <v>957</v>
      </c>
    </row>
    <row r="29" spans="1:16" ht="14.7" x14ac:dyDescent="0.35">
      <c r="A29">
        <v>28</v>
      </c>
      <c r="L29" t="s">
        <v>958</v>
      </c>
    </row>
    <row r="30" spans="1:16" ht="14.7" x14ac:dyDescent="0.35">
      <c r="A30">
        <v>29</v>
      </c>
      <c r="L30" t="s">
        <v>959</v>
      </c>
    </row>
    <row r="31" spans="1:16" ht="14.7" x14ac:dyDescent="0.35">
      <c r="A31">
        <v>30</v>
      </c>
      <c r="L31" t="s">
        <v>995</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C294"/>
  <sheetViews>
    <sheetView workbookViewId="0">
      <selection activeCell="C6" sqref="C6"/>
    </sheetView>
  </sheetViews>
  <sheetFormatPr defaultRowHeight="14.4" x14ac:dyDescent="0.3"/>
  <cols>
    <col min="1" max="1" width="20.5546875" style="104" bestFit="1" customWidth="1"/>
    <col min="2" max="2" width="9.5546875" bestFit="1" customWidth="1"/>
    <col min="3" max="3" width="7.6640625" style="100" bestFit="1" customWidth="1"/>
  </cols>
  <sheetData>
    <row r="1" spans="1:3" s="104" customFormat="1" ht="14.7" x14ac:dyDescent="0.35">
      <c r="A1" s="103" t="s">
        <v>140</v>
      </c>
      <c r="B1" s="103" t="s">
        <v>2374</v>
      </c>
      <c r="C1" s="105" t="s">
        <v>2375</v>
      </c>
    </row>
    <row r="2" spans="1:3" ht="14.7" x14ac:dyDescent="0.35">
      <c r="A2" s="103" t="str">
        <f>VPN!A123</f>
        <v>Astana CE1</v>
      </c>
      <c r="B2" s="101" t="e">
        <f>VPN!#REF!</f>
        <v>#REF!</v>
      </c>
      <c r="C2" s="102" t="e">
        <f>VPN!#REF!</f>
        <v>#REF!</v>
      </c>
    </row>
    <row r="3" spans="1:3" ht="14.7" x14ac:dyDescent="0.35">
      <c r="A3" s="103" t="str">
        <f>VPN!A395</f>
        <v>Shymkent CE1</v>
      </c>
      <c r="B3" s="101">
        <f>VPN!P308</f>
        <v>0</v>
      </c>
      <c r="C3" s="102">
        <f>VPN!Q308</f>
        <v>0</v>
      </c>
    </row>
    <row r="4" spans="1:3" ht="14.7" x14ac:dyDescent="0.35">
      <c r="A4" s="103" t="e">
        <f>VPN!#REF!</f>
        <v>#REF!</v>
      </c>
      <c r="B4" s="101" t="e">
        <f>VPN!#REF!</f>
        <v>#REF!</v>
      </c>
      <c r="C4" s="102" t="e">
        <f>VPN!#REF!</f>
        <v>#REF!</v>
      </c>
    </row>
    <row r="5" spans="1:3" ht="14.7" x14ac:dyDescent="0.35">
      <c r="A5" s="103" t="str">
        <f>VPN!A292</f>
        <v>Oskemen CE1</v>
      </c>
      <c r="B5" s="101" t="e">
        <f>VPN!#REF!</f>
        <v>#REF!</v>
      </c>
      <c r="C5" s="102" t="e">
        <f>VPN!#REF!</f>
        <v>#REF!</v>
      </c>
    </row>
    <row r="6" spans="1:3" ht="14.7" x14ac:dyDescent="0.35">
      <c r="A6" s="103" t="str">
        <f>VPN!A22</f>
        <v>Aktobe CE1</v>
      </c>
      <c r="B6" s="101" t="e">
        <f>VPN!#REF!</f>
        <v>#REF!</v>
      </c>
      <c r="C6" s="102" t="e">
        <f>VPN!#REF!</f>
        <v>#REF!</v>
      </c>
    </row>
    <row r="7" spans="1:3" ht="14.7" x14ac:dyDescent="0.35">
      <c r="A7" s="103" t="e">
        <f>VPN!#REF!</f>
        <v>#REF!</v>
      </c>
      <c r="B7" s="101" t="e">
        <f>VPN!#REF!</f>
        <v>#REF!</v>
      </c>
      <c r="C7" s="102" t="e">
        <f>VPN!#REF!</f>
        <v>#REF!</v>
      </c>
    </row>
    <row r="8" spans="1:3" ht="14.7" x14ac:dyDescent="0.35">
      <c r="A8" s="103" t="str">
        <f>VPN!A443</f>
        <v>Taraz CE1</v>
      </c>
      <c r="B8" s="101" t="e">
        <f>VPN!#REF!</f>
        <v>#REF!</v>
      </c>
      <c r="C8" s="102" t="e">
        <f>VPN!#REF!</f>
        <v>#REF!</v>
      </c>
    </row>
    <row r="9" spans="1:3" ht="14.7" x14ac:dyDescent="0.35">
      <c r="A9" s="103" t="str">
        <f>VPN!A204</f>
        <v>Karaganda CE1</v>
      </c>
      <c r="B9" s="101">
        <f>VPN!P162</f>
        <v>0</v>
      </c>
      <c r="C9" s="102">
        <f>VPN!Q162</f>
        <v>0</v>
      </c>
    </row>
    <row r="10" spans="1:3" ht="14.7" x14ac:dyDescent="0.35">
      <c r="A10" s="103" t="str">
        <f>VPN!A168</f>
        <v>Atyrau CE1</v>
      </c>
      <c r="B10" s="101" t="e">
        <f>VPN!#REF!</f>
        <v>#REF!</v>
      </c>
      <c r="C10" s="102" t="e">
        <f>VPN!#REF!</f>
        <v>#REF!</v>
      </c>
    </row>
    <row r="11" spans="1:3" ht="14.7" x14ac:dyDescent="0.35">
      <c r="A11" s="103" t="str">
        <f>VPN!A493</f>
        <v>Uralsk CE1</v>
      </c>
      <c r="B11" s="101" t="e">
        <f>VPN!#REF!</f>
        <v>#REF!</v>
      </c>
      <c r="C11" s="102" t="e">
        <f>VPN!#REF!</f>
        <v>#REF!</v>
      </c>
    </row>
    <row r="12" spans="1:3" ht="14.7" x14ac:dyDescent="0.35">
      <c r="A12" s="103" t="str">
        <f>VPN!A347</f>
        <v>Petropavlovsk CE1</v>
      </c>
      <c r="B12" s="101" t="e">
        <f>VPN!#REF!</f>
        <v>#REF!</v>
      </c>
      <c r="C12" s="102" t="e">
        <f>VPN!#REF!</f>
        <v>#REF!</v>
      </c>
    </row>
    <row r="13" spans="1:3" ht="14.7" x14ac:dyDescent="0.35">
      <c r="A13" s="103" t="str">
        <f>VPN!A124</f>
        <v>Astana CE1</v>
      </c>
      <c r="B13" s="101" t="e">
        <f>VPN!#REF!</f>
        <v>#REF!</v>
      </c>
      <c r="C13" s="102" t="e">
        <f>VPN!#REF!</f>
        <v>#REF!</v>
      </c>
    </row>
    <row r="14" spans="1:3" ht="14.7" x14ac:dyDescent="0.35">
      <c r="A14" s="103" t="str">
        <f>VPN!A247</f>
        <v>Kostanay CE1</v>
      </c>
      <c r="B14" s="101" t="e">
        <f>VPN!#REF!</f>
        <v>#REF!</v>
      </c>
      <c r="C14" s="102" t="e">
        <f>VPN!#REF!</f>
        <v>#REF!</v>
      </c>
    </row>
    <row r="15" spans="1:3" ht="14.7" x14ac:dyDescent="0.35">
      <c r="A15" s="103" t="e">
        <f>VPN!#REF!</f>
        <v>#REF!</v>
      </c>
      <c r="B15" s="101" t="e">
        <f>VPN!#REF!</f>
        <v>#REF!</v>
      </c>
      <c r="C15" s="102" t="e">
        <f>VPN!#REF!</f>
        <v>#REF!</v>
      </c>
    </row>
    <row r="16" spans="1:3" ht="14.7" x14ac:dyDescent="0.35">
      <c r="A16" s="103" t="str">
        <f>VPN!A378</f>
        <v>Semey CE1</v>
      </c>
      <c r="B16" s="101" t="e">
        <f>VPN!#REF!</f>
        <v>#REF!</v>
      </c>
      <c r="C16" s="102" t="e">
        <f>VPN!#REF!</f>
        <v>#REF!</v>
      </c>
    </row>
    <row r="17" spans="1:3" ht="14.7" x14ac:dyDescent="0.35">
      <c r="A17" s="103" t="str">
        <f>VPN!A42</f>
        <v>Almaty CE1</v>
      </c>
      <c r="B17" s="101" t="e">
        <f>VPN!#REF!</f>
        <v>#REF!</v>
      </c>
      <c r="C17" s="102" t="e">
        <f>VPN!#REF!</f>
        <v>#REF!</v>
      </c>
    </row>
    <row r="18" spans="1:3" ht="14.7" x14ac:dyDescent="0.35">
      <c r="A18" s="103" t="str">
        <f>VPN!A2</f>
        <v>Aktau CE1</v>
      </c>
      <c r="B18" s="101" t="e">
        <f>VPN!#REF!</f>
        <v>#REF!</v>
      </c>
      <c r="C18" s="102" t="e">
        <f>VPN!#REF!</f>
        <v>#REF!</v>
      </c>
    </row>
    <row r="19" spans="1:3" ht="14.7" x14ac:dyDescent="0.35">
      <c r="A19" s="103" t="str">
        <f>VPN!A225</f>
        <v>Kokshetau CE1</v>
      </c>
      <c r="B19" s="101" t="e">
        <f>VPN!#REF!</f>
        <v>#REF!</v>
      </c>
      <c r="C19" s="102" t="e">
        <f>VPN!#REF!</f>
        <v>#REF!</v>
      </c>
    </row>
    <row r="20" spans="1:3" ht="14.7" x14ac:dyDescent="0.35">
      <c r="A20" s="103" t="str">
        <f>VPN!A396</f>
        <v>Shymkent CE1</v>
      </c>
      <c r="B20" s="101" t="e">
        <f>VPN!#REF!</f>
        <v>#REF!</v>
      </c>
      <c r="C20" s="102" t="e">
        <f>VPN!#REF!</f>
        <v>#REF!</v>
      </c>
    </row>
    <row r="21" spans="1:3" ht="14.7" x14ac:dyDescent="0.35">
      <c r="A21" s="103" t="str">
        <f>VPN!A423</f>
        <v>Taldykorgan CE1</v>
      </c>
      <c r="B21" s="101" t="e">
        <f>VPN!#REF!</f>
        <v>#REF!</v>
      </c>
      <c r="C21" s="102" t="e">
        <f>VPN!#REF!</f>
        <v>#REF!</v>
      </c>
    </row>
    <row r="22" spans="1:3" ht="14.7" x14ac:dyDescent="0.35">
      <c r="A22" s="103" t="str">
        <f>VPN!A59</f>
        <v>Almaty CE1</v>
      </c>
      <c r="B22" s="101" t="e">
        <f>VPN!#REF!</f>
        <v>#REF!</v>
      </c>
      <c r="C22" s="102" t="e">
        <f>VPN!#REF!</f>
        <v>#REF!</v>
      </c>
    </row>
    <row r="23" spans="1:3" ht="14.7" x14ac:dyDescent="0.35">
      <c r="A23" s="103" t="str">
        <f>VPN!A370</f>
        <v>Saryagash CE1</v>
      </c>
      <c r="B23" s="101" t="e">
        <f>VPN!#REF!</f>
        <v>#REF!</v>
      </c>
      <c r="C23" s="102" t="e">
        <f>VPN!#REF!</f>
        <v>#REF!</v>
      </c>
    </row>
    <row r="24" spans="1:3" ht="14.7" x14ac:dyDescent="0.35">
      <c r="A24" s="103" t="e">
        <f>VPN!#REF!</f>
        <v>#REF!</v>
      </c>
      <c r="B24" s="101" t="e">
        <f>VPN!#REF!</f>
        <v>#REF!</v>
      </c>
      <c r="C24" s="102" t="e">
        <f>VPN!#REF!</f>
        <v>#REF!</v>
      </c>
    </row>
    <row r="25" spans="1:3" ht="14.7" x14ac:dyDescent="0.35">
      <c r="A25" s="103" t="str">
        <f>VPN!A498</f>
        <v>Uralsk CE1</v>
      </c>
      <c r="B25" s="101" t="e">
        <f>VPN!#REF!</f>
        <v>#REF!</v>
      </c>
      <c r="C25" s="102" t="e">
        <f>VPN!#REF!</f>
        <v>#REF!</v>
      </c>
    </row>
    <row r="26" spans="1:3" ht="14.7" x14ac:dyDescent="0.35">
      <c r="A26" s="103" t="str">
        <f>VPN!A274</f>
        <v>Kyzylorda CE1</v>
      </c>
      <c r="B26" s="101" t="e">
        <f>VPN!#REF!</f>
        <v>#REF!</v>
      </c>
      <c r="C26" s="102" t="e">
        <f>VPN!#REF!</f>
        <v>#REF!</v>
      </c>
    </row>
    <row r="27" spans="1:3" ht="14.7" x14ac:dyDescent="0.35">
      <c r="A27" s="103" t="str">
        <f>VPN!A205</f>
        <v>Karaganda CE1</v>
      </c>
      <c r="B27" s="101" t="e">
        <f>VPN!#REF!</f>
        <v>#REF!</v>
      </c>
      <c r="C27" s="102" t="e">
        <f>VPN!#REF!</f>
        <v>#REF!</v>
      </c>
    </row>
    <row r="28" spans="1:3" ht="14.7" x14ac:dyDescent="0.35">
      <c r="A28" s="103" t="str">
        <f>VPN!A193</f>
        <v>Ekibastuz CE1</v>
      </c>
      <c r="B28" s="101" t="e">
        <f>VPN!#REF!</f>
        <v>#REF!</v>
      </c>
      <c r="C28" s="102" t="e">
        <f>VPN!#REF!</f>
        <v>#REF!</v>
      </c>
    </row>
    <row r="29" spans="1:3" ht="14.7" x14ac:dyDescent="0.35">
      <c r="A29" s="103" t="str">
        <f>VPN!A316</f>
        <v>Pavlodar CE1</v>
      </c>
      <c r="B29" s="101" t="e">
        <f>VPN!#REF!</f>
        <v>#REF!</v>
      </c>
      <c r="C29" s="102" t="e">
        <f>VPN!#REF!</f>
        <v>#REF!</v>
      </c>
    </row>
    <row r="30" spans="1:3" ht="14.7" x14ac:dyDescent="0.35">
      <c r="A30" s="103" t="str">
        <f>VPN!A500</f>
        <v>Uralsk CE1</v>
      </c>
      <c r="B30" s="101" t="e">
        <f>VPN!#REF!</f>
        <v>#REF!</v>
      </c>
      <c r="C30" s="102" t="e">
        <f>VPN!#REF!</f>
        <v>#REF!</v>
      </c>
    </row>
    <row r="31" spans="1:3" x14ac:dyDescent="0.3">
      <c r="A31" s="103" t="str">
        <f>VPN!A166</f>
        <v>Atyrau CE1</v>
      </c>
      <c r="B31" s="101">
        <f>VPN!P140</f>
        <v>0</v>
      </c>
      <c r="C31" s="102">
        <f>VPN!Q140</f>
        <v>0</v>
      </c>
    </row>
    <row r="32" spans="1:3" x14ac:dyDescent="0.3">
      <c r="A32" s="103" t="str">
        <f>VPN!A3</f>
        <v>Aktau CE1</v>
      </c>
      <c r="B32" s="101">
        <f>VPN!P3</f>
        <v>0</v>
      </c>
      <c r="C32" s="102">
        <f>VPN!Q3</f>
        <v>0</v>
      </c>
    </row>
    <row r="33" spans="1:3" x14ac:dyDescent="0.3">
      <c r="A33" s="103" t="str">
        <f>VPN!A4</f>
        <v>Aktau CE1</v>
      </c>
      <c r="B33" s="101">
        <f>VPN!P4</f>
        <v>0</v>
      </c>
      <c r="C33" s="102">
        <f>VPN!Q4</f>
        <v>0</v>
      </c>
    </row>
    <row r="34" spans="1:3" x14ac:dyDescent="0.3">
      <c r="A34" s="103" t="str">
        <f>VPN!A5</f>
        <v>Aktau CE1</v>
      </c>
      <c r="B34" s="101">
        <f>VPN!P5</f>
        <v>0</v>
      </c>
      <c r="C34" s="102">
        <f>VPN!Q5</f>
        <v>0</v>
      </c>
    </row>
    <row r="35" spans="1:3" x14ac:dyDescent="0.3">
      <c r="A35" s="103" t="str">
        <f>VPN!A6</f>
        <v>Aktau CE1</v>
      </c>
      <c r="B35" s="101">
        <f>VPN!P6</f>
        <v>0</v>
      </c>
      <c r="C35" s="102">
        <f>VPN!Q6</f>
        <v>0</v>
      </c>
    </row>
    <row r="36" spans="1:3" x14ac:dyDescent="0.3">
      <c r="A36" s="103" t="str">
        <f>VPN!A7</f>
        <v>Aktau CE1</v>
      </c>
      <c r="B36" s="101">
        <f>VPN!P7</f>
        <v>0</v>
      </c>
      <c r="C36" s="102">
        <f>VPN!Q7</f>
        <v>0</v>
      </c>
    </row>
    <row r="37" spans="1:3" x14ac:dyDescent="0.3">
      <c r="A37" s="103" t="str">
        <f>VPN!A8</f>
        <v>Aktau CE1</v>
      </c>
      <c r="B37" s="101">
        <f>VPN!P8</f>
        <v>0</v>
      </c>
      <c r="C37" s="102">
        <f>VPN!Q8</f>
        <v>0</v>
      </c>
    </row>
    <row r="38" spans="1:3" x14ac:dyDescent="0.3">
      <c r="A38" s="103" t="str">
        <f>VPN!A9</f>
        <v>Aktau CE1</v>
      </c>
      <c r="B38" s="101" t="e">
        <f>VPN!#REF!</f>
        <v>#REF!</v>
      </c>
      <c r="C38" s="102" t="e">
        <f>VPN!#REF!</f>
        <v>#REF!</v>
      </c>
    </row>
    <row r="39" spans="1:3" x14ac:dyDescent="0.3">
      <c r="A39" s="103" t="str">
        <f>VPN!A23</f>
        <v>Aktobe CE1</v>
      </c>
      <c r="B39" s="101">
        <f>VPN!P23</f>
        <v>0</v>
      </c>
      <c r="C39" s="102">
        <f>VPN!Q23</f>
        <v>0</v>
      </c>
    </row>
    <row r="40" spans="1:3" x14ac:dyDescent="0.3">
      <c r="A40" s="103" t="str">
        <f>VPN!A24</f>
        <v>Aktobe CE1</v>
      </c>
      <c r="B40" s="101">
        <f>VPN!P24</f>
        <v>0</v>
      </c>
      <c r="C40" s="102">
        <f>VPN!Q24</f>
        <v>0</v>
      </c>
    </row>
    <row r="41" spans="1:3" x14ac:dyDescent="0.3">
      <c r="A41" s="103" t="str">
        <f>VPN!A25</f>
        <v>Aktobe CE1</v>
      </c>
      <c r="B41" s="101">
        <f>VPN!P25</f>
        <v>0</v>
      </c>
      <c r="C41" s="102">
        <f>VPN!Q25</f>
        <v>0</v>
      </c>
    </row>
    <row r="42" spans="1:3" x14ac:dyDescent="0.3">
      <c r="A42" s="103" t="str">
        <f>VPN!A26</f>
        <v>Aktobe CE1</v>
      </c>
      <c r="B42" s="101">
        <f>VPN!P26</f>
        <v>0</v>
      </c>
      <c r="C42" s="102">
        <f>VPN!Q26</f>
        <v>0</v>
      </c>
    </row>
    <row r="43" spans="1:3" x14ac:dyDescent="0.3">
      <c r="A43" s="103" t="str">
        <f>VPN!A27</f>
        <v>Aktobe CE1</v>
      </c>
      <c r="B43" s="101">
        <f>VPN!P27</f>
        <v>0</v>
      </c>
      <c r="C43" s="102">
        <f>VPN!Q27</f>
        <v>0</v>
      </c>
    </row>
    <row r="44" spans="1:3" x14ac:dyDescent="0.3">
      <c r="A44" s="103" t="str">
        <f>VPN!A28</f>
        <v>Aktobe CE1</v>
      </c>
      <c r="B44" s="101">
        <f>VPN!P28</f>
        <v>0</v>
      </c>
      <c r="C44" s="102">
        <f>VPN!Q28</f>
        <v>0</v>
      </c>
    </row>
    <row r="45" spans="1:3" x14ac:dyDescent="0.3">
      <c r="A45" s="103" t="str">
        <f>VPN!A29</f>
        <v>Aktobe CE1</v>
      </c>
      <c r="B45" s="101" t="e">
        <f>VPN!#REF!</f>
        <v>#REF!</v>
      </c>
      <c r="C45" s="102" t="e">
        <f>VPN!#REF!</f>
        <v>#REF!</v>
      </c>
    </row>
    <row r="46" spans="1:3" x14ac:dyDescent="0.3">
      <c r="A46" s="103" t="str">
        <f>VPN!A43</f>
        <v>Almaty CE1</v>
      </c>
      <c r="B46" s="101">
        <f>VPN!P34</f>
        <v>0</v>
      </c>
      <c r="C46" s="102">
        <f>VPN!Q34</f>
        <v>0</v>
      </c>
    </row>
    <row r="47" spans="1:3" x14ac:dyDescent="0.3">
      <c r="A47" s="103" t="str">
        <f>VPN!A44</f>
        <v>Almaty CE1</v>
      </c>
      <c r="B47" s="101">
        <f>VPN!P35</f>
        <v>0</v>
      </c>
      <c r="C47" s="102">
        <f>VPN!Q35</f>
        <v>0</v>
      </c>
    </row>
    <row r="48" spans="1:3" x14ac:dyDescent="0.3">
      <c r="A48" s="103" t="str">
        <f>VPN!A45</f>
        <v>Almaty CE1</v>
      </c>
      <c r="B48" s="101">
        <f>VPN!P36</f>
        <v>0</v>
      </c>
      <c r="C48" s="102">
        <f>VPN!Q36</f>
        <v>0</v>
      </c>
    </row>
    <row r="49" spans="1:3" x14ac:dyDescent="0.3">
      <c r="A49" s="103" t="str">
        <f>VPN!A46</f>
        <v>Almaty CE1</v>
      </c>
      <c r="B49" s="101">
        <f>VPN!P37</f>
        <v>0</v>
      </c>
      <c r="C49" s="102">
        <f>VPN!Q37</f>
        <v>0</v>
      </c>
    </row>
    <row r="50" spans="1:3" x14ac:dyDescent="0.3">
      <c r="A50" s="103" t="str">
        <f>VPN!A47</f>
        <v>Almaty CE1</v>
      </c>
      <c r="B50" s="101">
        <f>VPN!P38</f>
        <v>0</v>
      </c>
      <c r="C50" s="102">
        <f>VPN!Q38</f>
        <v>0</v>
      </c>
    </row>
    <row r="51" spans="1:3" x14ac:dyDescent="0.3">
      <c r="A51" s="103" t="str">
        <f>VPN!A49</f>
        <v>Almaty CE1</v>
      </c>
      <c r="B51" s="101" t="e">
        <f>VPN!#REF!</f>
        <v>#REF!</v>
      </c>
      <c r="C51" s="102" t="e">
        <f>VPN!#REF!</f>
        <v>#REF!</v>
      </c>
    </row>
    <row r="52" spans="1:3" x14ac:dyDescent="0.3">
      <c r="A52" s="103" t="str">
        <f>VPN!A50</f>
        <v>Almaty CE1</v>
      </c>
      <c r="B52" s="101" t="e">
        <f>VPN!#REF!</f>
        <v>#REF!</v>
      </c>
      <c r="C52" s="102" t="e">
        <f>VPN!#REF!</f>
        <v>#REF!</v>
      </c>
    </row>
    <row r="53" spans="1:3" x14ac:dyDescent="0.3">
      <c r="A53" s="103" t="e">
        <f>VPN!#REF!</f>
        <v>#REF!</v>
      </c>
      <c r="B53" s="101" t="e">
        <f>VPN!#REF!</f>
        <v>#REF!</v>
      </c>
      <c r="C53" s="102" t="e">
        <f>VPN!#REF!</f>
        <v>#REF!</v>
      </c>
    </row>
    <row r="54" spans="1:3" x14ac:dyDescent="0.3">
      <c r="A54" s="103" t="str">
        <f>VPN!A51</f>
        <v>Almaty CE1</v>
      </c>
      <c r="B54" s="101">
        <f>VPN!P43</f>
        <v>0</v>
      </c>
      <c r="C54" s="102">
        <f>VPN!Q43</f>
        <v>0</v>
      </c>
    </row>
    <row r="55" spans="1:3" x14ac:dyDescent="0.3">
      <c r="A55" s="103" t="str">
        <f>VPN!A52</f>
        <v>Almaty CE1</v>
      </c>
      <c r="B55" s="101">
        <f>VPN!P44</f>
        <v>0</v>
      </c>
      <c r="C55" s="102">
        <f>VPN!Q44</f>
        <v>0</v>
      </c>
    </row>
    <row r="56" spans="1:3" x14ac:dyDescent="0.3">
      <c r="A56" s="103" t="str">
        <f>VPN!A53</f>
        <v>Almaty CE1</v>
      </c>
      <c r="B56" s="101" t="e">
        <f>VPN!#REF!</f>
        <v>#REF!</v>
      </c>
      <c r="C56" s="102" t="e">
        <f>VPN!#REF!</f>
        <v>#REF!</v>
      </c>
    </row>
    <row r="57" spans="1:3" x14ac:dyDescent="0.3">
      <c r="A57" s="103" t="e">
        <f>VPN!#REF!</f>
        <v>#REF!</v>
      </c>
      <c r="B57" s="101" t="e">
        <f>VPN!#REF!</f>
        <v>#REF!</v>
      </c>
      <c r="C57" s="102" t="e">
        <f>VPN!#REF!</f>
        <v>#REF!</v>
      </c>
    </row>
    <row r="58" spans="1:3" x14ac:dyDescent="0.3">
      <c r="A58" s="103" t="e">
        <f>VPN!#REF!</f>
        <v>#REF!</v>
      </c>
      <c r="B58" s="101">
        <f>VPN!P59</f>
        <v>0</v>
      </c>
      <c r="C58" s="102">
        <f>VPN!Q59</f>
        <v>0</v>
      </c>
    </row>
    <row r="59" spans="1:3" x14ac:dyDescent="0.3">
      <c r="A59" s="103" t="e">
        <f>VPN!#REF!</f>
        <v>#REF!</v>
      </c>
      <c r="B59" s="101">
        <f>VPN!P60</f>
        <v>0</v>
      </c>
      <c r="C59" s="102">
        <f>VPN!Q60</f>
        <v>0</v>
      </c>
    </row>
    <row r="60" spans="1:3" x14ac:dyDescent="0.3">
      <c r="A60" s="103" t="e">
        <f>VPN!#REF!</f>
        <v>#REF!</v>
      </c>
      <c r="B60" s="101" t="e">
        <f>VPN!#REF!</f>
        <v>#REF!</v>
      </c>
      <c r="C60" s="102" t="e">
        <f>VPN!#REF!</f>
        <v>#REF!</v>
      </c>
    </row>
    <row r="61" spans="1:3" x14ac:dyDescent="0.3">
      <c r="A61" s="103" t="str">
        <f>VPN!A99</f>
        <v>AlmatyCE3</v>
      </c>
      <c r="B61" s="101" t="e">
        <f>VPN!#REF!</f>
        <v>#REF!</v>
      </c>
      <c r="C61" s="102" t="e">
        <f>VPN!#REF!</f>
        <v>#REF!</v>
      </c>
    </row>
    <row r="62" spans="1:3" x14ac:dyDescent="0.3">
      <c r="A62" s="103" t="str">
        <f>VPN!A113</f>
        <v>Astana CE1</v>
      </c>
      <c r="B62" s="101" t="e">
        <f>VPN!#REF!</f>
        <v>#REF!</v>
      </c>
      <c r="C62" s="102" t="e">
        <f>VPN!#REF!</f>
        <v>#REF!</v>
      </c>
    </row>
    <row r="63" spans="1:3" x14ac:dyDescent="0.3">
      <c r="A63" s="103" t="str">
        <f>VPN!A114</f>
        <v>Astana CE1</v>
      </c>
      <c r="B63" s="101" t="e">
        <f>VPN!#REF!</f>
        <v>#REF!</v>
      </c>
      <c r="C63" s="102" t="e">
        <f>VPN!#REF!</f>
        <v>#REF!</v>
      </c>
    </row>
    <row r="64" spans="1:3" x14ac:dyDescent="0.3">
      <c r="A64" s="103" t="str">
        <f>VPN!A115</f>
        <v>Astana CE1</v>
      </c>
      <c r="B64" s="101" t="e">
        <f>VPN!#REF!</f>
        <v>#REF!</v>
      </c>
      <c r="C64" s="102" t="e">
        <f>VPN!#REF!</f>
        <v>#REF!</v>
      </c>
    </row>
    <row r="65" spans="1:3" x14ac:dyDescent="0.3">
      <c r="A65" s="103" t="str">
        <f>VPN!A116</f>
        <v>Astana CE1</v>
      </c>
      <c r="B65" s="101">
        <f>VPN!P100</f>
        <v>0</v>
      </c>
      <c r="C65" s="102">
        <f>VPN!Q100</f>
        <v>0</v>
      </c>
    </row>
    <row r="66" spans="1:3" x14ac:dyDescent="0.3">
      <c r="A66" s="103" t="str">
        <f>VPN!A117</f>
        <v>Astana CE1</v>
      </c>
      <c r="B66" s="101">
        <f>VPN!P101</f>
        <v>0</v>
      </c>
      <c r="C66" s="102">
        <f>VPN!Q101</f>
        <v>0</v>
      </c>
    </row>
    <row r="67" spans="1:3" x14ac:dyDescent="0.3">
      <c r="A67" s="103" t="str">
        <f>VPN!A118</f>
        <v>Astana CE1</v>
      </c>
      <c r="B67" s="101" t="e">
        <f>VPN!#REF!</f>
        <v>#REF!</v>
      </c>
      <c r="C67" s="102" t="e">
        <f>VPN!#REF!</f>
        <v>#REF!</v>
      </c>
    </row>
    <row r="68" spans="1:3" x14ac:dyDescent="0.3">
      <c r="A68" s="103" t="str">
        <f>VPN!A120</f>
        <v>Astana CE1</v>
      </c>
      <c r="B68" s="101" t="e">
        <f>VPN!#REF!</f>
        <v>#REF!</v>
      </c>
      <c r="C68" s="102" t="e">
        <f>VPN!#REF!</f>
        <v>#REF!</v>
      </c>
    </row>
    <row r="69" spans="1:3" x14ac:dyDescent="0.3">
      <c r="A69" s="103" t="str">
        <f>VPN!A121</f>
        <v>Astana CE1</v>
      </c>
      <c r="B69" s="101" t="e">
        <f>VPN!#REF!</f>
        <v>#REF!</v>
      </c>
      <c r="C69" s="102" t="e">
        <f>VPN!#REF!</f>
        <v>#REF!</v>
      </c>
    </row>
    <row r="70" spans="1:3" x14ac:dyDescent="0.3">
      <c r="A70" s="103" t="str">
        <f>VPN!A122</f>
        <v>Astana CE1</v>
      </c>
      <c r="B70" s="101" t="e">
        <f>VPN!#REF!</f>
        <v>#REF!</v>
      </c>
      <c r="C70" s="102" t="e">
        <f>VPN!#REF!</f>
        <v>#REF!</v>
      </c>
    </row>
    <row r="71" spans="1:3" x14ac:dyDescent="0.3">
      <c r="A71" s="103" t="str">
        <f>VPN!A127</f>
        <v>Astana CE1</v>
      </c>
      <c r="B71" s="101" t="e">
        <f>VPN!#REF!</f>
        <v>#REF!</v>
      </c>
      <c r="C71" s="102" t="e">
        <f>VPN!#REF!</f>
        <v>#REF!</v>
      </c>
    </row>
    <row r="72" spans="1:3" x14ac:dyDescent="0.3">
      <c r="A72" s="103" t="str">
        <f>VPN!A161</f>
        <v>Atyrau CE1</v>
      </c>
      <c r="B72" s="101" t="e">
        <f>VPN!#REF!</f>
        <v>#REF!</v>
      </c>
      <c r="C72" s="102" t="e">
        <f>VPN!#REF!</f>
        <v>#REF!</v>
      </c>
    </row>
    <row r="73" spans="1:3" x14ac:dyDescent="0.3">
      <c r="A73" s="103" t="str">
        <f>VPN!A162</f>
        <v>Atyrau CE1</v>
      </c>
      <c r="B73" s="101">
        <f>VPN!P136</f>
        <v>0</v>
      </c>
      <c r="C73" s="102">
        <f>VPN!Q136</f>
        <v>0</v>
      </c>
    </row>
    <row r="74" spans="1:3" x14ac:dyDescent="0.3">
      <c r="A74" s="103" t="str">
        <f>VPN!A163</f>
        <v>Atyrau CE1</v>
      </c>
      <c r="B74" s="101" t="e">
        <f>VPN!#REF!</f>
        <v>#REF!</v>
      </c>
      <c r="C74" s="102" t="e">
        <f>VPN!#REF!</f>
        <v>#REF!</v>
      </c>
    </row>
    <row r="75" spans="1:3" x14ac:dyDescent="0.3">
      <c r="A75" s="103" t="str">
        <f>VPN!A164</f>
        <v>Atyrau CE1</v>
      </c>
      <c r="B75" s="101" t="e">
        <f>VPN!#REF!</f>
        <v>#REF!</v>
      </c>
      <c r="C75" s="102" t="e">
        <f>VPN!#REF!</f>
        <v>#REF!</v>
      </c>
    </row>
    <row r="76" spans="1:3" x14ac:dyDescent="0.3">
      <c r="A76" s="103" t="str">
        <f>VPN!A165</f>
        <v>Atyrau CE1</v>
      </c>
      <c r="B76" s="101" t="e">
        <f>VPN!#REF!</f>
        <v>#REF!</v>
      </c>
      <c r="C76" s="102" t="e">
        <f>VPN!#REF!</f>
        <v>#REF!</v>
      </c>
    </row>
    <row r="77" spans="1:3" x14ac:dyDescent="0.3">
      <c r="A77" s="103" t="e">
        <f>VPN!#REF!</f>
        <v>#REF!</v>
      </c>
      <c r="B77" s="101" t="e">
        <f>VPN!#REF!</f>
        <v>#REF!</v>
      </c>
      <c r="C77" s="102" t="e">
        <f>VPN!#REF!</f>
        <v>#REF!</v>
      </c>
    </row>
    <row r="78" spans="1:3" x14ac:dyDescent="0.3">
      <c r="A78" s="103" t="e">
        <f>VPN!#REF!</f>
        <v>#REF!</v>
      </c>
      <c r="B78" s="101" t="e">
        <f>VPN!#REF!</f>
        <v>#REF!</v>
      </c>
      <c r="C78" s="102" t="e">
        <f>VPN!#REF!</f>
        <v>#REF!</v>
      </c>
    </row>
    <row r="79" spans="1:3" x14ac:dyDescent="0.3">
      <c r="A79" s="103" t="str">
        <f>VPN!A190</f>
        <v>Ekibastuz CE1</v>
      </c>
      <c r="B79" s="101" t="e">
        <f>VPN!#REF!</f>
        <v>#REF!</v>
      </c>
      <c r="C79" s="102" t="e">
        <f>VPN!#REF!</f>
        <v>#REF!</v>
      </c>
    </row>
    <row r="80" spans="1:3" x14ac:dyDescent="0.3">
      <c r="A80" s="103" t="e">
        <f>VPN!#REF!</f>
        <v>#REF!</v>
      </c>
      <c r="B80" s="101" t="e">
        <f>VPN!#REF!</f>
        <v>#REF!</v>
      </c>
      <c r="C80" s="102" t="e">
        <f>VPN!#REF!</f>
        <v>#REF!</v>
      </c>
    </row>
    <row r="81" spans="1:3" x14ac:dyDescent="0.3">
      <c r="A81" s="103" t="str">
        <f>VPN!A200</f>
        <v>Karaganda CE1</v>
      </c>
      <c r="B81" s="101" t="e">
        <f>VPN!#REF!</f>
        <v>#REF!</v>
      </c>
      <c r="C81" s="102" t="e">
        <f>VPN!#REF!</f>
        <v>#REF!</v>
      </c>
    </row>
    <row r="82" spans="1:3" x14ac:dyDescent="0.3">
      <c r="A82" s="103" t="str">
        <f>VPN!A201</f>
        <v>Karaganda CE1</v>
      </c>
      <c r="B82" s="101" t="e">
        <f>VPN!#REF!</f>
        <v>#REF!</v>
      </c>
      <c r="C82" s="102" t="e">
        <f>VPN!#REF!</f>
        <v>#REF!</v>
      </c>
    </row>
    <row r="83" spans="1:3" x14ac:dyDescent="0.3">
      <c r="A83" s="103" t="str">
        <f>VPN!A202</f>
        <v>Karaganda CE1</v>
      </c>
      <c r="B83" s="101" t="e">
        <f>VPN!#REF!</f>
        <v>#REF!</v>
      </c>
      <c r="C83" s="102" t="e">
        <f>VPN!#REF!</f>
        <v>#REF!</v>
      </c>
    </row>
    <row r="84" spans="1:3" x14ac:dyDescent="0.3">
      <c r="A84" s="103" t="str">
        <f>VPN!A203</f>
        <v>Karaganda CE1</v>
      </c>
      <c r="B84" s="101" t="e">
        <f>VPN!#REF!</f>
        <v>#REF!</v>
      </c>
      <c r="C84" s="102" t="e">
        <f>VPN!#REF!</f>
        <v>#REF!</v>
      </c>
    </row>
    <row r="85" spans="1:3" x14ac:dyDescent="0.3">
      <c r="A85" s="103" t="str">
        <f>VPN!A206</f>
        <v>Karaganda CE1</v>
      </c>
      <c r="B85" s="101" t="e">
        <f>VPN!#REF!</f>
        <v>#REF!</v>
      </c>
      <c r="C85" s="102" t="e">
        <f>VPN!#REF!</f>
        <v>#REF!</v>
      </c>
    </row>
    <row r="86" spans="1:3" x14ac:dyDescent="0.3">
      <c r="A86" s="103" t="str">
        <f>VPN!A220</f>
        <v>Kokshetau CE1</v>
      </c>
      <c r="B86" s="101" t="e">
        <f>VPN!#REF!</f>
        <v>#REF!</v>
      </c>
      <c r="C86" s="102" t="e">
        <f>VPN!#REF!</f>
        <v>#REF!</v>
      </c>
    </row>
    <row r="87" spans="1:3" x14ac:dyDescent="0.3">
      <c r="A87" s="103" t="str">
        <f>VPN!A221</f>
        <v>Kokshetau CE1</v>
      </c>
      <c r="B87" s="101">
        <f>VPN!P169</f>
        <v>0</v>
      </c>
      <c r="C87" s="102">
        <f>VPN!Q169</f>
        <v>0</v>
      </c>
    </row>
    <row r="88" spans="1:3" x14ac:dyDescent="0.3">
      <c r="A88" s="103" t="str">
        <f>VPN!A222</f>
        <v>Kokshetau CE1</v>
      </c>
      <c r="B88" s="101">
        <f>VPN!P170</f>
        <v>0</v>
      </c>
      <c r="C88" s="102">
        <f>VPN!Q170</f>
        <v>0</v>
      </c>
    </row>
    <row r="89" spans="1:3" x14ac:dyDescent="0.3">
      <c r="A89" s="103" t="str">
        <f>VPN!A223</f>
        <v>Kokshetau CE1</v>
      </c>
      <c r="B89" s="101">
        <f>VPN!P171</f>
        <v>0</v>
      </c>
      <c r="C89" s="102">
        <f>VPN!Q171</f>
        <v>0</v>
      </c>
    </row>
    <row r="90" spans="1:3" x14ac:dyDescent="0.3">
      <c r="A90" s="103" t="str">
        <f>VPN!A224</f>
        <v>Kokshetau CE1</v>
      </c>
      <c r="B90" s="101" t="e">
        <f>VPN!#REF!</f>
        <v>#REF!</v>
      </c>
      <c r="C90" s="102" t="e">
        <f>VPN!#REF!</f>
        <v>#REF!</v>
      </c>
    </row>
    <row r="91" spans="1:3" x14ac:dyDescent="0.3">
      <c r="A91" s="103" t="str">
        <f>VPN!A226</f>
        <v>Kokshetau CE1</v>
      </c>
      <c r="B91" s="101" t="e">
        <f>VPN!#REF!</f>
        <v>#REF!</v>
      </c>
      <c r="C91" s="102" t="e">
        <f>VPN!#REF!</f>
        <v>#REF!</v>
      </c>
    </row>
    <row r="92" spans="1:3" x14ac:dyDescent="0.3">
      <c r="A92" s="103" t="str">
        <f>VPN!A240</f>
        <v>Kostanay CE1</v>
      </c>
      <c r="B92" s="101" t="e">
        <f>VPN!#REF!</f>
        <v>#REF!</v>
      </c>
      <c r="C92" s="102" t="e">
        <f>VPN!#REF!</f>
        <v>#REF!</v>
      </c>
    </row>
    <row r="93" spans="1:3" x14ac:dyDescent="0.3">
      <c r="A93" s="103" t="str">
        <f>VPN!A241</f>
        <v>Kostanay CE1</v>
      </c>
      <c r="B93" s="101">
        <f>VPN!P180</f>
        <v>0</v>
      </c>
      <c r="C93" s="102">
        <f>VPN!Q180</f>
        <v>0</v>
      </c>
    </row>
    <row r="94" spans="1:3" x14ac:dyDescent="0.3">
      <c r="A94" s="103" t="str">
        <f>VPN!A242</f>
        <v>Kostanay CE1</v>
      </c>
      <c r="B94" s="101">
        <f>VPN!P181</f>
        <v>0</v>
      </c>
      <c r="C94" s="102">
        <f>VPN!Q181</f>
        <v>0</v>
      </c>
    </row>
    <row r="95" spans="1:3" x14ac:dyDescent="0.3">
      <c r="A95" s="103" t="str">
        <f>VPN!A243</f>
        <v>Kostanay CE1</v>
      </c>
      <c r="B95" s="101">
        <f>VPN!P182</f>
        <v>0</v>
      </c>
      <c r="C95" s="102">
        <f>VPN!Q182</f>
        <v>0</v>
      </c>
    </row>
    <row r="96" spans="1:3" x14ac:dyDescent="0.3">
      <c r="A96" s="103" t="str">
        <f>VPN!A245</f>
        <v>Kostanay CE1</v>
      </c>
      <c r="B96" s="101">
        <f>VPN!P184</f>
        <v>0</v>
      </c>
      <c r="C96" s="102">
        <f>VPN!Q184</f>
        <v>0</v>
      </c>
    </row>
    <row r="97" spans="1:3" x14ac:dyDescent="0.3">
      <c r="A97" s="103" t="str">
        <f>VPN!A246</f>
        <v>Kostanay CE1</v>
      </c>
      <c r="B97" s="101" t="e">
        <f>VPN!#REF!</f>
        <v>#REF!</v>
      </c>
      <c r="C97" s="102" t="e">
        <f>VPN!#REF!</f>
        <v>#REF!</v>
      </c>
    </row>
    <row r="98" spans="1:3" x14ac:dyDescent="0.3">
      <c r="A98" s="103" t="str">
        <f>VPN!A248</f>
        <v>Kostanay CE1</v>
      </c>
      <c r="B98" s="101" t="e">
        <f>VPN!#REF!</f>
        <v>#REF!</v>
      </c>
      <c r="C98" s="102" t="e">
        <f>VPN!#REF!</f>
        <v>#REF!</v>
      </c>
    </row>
    <row r="99" spans="1:3" x14ac:dyDescent="0.3">
      <c r="A99" s="103" t="str">
        <f>VPN!A268</f>
        <v>Kyzylorda CE1</v>
      </c>
      <c r="B99" s="101" t="e">
        <f>VPN!#REF!</f>
        <v>#REF!</v>
      </c>
      <c r="C99" s="102" t="e">
        <f>VPN!#REF!</f>
        <v>#REF!</v>
      </c>
    </row>
    <row r="100" spans="1:3" x14ac:dyDescent="0.3">
      <c r="A100" s="103" t="str">
        <f>VPN!A269</f>
        <v>Kyzylorda CE1</v>
      </c>
      <c r="B100" s="101">
        <f>VPN!P195</f>
        <v>0</v>
      </c>
      <c r="C100" s="102">
        <f>VPN!Q195</f>
        <v>0</v>
      </c>
    </row>
    <row r="101" spans="1:3" x14ac:dyDescent="0.3">
      <c r="A101" s="103" t="str">
        <f>VPN!A270</f>
        <v>Kyzylorda CE1</v>
      </c>
      <c r="B101" s="101">
        <f>VPN!P196</f>
        <v>0</v>
      </c>
      <c r="C101" s="102">
        <f>VPN!Q196</f>
        <v>0</v>
      </c>
    </row>
    <row r="102" spans="1:3" x14ac:dyDescent="0.3">
      <c r="A102" s="103" t="str">
        <f>VPN!A271</f>
        <v>Kyzylorda CE1</v>
      </c>
      <c r="B102" s="101">
        <f>VPN!P197</f>
        <v>0</v>
      </c>
      <c r="C102" s="102">
        <f>VPN!Q197</f>
        <v>0</v>
      </c>
    </row>
    <row r="103" spans="1:3" x14ac:dyDescent="0.3">
      <c r="A103" s="103" t="str">
        <f>VPN!A272</f>
        <v>Kyzylorda CE1</v>
      </c>
      <c r="B103" s="101" t="e">
        <f>VPN!#REF!</f>
        <v>#REF!</v>
      </c>
      <c r="C103" s="102" t="e">
        <f>VPN!#REF!</f>
        <v>#REF!</v>
      </c>
    </row>
    <row r="104" spans="1:3" x14ac:dyDescent="0.3">
      <c r="A104" s="103" t="str">
        <f>VPN!A273</f>
        <v>Kyzylorda CE1</v>
      </c>
      <c r="B104" s="101" t="e">
        <f>VPN!#REF!</f>
        <v>#REF!</v>
      </c>
      <c r="C104" s="102" t="e">
        <f>VPN!#REF!</f>
        <v>#REF!</v>
      </c>
    </row>
    <row r="105" spans="1:3" x14ac:dyDescent="0.3">
      <c r="A105" s="103" t="str">
        <f>VPN!A275</f>
        <v>Kyzylorda CE1</v>
      </c>
      <c r="B105" s="101" t="e">
        <f>VPN!#REF!</f>
        <v>#REF!</v>
      </c>
      <c r="C105" s="102" t="e">
        <f>VPN!#REF!</f>
        <v>#REF!</v>
      </c>
    </row>
    <row r="106" spans="1:3" x14ac:dyDescent="0.3">
      <c r="A106" s="103" t="str">
        <f>VPN!A287</f>
        <v>Oskemen CE1</v>
      </c>
      <c r="B106" s="101" t="e">
        <f>VPN!#REF!</f>
        <v>#REF!</v>
      </c>
      <c r="C106" s="102" t="e">
        <f>VPN!#REF!</f>
        <v>#REF!</v>
      </c>
    </row>
    <row r="107" spans="1:3" x14ac:dyDescent="0.3">
      <c r="A107" s="103" t="str">
        <f>VPN!A288</f>
        <v>Oskemen CE1</v>
      </c>
      <c r="B107" s="101">
        <f>VPN!P204</f>
        <v>0</v>
      </c>
      <c r="C107" s="102">
        <f>VPN!Q204</f>
        <v>0</v>
      </c>
    </row>
    <row r="108" spans="1:3" x14ac:dyDescent="0.3">
      <c r="A108" s="103" t="str">
        <f>VPN!A289</f>
        <v>Oskemen CE1</v>
      </c>
      <c r="B108" s="101">
        <f>VPN!P205</f>
        <v>0</v>
      </c>
      <c r="C108" s="102">
        <f>VPN!Q205</f>
        <v>0</v>
      </c>
    </row>
    <row r="109" spans="1:3" x14ac:dyDescent="0.3">
      <c r="A109" s="103" t="str">
        <f>VPN!A290</f>
        <v>Oskemen CE1</v>
      </c>
      <c r="B109" s="101">
        <f>VPN!P206</f>
        <v>0</v>
      </c>
      <c r="C109" s="102">
        <f>VPN!Q206</f>
        <v>0</v>
      </c>
    </row>
    <row r="110" spans="1:3" x14ac:dyDescent="0.3">
      <c r="A110" s="103" t="str">
        <f>VPN!A291</f>
        <v>Oskemen CE1</v>
      </c>
      <c r="B110" s="101" t="e">
        <f>VPN!#REF!</f>
        <v>#REF!</v>
      </c>
      <c r="C110" s="102" t="e">
        <f>VPN!#REF!</f>
        <v>#REF!</v>
      </c>
    </row>
    <row r="111" spans="1:3" x14ac:dyDescent="0.3">
      <c r="A111" s="103" t="str">
        <f>VPN!A294</f>
        <v>Oskemen CE1</v>
      </c>
      <c r="B111" s="101" t="e">
        <f>VPN!#REF!</f>
        <v>#REF!</v>
      </c>
      <c r="C111" s="102" t="e">
        <f>VPN!#REF!</f>
        <v>#REF!</v>
      </c>
    </row>
    <row r="112" spans="1:3" x14ac:dyDescent="0.3">
      <c r="A112" s="103" t="str">
        <f>VPN!A307</f>
        <v>Pavlodar CE1</v>
      </c>
      <c r="B112" s="101" t="e">
        <f>VPN!#REF!</f>
        <v>#REF!</v>
      </c>
      <c r="C112" s="102" t="e">
        <f>VPN!#REF!</f>
        <v>#REF!</v>
      </c>
    </row>
    <row r="113" spans="1:3" x14ac:dyDescent="0.3">
      <c r="A113" s="103" t="str">
        <f>VPN!A308</f>
        <v>Pavlodar CE1</v>
      </c>
      <c r="B113" s="101">
        <f>VPN!P224</f>
        <v>0</v>
      </c>
      <c r="C113" s="102">
        <f>VPN!Q224</f>
        <v>0</v>
      </c>
    </row>
    <row r="114" spans="1:3" x14ac:dyDescent="0.3">
      <c r="A114" s="103" t="str">
        <f>VPN!A309</f>
        <v>Pavlodar CE1</v>
      </c>
      <c r="B114" s="101">
        <f>VPN!P225</f>
        <v>0</v>
      </c>
      <c r="C114" s="102">
        <f>VPN!Q225</f>
        <v>0</v>
      </c>
    </row>
    <row r="115" spans="1:3" x14ac:dyDescent="0.3">
      <c r="A115" s="103" t="str">
        <f>VPN!A310</f>
        <v>Pavlodar CE1</v>
      </c>
      <c r="B115" s="101">
        <f>VPN!P226</f>
        <v>0</v>
      </c>
      <c r="C115" s="102">
        <f>VPN!Q226</f>
        <v>0</v>
      </c>
    </row>
    <row r="116" spans="1:3" x14ac:dyDescent="0.3">
      <c r="A116" s="103" t="str">
        <f>VPN!A311</f>
        <v>Pavlodar CE1</v>
      </c>
      <c r="B116" s="101">
        <f>VPN!P227</f>
        <v>0</v>
      </c>
      <c r="C116" s="102">
        <f>VPN!Q227</f>
        <v>0</v>
      </c>
    </row>
    <row r="117" spans="1:3" x14ac:dyDescent="0.3">
      <c r="A117" s="103" t="str">
        <f>VPN!A313</f>
        <v>Pavlodar CE1</v>
      </c>
      <c r="B117" s="101" t="e">
        <f>VPN!#REF!</f>
        <v>#REF!</v>
      </c>
      <c r="C117" s="102" t="e">
        <f>VPN!#REF!</f>
        <v>#REF!</v>
      </c>
    </row>
    <row r="118" spans="1:3" x14ac:dyDescent="0.3">
      <c r="A118" s="103" t="str">
        <f>VPN!A314</f>
        <v>Pavlodar CE1</v>
      </c>
      <c r="B118" s="101" t="e">
        <f>VPN!#REF!</f>
        <v>#REF!</v>
      </c>
      <c r="C118" s="102" t="e">
        <f>VPN!#REF!</f>
        <v>#REF!</v>
      </c>
    </row>
    <row r="119" spans="1:3" x14ac:dyDescent="0.3">
      <c r="A119" s="103" t="str">
        <f>VPN!A317</f>
        <v>Pavlodar CE1</v>
      </c>
      <c r="B119" s="101" t="e">
        <f>VPN!#REF!</f>
        <v>#REF!</v>
      </c>
      <c r="C119" s="102" t="e">
        <f>VPN!#REF!</f>
        <v>#REF!</v>
      </c>
    </row>
    <row r="120" spans="1:3" x14ac:dyDescent="0.3">
      <c r="A120" s="103" t="str">
        <f>VPN!A340</f>
        <v>Petropavlovsk CE1</v>
      </c>
      <c r="B120" s="101" t="e">
        <f>VPN!#REF!</f>
        <v>#REF!</v>
      </c>
      <c r="C120" s="102" t="e">
        <f>VPN!#REF!</f>
        <v>#REF!</v>
      </c>
    </row>
    <row r="121" spans="1:3" x14ac:dyDescent="0.3">
      <c r="A121" s="103" t="str">
        <f>VPN!A341</f>
        <v>Petropavlovsk CE1</v>
      </c>
      <c r="B121" s="101" t="e">
        <f>VPN!#REF!</f>
        <v>#REF!</v>
      </c>
      <c r="C121" s="102" t="e">
        <f>VPN!#REF!</f>
        <v>#REF!</v>
      </c>
    </row>
    <row r="122" spans="1:3" x14ac:dyDescent="0.3">
      <c r="A122" s="103" t="str">
        <f>VPN!A342</f>
        <v>Petropavlovsk CE1</v>
      </c>
      <c r="B122" s="101">
        <f>VPN!P253</f>
        <v>500</v>
      </c>
      <c r="C122" s="102">
        <f>VPN!Q253</f>
        <v>0.05</v>
      </c>
    </row>
    <row r="123" spans="1:3" x14ac:dyDescent="0.3">
      <c r="A123" s="103" t="str">
        <f>VPN!A343</f>
        <v>Petropavlovsk CE1</v>
      </c>
      <c r="B123" s="101" t="e">
        <f>VPN!#REF!</f>
        <v>#REF!</v>
      </c>
      <c r="C123" s="102" t="e">
        <f>VPN!#REF!</f>
        <v>#REF!</v>
      </c>
    </row>
    <row r="124" spans="1:3" x14ac:dyDescent="0.3">
      <c r="A124" s="103" t="str">
        <f>VPN!A344</f>
        <v>Petropavlovsk CE1</v>
      </c>
      <c r="B124" s="101" t="e">
        <f>VPN!#REF!</f>
        <v>#REF!</v>
      </c>
      <c r="C124" s="102" t="e">
        <f>VPN!#REF!</f>
        <v>#REF!</v>
      </c>
    </row>
    <row r="125" spans="1:3" x14ac:dyDescent="0.3">
      <c r="A125" s="103" t="str">
        <f>VPN!A345</f>
        <v>Petropavlovsk CE1</v>
      </c>
      <c r="B125" s="101">
        <f>VPN!P269</f>
        <v>0</v>
      </c>
      <c r="C125" s="102">
        <f>VPN!Q269</f>
        <v>0</v>
      </c>
    </row>
    <row r="126" spans="1:3" x14ac:dyDescent="0.3">
      <c r="A126" s="103" t="str">
        <f>VPN!A346</f>
        <v>Petropavlovsk CE1</v>
      </c>
      <c r="B126" s="101" t="e">
        <f>VPN!#REF!</f>
        <v>#REF!</v>
      </c>
      <c r="C126" s="102" t="e">
        <f>VPN!#REF!</f>
        <v>#REF!</v>
      </c>
    </row>
    <row r="127" spans="1:3" x14ac:dyDescent="0.3">
      <c r="A127" s="103" t="str">
        <f>VPN!A348</f>
        <v>Petropavlovsk CE1</v>
      </c>
      <c r="B127" s="101" t="e">
        <f>VPN!#REF!</f>
        <v>#REF!</v>
      </c>
      <c r="C127" s="102" t="e">
        <f>VPN!#REF!</f>
        <v>#REF!</v>
      </c>
    </row>
    <row r="128" spans="1:3" x14ac:dyDescent="0.3">
      <c r="A128" s="103" t="str">
        <f>VPN!A365</f>
        <v>Saryagash CE1</v>
      </c>
      <c r="B128" s="101" t="e">
        <f>VPN!#REF!</f>
        <v>#REF!</v>
      </c>
      <c r="C128" s="102" t="e">
        <f>VPN!#REF!</f>
        <v>#REF!</v>
      </c>
    </row>
    <row r="129" spans="1:3" x14ac:dyDescent="0.3">
      <c r="A129" s="103" t="str">
        <f>VPN!A366</f>
        <v>Saryagash CE1</v>
      </c>
      <c r="B129" s="101" t="e">
        <f>VPN!#REF!</f>
        <v>#REF!</v>
      </c>
      <c r="C129" s="102" t="e">
        <f>VPN!#REF!</f>
        <v>#REF!</v>
      </c>
    </row>
    <row r="130" spans="1:3" x14ac:dyDescent="0.3">
      <c r="A130" s="103" t="str">
        <f>VPN!A367</f>
        <v>Saryagash CE1</v>
      </c>
      <c r="B130" s="101" t="e">
        <f>VPN!#REF!</f>
        <v>#REF!</v>
      </c>
      <c r="C130" s="102" t="e">
        <f>VPN!#REF!</f>
        <v>#REF!</v>
      </c>
    </row>
    <row r="131" spans="1:3" x14ac:dyDescent="0.3">
      <c r="A131" s="103" t="str">
        <f>VPN!A369</f>
        <v>Saryagash CE1</v>
      </c>
      <c r="B131" s="101" t="e">
        <f>VPN!#REF!</f>
        <v>#REF!</v>
      </c>
      <c r="C131" s="102" t="e">
        <f>VPN!#REF!</f>
        <v>#REF!</v>
      </c>
    </row>
    <row r="132" spans="1:3" x14ac:dyDescent="0.3">
      <c r="A132" s="103" t="str">
        <f>VPN!A371</f>
        <v>Saryagash CE1</v>
      </c>
      <c r="B132" s="101" t="e">
        <f>VPN!#REF!</f>
        <v>#REF!</v>
      </c>
      <c r="C132" s="102" t="e">
        <f>VPN!#REF!</f>
        <v>#REF!</v>
      </c>
    </row>
    <row r="133" spans="1:3" x14ac:dyDescent="0.3">
      <c r="A133" s="103" t="str">
        <f>VPN!A373</f>
        <v>Semey CE1</v>
      </c>
      <c r="B133" s="101" t="e">
        <f>VPN!#REF!</f>
        <v>#REF!</v>
      </c>
      <c r="C133" s="102" t="e">
        <f>VPN!#REF!</f>
        <v>#REF!</v>
      </c>
    </row>
    <row r="134" spans="1:3" x14ac:dyDescent="0.3">
      <c r="A134" s="103" t="str">
        <f>VPN!A374</f>
        <v>Semey CE1</v>
      </c>
      <c r="B134" s="101">
        <f>VPN!P293</f>
        <v>0</v>
      </c>
      <c r="C134" s="102">
        <f>VPN!Q293</f>
        <v>0</v>
      </c>
    </row>
    <row r="135" spans="1:3" x14ac:dyDescent="0.3">
      <c r="A135" s="103" t="str">
        <f>VPN!A375</f>
        <v>Semey CE1</v>
      </c>
      <c r="B135" s="101">
        <f>VPN!P294</f>
        <v>0</v>
      </c>
      <c r="C135" s="102">
        <f>VPN!Q294</f>
        <v>0</v>
      </c>
    </row>
    <row r="136" spans="1:3" x14ac:dyDescent="0.3">
      <c r="A136" s="103" t="str">
        <f>VPN!A376</f>
        <v>Semey CE1</v>
      </c>
      <c r="B136" s="101" t="e">
        <f>VPN!#REF!</f>
        <v>#REF!</v>
      </c>
      <c r="C136" s="102" t="e">
        <f>VPN!#REF!</f>
        <v>#REF!</v>
      </c>
    </row>
    <row r="137" spans="1:3" x14ac:dyDescent="0.3">
      <c r="A137" s="103" t="str">
        <f>VPN!A377</f>
        <v>Semey CE1</v>
      </c>
      <c r="B137" s="101" t="e">
        <f>VPN!#REF!</f>
        <v>#REF!</v>
      </c>
      <c r="C137" s="102" t="e">
        <f>VPN!#REF!</f>
        <v>#REF!</v>
      </c>
    </row>
    <row r="138" spans="1:3" x14ac:dyDescent="0.3">
      <c r="A138" s="103" t="str">
        <f>VPN!A379</f>
        <v>Semey CE1</v>
      </c>
      <c r="B138" s="101" t="e">
        <f>VPN!#REF!</f>
        <v>#REF!</v>
      </c>
      <c r="C138" s="102" t="e">
        <f>VPN!#REF!</f>
        <v>#REF!</v>
      </c>
    </row>
    <row r="139" spans="1:3" x14ac:dyDescent="0.3">
      <c r="A139" s="103" t="str">
        <f>VPN!A389</f>
        <v>Shymkent CE1</v>
      </c>
      <c r="B139" s="101" t="e">
        <f>VPN!#REF!</f>
        <v>#REF!</v>
      </c>
      <c r="C139" s="102" t="e">
        <f>VPN!#REF!</f>
        <v>#REF!</v>
      </c>
    </row>
    <row r="140" spans="1:3" x14ac:dyDescent="0.3">
      <c r="A140" s="103" t="str">
        <f>VPN!A390</f>
        <v>Shymkent CE1</v>
      </c>
      <c r="B140" s="101">
        <f>VPN!P314</f>
        <v>0</v>
      </c>
      <c r="C140" s="102">
        <f>VPN!Q314</f>
        <v>0</v>
      </c>
    </row>
    <row r="141" spans="1:3" x14ac:dyDescent="0.3">
      <c r="A141" s="103" t="str">
        <f>VPN!A391</f>
        <v>Shymkent CE1</v>
      </c>
      <c r="B141" s="101">
        <f>VPN!P315</f>
        <v>0</v>
      </c>
      <c r="C141" s="102">
        <f>VPN!Q315</f>
        <v>0</v>
      </c>
    </row>
    <row r="142" spans="1:3" x14ac:dyDescent="0.3">
      <c r="A142" s="103" t="str">
        <f>VPN!A392</f>
        <v>Shymkent CE1</v>
      </c>
      <c r="B142" s="101">
        <f>VPN!P316</f>
        <v>0</v>
      </c>
      <c r="C142" s="102">
        <f>VPN!Q316</f>
        <v>0</v>
      </c>
    </row>
    <row r="143" spans="1:3" x14ac:dyDescent="0.3">
      <c r="A143" s="103" t="str">
        <f>VPN!A393</f>
        <v>Shymkent CE1</v>
      </c>
      <c r="B143" s="101" t="e">
        <f>VPN!#REF!</f>
        <v>#REF!</v>
      </c>
      <c r="C143" s="102" t="e">
        <f>VPN!#REF!</f>
        <v>#REF!</v>
      </c>
    </row>
    <row r="144" spans="1:3" x14ac:dyDescent="0.3">
      <c r="A144" s="103" t="str">
        <f>VPN!A397</f>
        <v>Shymkent CE1</v>
      </c>
      <c r="B144" s="101" t="e">
        <f>VPN!#REF!</f>
        <v>#REF!</v>
      </c>
      <c r="C144" s="102" t="e">
        <f>VPN!#REF!</f>
        <v>#REF!</v>
      </c>
    </row>
    <row r="145" spans="1:3" x14ac:dyDescent="0.3">
      <c r="A145" s="103" t="str">
        <f>VPN!A418</f>
        <v>Taldykorgan CE1</v>
      </c>
      <c r="B145" s="101" t="e">
        <f>VPN!#REF!</f>
        <v>#REF!</v>
      </c>
      <c r="C145" s="102" t="e">
        <f>VPN!#REF!</f>
        <v>#REF!</v>
      </c>
    </row>
    <row r="146" spans="1:3" x14ac:dyDescent="0.3">
      <c r="A146" s="103" t="str">
        <f>VPN!A419</f>
        <v>Taldykorgan CE1</v>
      </c>
      <c r="B146" s="101" t="e">
        <f>VPN!#REF!</f>
        <v>#REF!</v>
      </c>
      <c r="C146" s="102" t="e">
        <f>VPN!#REF!</f>
        <v>#REF!</v>
      </c>
    </row>
    <row r="147" spans="1:3" x14ac:dyDescent="0.3">
      <c r="A147" s="103" t="str">
        <f>VPN!A420</f>
        <v>Taldykorgan CE1</v>
      </c>
      <c r="B147" s="101" t="e">
        <f>VPN!#REF!</f>
        <v>#REF!</v>
      </c>
      <c r="C147" s="102" t="e">
        <f>VPN!#REF!</f>
        <v>#REF!</v>
      </c>
    </row>
    <row r="148" spans="1:3" x14ac:dyDescent="0.3">
      <c r="A148" s="103" t="str">
        <f>VPN!A421</f>
        <v>Taldykorgan CE1</v>
      </c>
      <c r="B148" s="101">
        <f>VPN!P343</f>
        <v>0</v>
      </c>
      <c r="C148" s="102">
        <f>VPN!Q343</f>
        <v>0</v>
      </c>
    </row>
    <row r="149" spans="1:3" x14ac:dyDescent="0.3">
      <c r="A149" s="103" t="str">
        <f>VPN!A422</f>
        <v>Taldykorgan CE1</v>
      </c>
      <c r="B149" s="101" t="e">
        <f>VPN!#REF!</f>
        <v>#REF!</v>
      </c>
      <c r="C149" s="102" t="e">
        <f>VPN!#REF!</f>
        <v>#REF!</v>
      </c>
    </row>
    <row r="150" spans="1:3" x14ac:dyDescent="0.3">
      <c r="A150" s="103" t="str">
        <f>VPN!A424</f>
        <v>Taldykorgan CE1</v>
      </c>
      <c r="B150" s="101" t="e">
        <f>VPN!#REF!</f>
        <v>#REF!</v>
      </c>
      <c r="C150" s="102" t="e">
        <f>VPN!#REF!</f>
        <v>#REF!</v>
      </c>
    </row>
    <row r="151" spans="1:3" x14ac:dyDescent="0.3">
      <c r="A151" s="103" t="str">
        <f>VPN!A437</f>
        <v>Taraz CE1</v>
      </c>
      <c r="B151" s="101" t="e">
        <f>VPN!#REF!</f>
        <v>#REF!</v>
      </c>
      <c r="C151" s="102" t="e">
        <f>VPN!#REF!</f>
        <v>#REF!</v>
      </c>
    </row>
    <row r="152" spans="1:3" x14ac:dyDescent="0.3">
      <c r="A152" s="103" t="str">
        <f>VPN!A438</f>
        <v>Taraz CE1</v>
      </c>
      <c r="B152" s="101" t="e">
        <f>VPN!#REF!</f>
        <v>#REF!</v>
      </c>
      <c r="C152" s="102" t="e">
        <f>VPN!#REF!</f>
        <v>#REF!</v>
      </c>
    </row>
    <row r="153" spans="1:3" x14ac:dyDescent="0.3">
      <c r="A153" s="103" t="str">
        <f>VPN!A439</f>
        <v>Taraz CE1</v>
      </c>
      <c r="B153" s="101" t="e">
        <f>VPN!#REF!</f>
        <v>#REF!</v>
      </c>
      <c r="C153" s="102" t="e">
        <f>VPN!#REF!</f>
        <v>#REF!</v>
      </c>
    </row>
    <row r="154" spans="1:3" x14ac:dyDescent="0.3">
      <c r="A154" s="103" t="str">
        <f>VPN!A440</f>
        <v>Taraz CE1</v>
      </c>
      <c r="B154" s="101" t="e">
        <f>VPN!#REF!</f>
        <v>#REF!</v>
      </c>
      <c r="C154" s="102" t="e">
        <f>VPN!#REF!</f>
        <v>#REF!</v>
      </c>
    </row>
    <row r="155" spans="1:3" x14ac:dyDescent="0.3">
      <c r="A155" s="103" t="str">
        <f>VPN!A441</f>
        <v>Taraz CE1</v>
      </c>
      <c r="B155" s="101">
        <f>VPN!P366</f>
        <v>0</v>
      </c>
      <c r="C155" s="102">
        <f>VPN!Q366</f>
        <v>0</v>
      </c>
    </row>
    <row r="156" spans="1:3" x14ac:dyDescent="0.3">
      <c r="A156" s="103" t="str">
        <f>VPN!A442</f>
        <v>Taraz CE1</v>
      </c>
      <c r="B156" s="101" t="e">
        <f>VPN!#REF!</f>
        <v>#REF!</v>
      </c>
      <c r="C156" s="102" t="e">
        <f>VPN!#REF!</f>
        <v>#REF!</v>
      </c>
    </row>
    <row r="157" spans="1:3" x14ac:dyDescent="0.3">
      <c r="A157" s="103" t="str">
        <f>VPN!A444</f>
        <v>Taraz CE1</v>
      </c>
      <c r="B157" s="101" t="e">
        <f>VPN!#REF!</f>
        <v>#REF!</v>
      </c>
      <c r="C157" s="102" t="e">
        <f>VPN!#REF!</f>
        <v>#REF!</v>
      </c>
    </row>
    <row r="158" spans="1:3" x14ac:dyDescent="0.3">
      <c r="A158" s="103" t="str">
        <f>VPN!A461</f>
        <v>Temirtau CE1</v>
      </c>
      <c r="B158" s="101" t="e">
        <f>VPN!#REF!</f>
        <v>#REF!</v>
      </c>
      <c r="C158" s="102" t="e">
        <f>VPN!#REF!</f>
        <v>#REF!</v>
      </c>
    </row>
    <row r="159" spans="1:3" x14ac:dyDescent="0.3">
      <c r="A159" s="103" t="str">
        <f>VPN!A462</f>
        <v>Temirtau CE1</v>
      </c>
      <c r="B159" s="101">
        <f>VPN!P375</f>
        <v>0</v>
      </c>
      <c r="C159" s="102">
        <f>VPN!Q375</f>
        <v>0</v>
      </c>
    </row>
    <row r="160" spans="1:3" x14ac:dyDescent="0.3">
      <c r="A160" s="103" t="str">
        <f>VPN!A463</f>
        <v>Temirtau CE1</v>
      </c>
      <c r="B160" s="101">
        <f>VPN!P376</f>
        <v>0</v>
      </c>
      <c r="C160" s="102">
        <f>VPN!Q376</f>
        <v>0</v>
      </c>
    </row>
    <row r="161" spans="1:3" x14ac:dyDescent="0.3">
      <c r="A161" s="103" t="str">
        <f>VPN!A464</f>
        <v>Temirtau CE1</v>
      </c>
      <c r="B161" s="101" t="e">
        <f>VPN!#REF!</f>
        <v>#REF!</v>
      </c>
      <c r="C161" s="102" t="e">
        <f>VPN!#REF!</f>
        <v>#REF!</v>
      </c>
    </row>
    <row r="162" spans="1:3" x14ac:dyDescent="0.3">
      <c r="A162" s="103" t="str">
        <f>VPN!A465</f>
        <v>Temirtau CE1</v>
      </c>
      <c r="B162" s="101" t="e">
        <f>VPN!#REF!</f>
        <v>#REF!</v>
      </c>
      <c r="C162" s="102" t="e">
        <f>VPN!#REF!</f>
        <v>#REF!</v>
      </c>
    </row>
    <row r="163" spans="1:3" x14ac:dyDescent="0.3">
      <c r="A163" s="103" t="str">
        <f>VPN!A476</f>
        <v>Turkestan CE1</v>
      </c>
      <c r="B163" s="101" t="e">
        <f>VPN!#REF!</f>
        <v>#REF!</v>
      </c>
      <c r="C163" s="102" t="e">
        <f>VPN!#REF!</f>
        <v>#REF!</v>
      </c>
    </row>
    <row r="164" spans="1:3" x14ac:dyDescent="0.3">
      <c r="A164" s="103" t="e">
        <f>VPN!#REF!</f>
        <v>#REF!</v>
      </c>
      <c r="B164" s="101" t="e">
        <f>VPN!#REF!</f>
        <v>#REF!</v>
      </c>
      <c r="C164" s="102" t="e">
        <f>VPN!#REF!</f>
        <v>#REF!</v>
      </c>
    </row>
    <row r="165" spans="1:3" x14ac:dyDescent="0.3">
      <c r="A165" s="103" t="e">
        <f>VPN!#REF!</f>
        <v>#REF!</v>
      </c>
      <c r="B165" s="101" t="e">
        <f>VPN!#REF!</f>
        <v>#REF!</v>
      </c>
      <c r="C165" s="102" t="e">
        <f>VPN!#REF!</f>
        <v>#REF!</v>
      </c>
    </row>
    <row r="166" spans="1:3" x14ac:dyDescent="0.3">
      <c r="A166" s="103" t="str">
        <f>VPN!A480</f>
        <v>Turkestan CE1</v>
      </c>
      <c r="B166" s="101" t="e">
        <f>VPN!#REF!</f>
        <v>#REF!</v>
      </c>
      <c r="C166" s="102" t="e">
        <f>VPN!#REF!</f>
        <v>#REF!</v>
      </c>
    </row>
    <row r="167" spans="1:3" x14ac:dyDescent="0.3">
      <c r="A167" s="103" t="str">
        <f>VPN!A481</f>
        <v>Turkestan CE1</v>
      </c>
      <c r="B167" s="101" t="e">
        <f>VPN!#REF!</f>
        <v>#REF!</v>
      </c>
      <c r="C167" s="102" t="e">
        <f>VPN!#REF!</f>
        <v>#REF!</v>
      </c>
    </row>
    <row r="168" spans="1:3" x14ac:dyDescent="0.3">
      <c r="A168" s="103" t="str">
        <f>VPN!A494</f>
        <v>Uralsk CE1</v>
      </c>
      <c r="B168" s="101">
        <f>VPN!P398</f>
        <v>0</v>
      </c>
      <c r="C168" s="102">
        <f>VPN!Q398</f>
        <v>0</v>
      </c>
    </row>
    <row r="169" spans="1:3" x14ac:dyDescent="0.3">
      <c r="A169" s="103" t="str">
        <f>VPN!A495</f>
        <v>Uralsk CE1</v>
      </c>
      <c r="B169" s="101">
        <f>VPN!P399</f>
        <v>0</v>
      </c>
      <c r="C169" s="102">
        <f>VPN!Q399</f>
        <v>0</v>
      </c>
    </row>
    <row r="170" spans="1:3" x14ac:dyDescent="0.3">
      <c r="A170" s="103" t="str">
        <f>VPN!A496</f>
        <v>Uralsk CE1</v>
      </c>
      <c r="B170" s="101" t="e">
        <f>VPN!#REF!</f>
        <v>#REF!</v>
      </c>
      <c r="C170" s="102" t="e">
        <f>VPN!#REF!</f>
        <v>#REF!</v>
      </c>
    </row>
    <row r="171" spans="1:3" x14ac:dyDescent="0.3">
      <c r="A171" s="103" t="str">
        <f>VPN!A499</f>
        <v>Uralsk CE1</v>
      </c>
      <c r="B171" s="101" t="e">
        <f>VPN!#REF!</f>
        <v>#REF!</v>
      </c>
      <c r="C171" s="102" t="e">
        <f>VPN!#REF!</f>
        <v>#REF!</v>
      </c>
    </row>
    <row r="172" spans="1:3" x14ac:dyDescent="0.3">
      <c r="A172" s="103" t="str">
        <f>VPN!A515</f>
        <v>Zhanaozen CE1</v>
      </c>
      <c r="B172" s="101" t="e">
        <f>VPN!#REF!</f>
        <v>#REF!</v>
      </c>
      <c r="C172" s="102" t="e">
        <f>VPN!#REF!</f>
        <v>#REF!</v>
      </c>
    </row>
    <row r="173" spans="1:3" x14ac:dyDescent="0.3">
      <c r="A173" s="103" t="str">
        <f>VPN!A517</f>
        <v>Zhanaozen CE1</v>
      </c>
      <c r="B173" s="101" t="e">
        <f>VPN!#REF!</f>
        <v>#REF!</v>
      </c>
      <c r="C173" s="102" t="e">
        <f>VPN!#REF!</f>
        <v>#REF!</v>
      </c>
    </row>
    <row r="174" spans="1:3" x14ac:dyDescent="0.3">
      <c r="A174" s="103" t="str">
        <f>VPN!A518</f>
        <v>Zhanaozen CE1</v>
      </c>
      <c r="B174" s="101" t="e">
        <f>VPN!#REF!</f>
        <v>#REF!</v>
      </c>
      <c r="C174" s="102" t="e">
        <f>VPN!#REF!</f>
        <v>#REF!</v>
      </c>
    </row>
    <row r="175" spans="1:3" x14ac:dyDescent="0.3">
      <c r="A175" s="103" t="e">
        <f>VPN!#REF!</f>
        <v>#REF!</v>
      </c>
      <c r="B175" s="101" t="e">
        <f>VPN!#REF!</f>
        <v>#REF!</v>
      </c>
      <c r="C175" s="102" t="e">
        <f>VPN!#REF!</f>
        <v>#REF!</v>
      </c>
    </row>
    <row r="176" spans="1:3" x14ac:dyDescent="0.3">
      <c r="A176" s="103" t="e">
        <f>VPN!#REF!</f>
        <v>#REF!</v>
      </c>
      <c r="B176" s="101" t="e">
        <f>VPN!#REF!</f>
        <v>#REF!</v>
      </c>
      <c r="C176" s="102" t="e">
        <f>VPN!#REF!</f>
        <v>#REF!</v>
      </c>
    </row>
    <row r="177" spans="1:3" x14ac:dyDescent="0.3">
      <c r="A177" s="103" t="str">
        <f>VPN!A529</f>
        <v>Zhetisay CE1</v>
      </c>
      <c r="B177" s="101" t="e">
        <f>VPN!#REF!</f>
        <v>#REF!</v>
      </c>
      <c r="C177" s="102" t="e">
        <f>VPN!#REF!</f>
        <v>#REF!</v>
      </c>
    </row>
    <row r="178" spans="1:3" x14ac:dyDescent="0.3">
      <c r="A178" s="103" t="str">
        <f>VPN!A532</f>
        <v>Zhetisay CE1</v>
      </c>
      <c r="B178" s="101" t="e">
        <f>VPN!#REF!</f>
        <v>#REF!</v>
      </c>
      <c r="C178" s="102" t="e">
        <f>VPN!#REF!</f>
        <v>#REF!</v>
      </c>
    </row>
    <row r="179" spans="1:3" x14ac:dyDescent="0.3">
      <c r="A179" s="103" t="str">
        <f>VPN!A534</f>
        <v>ZhetisayReserve</v>
      </c>
      <c r="B179" s="101" t="e">
        <f>VPN!#REF!</f>
        <v>#REF!</v>
      </c>
      <c r="C179" s="102" t="e">
        <f>VPN!#REF!</f>
        <v>#REF!</v>
      </c>
    </row>
    <row r="180" spans="1:3" x14ac:dyDescent="0.3">
      <c r="A180" s="103">
        <f>VPN!A535</f>
        <v>0</v>
      </c>
      <c r="B180" s="101">
        <f>VPN!P421</f>
        <v>0</v>
      </c>
      <c r="C180" s="102">
        <f>VPN!Q421</f>
        <v>0</v>
      </c>
    </row>
    <row r="181" spans="1:3" x14ac:dyDescent="0.3">
      <c r="A181" s="103">
        <f>VPN!A536</f>
        <v>0</v>
      </c>
      <c r="B181" s="101">
        <f>VPN!P422</f>
        <v>0</v>
      </c>
      <c r="C181" s="102">
        <f>VPN!Q422</f>
        <v>0</v>
      </c>
    </row>
    <row r="182" spans="1:3" x14ac:dyDescent="0.3">
      <c r="A182" s="103">
        <f>VPN!A537</f>
        <v>0</v>
      </c>
      <c r="B182" s="101">
        <f>VPN!P423</f>
        <v>0</v>
      </c>
      <c r="C182" s="102">
        <f>VPN!Q423</f>
        <v>0</v>
      </c>
    </row>
    <row r="183" spans="1:3" x14ac:dyDescent="0.3">
      <c r="A183" s="103">
        <f>VPN!A538</f>
        <v>0</v>
      </c>
      <c r="B183" s="101">
        <f>VPN!P424</f>
        <v>0</v>
      </c>
      <c r="C183" s="102">
        <f>VPN!Q424</f>
        <v>0</v>
      </c>
    </row>
    <row r="184" spans="1:3" x14ac:dyDescent="0.3">
      <c r="A184" s="103">
        <f>VPN!A539</f>
        <v>0</v>
      </c>
      <c r="B184" s="101" t="e">
        <f>VPN!#REF!</f>
        <v>#REF!</v>
      </c>
      <c r="C184" s="102" t="e">
        <f>VPN!#REF!</f>
        <v>#REF!</v>
      </c>
    </row>
    <row r="185" spans="1:3" x14ac:dyDescent="0.3">
      <c r="A185" s="103">
        <f>VPN!A540</f>
        <v>0</v>
      </c>
      <c r="B185" s="101" t="e">
        <f>VPN!#REF!</f>
        <v>#REF!</v>
      </c>
      <c r="C185" s="102" t="e">
        <f>VPN!#REF!</f>
        <v>#REF!</v>
      </c>
    </row>
    <row r="186" spans="1:3" x14ac:dyDescent="0.3">
      <c r="A186" s="103">
        <f>VPN!A541</f>
        <v>0</v>
      </c>
      <c r="B186" s="101" t="e">
        <f>VPN!#REF!</f>
        <v>#REF!</v>
      </c>
      <c r="C186" s="102" t="e">
        <f>VPN!#REF!</f>
        <v>#REF!</v>
      </c>
    </row>
    <row r="187" spans="1:3" x14ac:dyDescent="0.3">
      <c r="A187" s="103">
        <f>VPN!A542</f>
        <v>0</v>
      </c>
      <c r="B187" s="101" t="e">
        <f>VPN!#REF!</f>
        <v>#REF!</v>
      </c>
      <c r="C187" s="102" t="e">
        <f>VPN!#REF!</f>
        <v>#REF!</v>
      </c>
    </row>
    <row r="188" spans="1:3" x14ac:dyDescent="0.3">
      <c r="A188" s="103">
        <f>VPN!A543</f>
        <v>0</v>
      </c>
      <c r="B188" s="101">
        <f>VPN!P440</f>
        <v>0</v>
      </c>
      <c r="C188" s="102">
        <f>VPN!Q440</f>
        <v>0</v>
      </c>
    </row>
    <row r="189" spans="1:3" x14ac:dyDescent="0.3">
      <c r="A189" s="103">
        <f>VPN!A544</f>
        <v>0</v>
      </c>
      <c r="B189" s="101">
        <f>VPN!P441</f>
        <v>0</v>
      </c>
      <c r="C189" s="102">
        <f>VPN!Q441</f>
        <v>0</v>
      </c>
    </row>
    <row r="190" spans="1:3" x14ac:dyDescent="0.3">
      <c r="A190" s="103">
        <f>VPN!A545</f>
        <v>0</v>
      </c>
      <c r="B190" s="101">
        <f>VPN!P442</f>
        <v>0</v>
      </c>
      <c r="C190" s="102">
        <f>VPN!Q442</f>
        <v>0</v>
      </c>
    </row>
    <row r="191" spans="1:3" x14ac:dyDescent="0.3">
      <c r="A191" s="103">
        <f>VPN!A546</f>
        <v>0</v>
      </c>
      <c r="B191" s="101">
        <f>VPN!P443</f>
        <v>0</v>
      </c>
      <c r="C191" s="102">
        <f>VPN!Q443</f>
        <v>0</v>
      </c>
    </row>
    <row r="192" spans="1:3" x14ac:dyDescent="0.3">
      <c r="A192" s="103">
        <f>VPN!A547</f>
        <v>0</v>
      </c>
      <c r="B192" s="101" t="e">
        <f>VPN!#REF!</f>
        <v>#REF!</v>
      </c>
      <c r="C192" s="102" t="e">
        <f>VPN!#REF!</f>
        <v>#REF!</v>
      </c>
    </row>
    <row r="193" spans="1:3" x14ac:dyDescent="0.3">
      <c r="A193" s="103">
        <f>VPN!A548</f>
        <v>0</v>
      </c>
      <c r="B193" s="101" t="e">
        <f>VPN!#REF!</f>
        <v>#REF!</v>
      </c>
      <c r="C193" s="102" t="e">
        <f>VPN!#REF!</f>
        <v>#REF!</v>
      </c>
    </row>
    <row r="194" spans="1:3" x14ac:dyDescent="0.3">
      <c r="A194" s="103">
        <f>VPN!A549</f>
        <v>0</v>
      </c>
      <c r="B194" s="101">
        <f>VPN!P446</f>
        <v>0</v>
      </c>
      <c r="C194" s="102">
        <f>VPN!Q446</f>
        <v>0</v>
      </c>
    </row>
    <row r="195" spans="1:3" x14ac:dyDescent="0.3">
      <c r="A195" s="103">
        <f>VPN!A550</f>
        <v>0</v>
      </c>
      <c r="B195" s="101" t="e">
        <f>VPN!#REF!</f>
        <v>#REF!</v>
      </c>
      <c r="C195" s="102" t="e">
        <f>VPN!#REF!</f>
        <v>#REF!</v>
      </c>
    </row>
    <row r="196" spans="1:3" x14ac:dyDescent="0.3">
      <c r="A196" s="103">
        <f>VPN!A551</f>
        <v>0</v>
      </c>
      <c r="B196" s="101" t="e">
        <f>VPN!#REF!</f>
        <v>#REF!</v>
      </c>
      <c r="C196" s="102" t="e">
        <f>VPN!#REF!</f>
        <v>#REF!</v>
      </c>
    </row>
    <row r="197" spans="1:3" x14ac:dyDescent="0.3">
      <c r="A197" s="103">
        <f>VPN!A552</f>
        <v>0</v>
      </c>
      <c r="B197" s="101">
        <f>VPN!P462</f>
        <v>0</v>
      </c>
      <c r="C197" s="102">
        <f>VPN!Q462</f>
        <v>0</v>
      </c>
    </row>
    <row r="198" spans="1:3" x14ac:dyDescent="0.3">
      <c r="A198" s="103">
        <f>VPN!A553</f>
        <v>0</v>
      </c>
      <c r="B198" s="101">
        <f>VPN!P463</f>
        <v>0</v>
      </c>
      <c r="C198" s="102">
        <f>VPN!Q463</f>
        <v>0</v>
      </c>
    </row>
    <row r="199" spans="1:3" x14ac:dyDescent="0.3">
      <c r="A199" s="103">
        <f>VPN!A554</f>
        <v>0</v>
      </c>
      <c r="B199" s="101">
        <f>VPN!P464</f>
        <v>0</v>
      </c>
      <c r="C199" s="102">
        <f>VPN!Q464</f>
        <v>0</v>
      </c>
    </row>
    <row r="200" spans="1:3" x14ac:dyDescent="0.3">
      <c r="A200" s="103">
        <f>VPN!A555</f>
        <v>0</v>
      </c>
      <c r="B200" s="101" t="e">
        <f>VPN!#REF!</f>
        <v>#REF!</v>
      </c>
      <c r="C200" s="102" t="e">
        <f>VPN!#REF!</f>
        <v>#REF!</v>
      </c>
    </row>
    <row r="201" spans="1:3" x14ac:dyDescent="0.3">
      <c r="A201" s="103">
        <f>VPN!A556</f>
        <v>0</v>
      </c>
      <c r="B201" s="101" t="e">
        <f>VPN!#REF!</f>
        <v>#REF!</v>
      </c>
      <c r="C201" s="102" t="e">
        <f>VPN!#REF!</f>
        <v>#REF!</v>
      </c>
    </row>
    <row r="202" spans="1:3" x14ac:dyDescent="0.3">
      <c r="A202" s="103">
        <f>VPN!A557</f>
        <v>0</v>
      </c>
      <c r="B202" s="101" t="e">
        <f>VPN!#REF!</f>
        <v>#REF!</v>
      </c>
      <c r="C202" s="102" t="e">
        <f>VPN!#REF!</f>
        <v>#REF!</v>
      </c>
    </row>
    <row r="203" spans="1:3" x14ac:dyDescent="0.3">
      <c r="A203" s="103">
        <f>VPN!A558</f>
        <v>0</v>
      </c>
      <c r="B203" s="101">
        <f>VPN!P476</f>
        <v>0</v>
      </c>
      <c r="C203" s="102">
        <f>VPN!Q476</f>
        <v>0</v>
      </c>
    </row>
    <row r="204" spans="1:3" x14ac:dyDescent="0.3">
      <c r="A204" s="103">
        <f>VPN!A559</f>
        <v>0</v>
      </c>
      <c r="B204" s="101">
        <f>VPN!P477</f>
        <v>0</v>
      </c>
      <c r="C204" s="102">
        <f>VPN!Q477</f>
        <v>0</v>
      </c>
    </row>
    <row r="205" spans="1:3" x14ac:dyDescent="0.3">
      <c r="A205" s="103">
        <f>VPN!A560</f>
        <v>0</v>
      </c>
      <c r="B205" s="101">
        <f>VPN!P478</f>
        <v>0</v>
      </c>
      <c r="C205" s="102">
        <f>VPN!Q478</f>
        <v>0</v>
      </c>
    </row>
    <row r="206" spans="1:3" x14ac:dyDescent="0.3">
      <c r="A206" s="103">
        <f>VPN!A561</f>
        <v>0</v>
      </c>
      <c r="B206" s="101">
        <f>VPN!P479</f>
        <v>0</v>
      </c>
      <c r="C206" s="102">
        <f>VPN!Q479</f>
        <v>0</v>
      </c>
    </row>
    <row r="207" spans="1:3" x14ac:dyDescent="0.3">
      <c r="A207" s="103">
        <f>VPN!A562</f>
        <v>0</v>
      </c>
      <c r="B207" s="101">
        <f>VPN!P480</f>
        <v>0</v>
      </c>
      <c r="C207" s="102">
        <f>VPN!Q480</f>
        <v>0</v>
      </c>
    </row>
    <row r="208" spans="1:3" x14ac:dyDescent="0.3">
      <c r="A208" s="103">
        <f>VPN!A563</f>
        <v>0</v>
      </c>
      <c r="B208" s="101">
        <f>VPN!P481</f>
        <v>0</v>
      </c>
      <c r="C208" s="102">
        <f>VPN!Q481</f>
        <v>0</v>
      </c>
    </row>
    <row r="209" spans="1:3" x14ac:dyDescent="0.3">
      <c r="A209" s="103">
        <f>VPN!A564</f>
        <v>0</v>
      </c>
      <c r="B209" s="101" t="e">
        <f>VPN!#REF!</f>
        <v>#REF!</v>
      </c>
      <c r="C209" s="102" t="e">
        <f>VPN!#REF!</f>
        <v>#REF!</v>
      </c>
    </row>
    <row r="210" spans="1:3" x14ac:dyDescent="0.3">
      <c r="A210" s="103">
        <f>VPN!A565</f>
        <v>0</v>
      </c>
      <c r="B210" s="101" t="e">
        <f>VPN!#REF!</f>
        <v>#REF!</v>
      </c>
      <c r="C210" s="102" t="e">
        <f>VPN!#REF!</f>
        <v>#REF!</v>
      </c>
    </row>
    <row r="211" spans="1:3" x14ac:dyDescent="0.3">
      <c r="A211" s="103">
        <f>VPN!A566</f>
        <v>0</v>
      </c>
      <c r="B211" s="101">
        <f>VPN!P495</f>
        <v>0</v>
      </c>
      <c r="C211" s="102">
        <f>VPN!Q495</f>
        <v>0</v>
      </c>
    </row>
    <row r="212" spans="1:3" x14ac:dyDescent="0.3">
      <c r="A212" s="103">
        <f>VPN!A567</f>
        <v>0</v>
      </c>
      <c r="B212" s="101">
        <f>VPN!P496</f>
        <v>0</v>
      </c>
      <c r="C212" s="102">
        <f>VPN!Q496</f>
        <v>0</v>
      </c>
    </row>
    <row r="213" spans="1:3" x14ac:dyDescent="0.3">
      <c r="A213" s="103">
        <f>VPN!A568</f>
        <v>0</v>
      </c>
      <c r="B213" s="101">
        <f>VPN!P497</f>
        <v>0</v>
      </c>
      <c r="C213" s="102">
        <f>VPN!Q497</f>
        <v>0</v>
      </c>
    </row>
    <row r="214" spans="1:3" x14ac:dyDescent="0.3">
      <c r="A214" s="103">
        <f>VPN!A569</f>
        <v>0</v>
      </c>
      <c r="B214" s="101" t="e">
        <f>VPN!#REF!</f>
        <v>#REF!</v>
      </c>
      <c r="C214" s="102" t="e">
        <f>VPN!#REF!</f>
        <v>#REF!</v>
      </c>
    </row>
    <row r="215" spans="1:3" x14ac:dyDescent="0.3">
      <c r="A215" s="103">
        <f>VPN!A570</f>
        <v>0</v>
      </c>
      <c r="B215" s="101" t="e">
        <f>VPN!#REF!</f>
        <v>#REF!</v>
      </c>
      <c r="C215" s="102" t="e">
        <f>VPN!#REF!</f>
        <v>#REF!</v>
      </c>
    </row>
    <row r="216" spans="1:3" x14ac:dyDescent="0.3">
      <c r="A216" s="103">
        <f>VPN!A571</f>
        <v>0</v>
      </c>
      <c r="B216" s="101">
        <f>VPN!P500</f>
        <v>0</v>
      </c>
      <c r="C216" s="102">
        <f>VPN!Q500</f>
        <v>0</v>
      </c>
    </row>
    <row r="217" spans="1:3" x14ac:dyDescent="0.3">
      <c r="A217" s="103">
        <f>VPN!A572</f>
        <v>0</v>
      </c>
      <c r="B217" s="101">
        <f>VPN!P501</f>
        <v>0</v>
      </c>
      <c r="C217" s="102">
        <f>VPN!Q501</f>
        <v>0</v>
      </c>
    </row>
    <row r="218" spans="1:3" x14ac:dyDescent="0.3">
      <c r="A218" s="103">
        <f>VPN!A573</f>
        <v>0</v>
      </c>
      <c r="B218" s="101" t="e">
        <f>VPN!#REF!</f>
        <v>#REF!</v>
      </c>
      <c r="C218" s="102" t="e">
        <f>VPN!#REF!</f>
        <v>#REF!</v>
      </c>
    </row>
    <row r="219" spans="1:3" x14ac:dyDescent="0.3">
      <c r="A219" s="103">
        <f>VPN!A574</f>
        <v>0</v>
      </c>
      <c r="B219" s="101" t="e">
        <f>VPN!#REF!</f>
        <v>#REF!</v>
      </c>
      <c r="C219" s="102" t="e">
        <f>VPN!#REF!</f>
        <v>#REF!</v>
      </c>
    </row>
    <row r="220" spans="1:3" x14ac:dyDescent="0.3">
      <c r="A220" s="103">
        <f>VPN!A575</f>
        <v>0</v>
      </c>
      <c r="B220" s="101" t="e">
        <f>VPN!#REF!</f>
        <v>#REF!</v>
      </c>
      <c r="C220" s="102" t="e">
        <f>VPN!#REF!</f>
        <v>#REF!</v>
      </c>
    </row>
    <row r="221" spans="1:3" x14ac:dyDescent="0.3">
      <c r="A221" s="103">
        <f>VPN!A576</f>
        <v>0</v>
      </c>
      <c r="B221" s="101">
        <f>VPN!P517</f>
        <v>0</v>
      </c>
      <c r="C221" s="102">
        <f>VPN!Q517</f>
        <v>0</v>
      </c>
    </row>
    <row r="222" spans="1:3" x14ac:dyDescent="0.3">
      <c r="A222" s="103">
        <f>VPN!A577</f>
        <v>0</v>
      </c>
      <c r="B222" s="101">
        <f>VPN!P518</f>
        <v>0</v>
      </c>
      <c r="C222" s="102">
        <f>VPN!Q518</f>
        <v>0</v>
      </c>
    </row>
    <row r="223" spans="1:3" x14ac:dyDescent="0.3">
      <c r="A223" s="103">
        <f>VPN!A578</f>
        <v>0</v>
      </c>
      <c r="B223" s="101" t="e">
        <f>VPN!#REF!</f>
        <v>#REF!</v>
      </c>
      <c r="C223" s="102" t="e">
        <f>VPN!#REF!</f>
        <v>#REF!</v>
      </c>
    </row>
    <row r="224" spans="1:3" x14ac:dyDescent="0.3">
      <c r="A224" s="103">
        <f>VPN!A579</f>
        <v>0</v>
      </c>
      <c r="B224" s="101" t="e">
        <f>VPN!#REF!</f>
        <v>#REF!</v>
      </c>
      <c r="C224" s="102" t="e">
        <f>VPN!#REF!</f>
        <v>#REF!</v>
      </c>
    </row>
    <row r="225" spans="1:3" x14ac:dyDescent="0.3">
      <c r="A225" s="103">
        <f>VPN!A580</f>
        <v>0</v>
      </c>
      <c r="B225" s="101">
        <f>VPN!P528</f>
        <v>0</v>
      </c>
      <c r="C225" s="102">
        <f>VPN!Q528</f>
        <v>0</v>
      </c>
    </row>
    <row r="226" spans="1:3" x14ac:dyDescent="0.3">
      <c r="A226" s="103">
        <f>VPN!A581</f>
        <v>0</v>
      </c>
      <c r="B226" s="101">
        <f>VPN!P529</f>
        <v>0</v>
      </c>
      <c r="C226" s="102">
        <f>VPN!Q529</f>
        <v>0</v>
      </c>
    </row>
    <row r="227" spans="1:3" x14ac:dyDescent="0.3">
      <c r="A227" s="103">
        <f>VPN!A582</f>
        <v>0</v>
      </c>
      <c r="B227" s="101">
        <f>VPN!P530</f>
        <v>0</v>
      </c>
      <c r="C227" s="102">
        <f>VPN!Q530</f>
        <v>0</v>
      </c>
    </row>
    <row r="228" spans="1:3" x14ac:dyDescent="0.3">
      <c r="A228" s="103">
        <f>VPN!A583</f>
        <v>0</v>
      </c>
      <c r="B228" s="101">
        <f>VPN!P531</f>
        <v>0</v>
      </c>
      <c r="C228" s="102">
        <f>VPN!Q531</f>
        <v>0</v>
      </c>
    </row>
    <row r="229" spans="1:3" x14ac:dyDescent="0.3">
      <c r="A229" s="103">
        <f>VPN!A584</f>
        <v>0</v>
      </c>
      <c r="B229" s="101" t="e">
        <f>VPN!#REF!</f>
        <v>#REF!</v>
      </c>
      <c r="C229" s="102" t="e">
        <f>VPN!#REF!</f>
        <v>#REF!</v>
      </c>
    </row>
    <row r="230" spans="1:3" x14ac:dyDescent="0.3">
      <c r="A230" s="103">
        <f>VPN!A585</f>
        <v>0</v>
      </c>
      <c r="B230" s="101">
        <f>VPN!P534</f>
        <v>6</v>
      </c>
      <c r="C230" s="102">
        <f>VPN!Q534</f>
        <v>6.0000000000000001E-3</v>
      </c>
    </row>
    <row r="231" spans="1:3" x14ac:dyDescent="0.3">
      <c r="A231" s="103">
        <f>VPN!A586</f>
        <v>0</v>
      </c>
      <c r="B231" s="101">
        <f>VPN!P535</f>
        <v>0</v>
      </c>
      <c r="C231" s="102">
        <f>VPN!Q535</f>
        <v>0</v>
      </c>
    </row>
    <row r="232" spans="1:3" x14ac:dyDescent="0.3">
      <c r="A232" s="103">
        <f>VPN!A587</f>
        <v>0</v>
      </c>
      <c r="B232" s="101">
        <f>VPN!P536</f>
        <v>0</v>
      </c>
      <c r="C232" s="102">
        <f>VPN!Q536</f>
        <v>0</v>
      </c>
    </row>
    <row r="233" spans="1:3" x14ac:dyDescent="0.3">
      <c r="A233" s="103">
        <f>VPN!A588</f>
        <v>0</v>
      </c>
      <c r="B233" s="101">
        <f>VPN!P537</f>
        <v>0</v>
      </c>
      <c r="C233" s="102">
        <f>VPN!Q537</f>
        <v>0</v>
      </c>
    </row>
    <row r="234" spans="1:3" x14ac:dyDescent="0.3">
      <c r="A234" s="103">
        <f>VPN!A589</f>
        <v>0</v>
      </c>
      <c r="B234" s="101">
        <f>VPN!P538</f>
        <v>0</v>
      </c>
      <c r="C234" s="102">
        <f>VPN!Q538</f>
        <v>0</v>
      </c>
    </row>
    <row r="235" spans="1:3" x14ac:dyDescent="0.3">
      <c r="A235" s="103">
        <f>VPN!A590</f>
        <v>0</v>
      </c>
      <c r="B235" s="101">
        <f>VPN!P539</f>
        <v>0</v>
      </c>
      <c r="C235" s="102">
        <f>VPN!Q539</f>
        <v>0</v>
      </c>
    </row>
    <row r="236" spans="1:3" x14ac:dyDescent="0.3">
      <c r="A236" s="103">
        <f>VPN!A591</f>
        <v>0</v>
      </c>
      <c r="B236" s="101">
        <f>VPN!P540</f>
        <v>0</v>
      </c>
      <c r="C236" s="102">
        <f>VPN!Q540</f>
        <v>0</v>
      </c>
    </row>
    <row r="237" spans="1:3" x14ac:dyDescent="0.3">
      <c r="A237" s="103">
        <f>VPN!A592</f>
        <v>0</v>
      </c>
      <c r="B237" s="101">
        <f>VPN!P541</f>
        <v>0</v>
      </c>
      <c r="C237" s="102">
        <f>VPN!Q541</f>
        <v>0</v>
      </c>
    </row>
    <row r="238" spans="1:3" x14ac:dyDescent="0.3">
      <c r="A238" s="103">
        <f>VPN!A593</f>
        <v>0</v>
      </c>
      <c r="B238" s="101">
        <f>VPN!P542</f>
        <v>0</v>
      </c>
      <c r="C238" s="102">
        <f>VPN!Q542</f>
        <v>0</v>
      </c>
    </row>
    <row r="239" spans="1:3" x14ac:dyDescent="0.3">
      <c r="A239" s="103">
        <f>VPN!A594</f>
        <v>0</v>
      </c>
      <c r="B239" s="101">
        <f>VPN!P543</f>
        <v>0</v>
      </c>
      <c r="C239" s="102">
        <f>VPN!Q543</f>
        <v>0</v>
      </c>
    </row>
    <row r="240" spans="1:3" x14ac:dyDescent="0.3">
      <c r="A240" s="103">
        <f>VPN!A595</f>
        <v>0</v>
      </c>
      <c r="B240" s="101">
        <f>VPN!P544</f>
        <v>0</v>
      </c>
      <c r="C240" s="102">
        <f>VPN!Q544</f>
        <v>0</v>
      </c>
    </row>
    <row r="241" spans="1:3" x14ac:dyDescent="0.3">
      <c r="A241" s="103">
        <f>VPN!A596</f>
        <v>0</v>
      </c>
      <c r="B241" s="101">
        <f>VPN!P545</f>
        <v>0</v>
      </c>
      <c r="C241" s="102">
        <f>VPN!Q545</f>
        <v>0</v>
      </c>
    </row>
    <row r="242" spans="1:3" x14ac:dyDescent="0.3">
      <c r="A242" s="103">
        <f>VPN!A597</f>
        <v>0</v>
      </c>
      <c r="B242" s="101">
        <f>VPN!P546</f>
        <v>0</v>
      </c>
      <c r="C242" s="102">
        <f>VPN!Q546</f>
        <v>0</v>
      </c>
    </row>
    <row r="243" spans="1:3" x14ac:dyDescent="0.3">
      <c r="A243" s="103">
        <f>VPN!A598</f>
        <v>0</v>
      </c>
      <c r="B243" s="101">
        <f>VPN!P547</f>
        <v>0</v>
      </c>
      <c r="C243" s="102">
        <f>VPN!Q547</f>
        <v>0</v>
      </c>
    </row>
    <row r="244" spans="1:3" x14ac:dyDescent="0.3">
      <c r="A244" s="103">
        <f>VPN!A599</f>
        <v>0</v>
      </c>
      <c r="B244" s="101">
        <f>VPN!P548</f>
        <v>0</v>
      </c>
      <c r="C244" s="102">
        <f>VPN!Q548</f>
        <v>0</v>
      </c>
    </row>
    <row r="245" spans="1:3" x14ac:dyDescent="0.3">
      <c r="A245" s="103">
        <f>VPN!A600</f>
        <v>0</v>
      </c>
      <c r="B245" s="101">
        <f>VPN!P549</f>
        <v>0</v>
      </c>
      <c r="C245" s="102">
        <f>VPN!Q549</f>
        <v>0</v>
      </c>
    </row>
    <row r="246" spans="1:3" x14ac:dyDescent="0.3">
      <c r="A246" s="103">
        <f>VPN!A601</f>
        <v>0</v>
      </c>
      <c r="B246" s="101">
        <f>VPN!P550</f>
        <v>0</v>
      </c>
      <c r="C246" s="102">
        <f>VPN!Q550</f>
        <v>0</v>
      </c>
    </row>
    <row r="247" spans="1:3" x14ac:dyDescent="0.3">
      <c r="A247" s="103">
        <f>VPN!A602</f>
        <v>0</v>
      </c>
      <c r="B247" s="101">
        <f>VPN!P551</f>
        <v>0</v>
      </c>
      <c r="C247" s="102">
        <f>VPN!Q551</f>
        <v>0</v>
      </c>
    </row>
    <row r="248" spans="1:3" x14ac:dyDescent="0.3">
      <c r="A248" s="103">
        <f>VPN!A603</f>
        <v>0</v>
      </c>
      <c r="B248" s="101">
        <f>VPN!P552</f>
        <v>0</v>
      </c>
      <c r="C248" s="102">
        <f>VPN!Q552</f>
        <v>0</v>
      </c>
    </row>
    <row r="249" spans="1:3" x14ac:dyDescent="0.3">
      <c r="A249" s="103">
        <f>VPN!A604</f>
        <v>0</v>
      </c>
      <c r="B249" s="101">
        <f>VPN!P553</f>
        <v>0</v>
      </c>
      <c r="C249" s="102">
        <f>VPN!Q553</f>
        <v>0</v>
      </c>
    </row>
    <row r="250" spans="1:3" x14ac:dyDescent="0.3">
      <c r="A250" s="103">
        <f>VPN!A605</f>
        <v>0</v>
      </c>
      <c r="B250" s="101">
        <f>VPN!P554</f>
        <v>0</v>
      </c>
      <c r="C250" s="102">
        <f>VPN!Q554</f>
        <v>0</v>
      </c>
    </row>
    <row r="251" spans="1:3" x14ac:dyDescent="0.3">
      <c r="A251" s="103">
        <f>VPN!A606</f>
        <v>0</v>
      </c>
      <c r="B251" s="101">
        <f>VPN!P555</f>
        <v>0</v>
      </c>
      <c r="C251" s="102">
        <f>VPN!Q555</f>
        <v>0</v>
      </c>
    </row>
    <row r="252" spans="1:3" x14ac:dyDescent="0.3">
      <c r="A252" s="103">
        <f>VPN!A607</f>
        <v>0</v>
      </c>
      <c r="B252" s="101">
        <f>VPN!P556</f>
        <v>0</v>
      </c>
      <c r="C252" s="102">
        <f>VPN!Q556</f>
        <v>0</v>
      </c>
    </row>
    <row r="253" spans="1:3" x14ac:dyDescent="0.3">
      <c r="A253" s="103">
        <f>VPN!A608</f>
        <v>0</v>
      </c>
      <c r="B253" s="101">
        <f>VPN!P557</f>
        <v>0</v>
      </c>
      <c r="C253" s="102">
        <f>VPN!Q557</f>
        <v>0</v>
      </c>
    </row>
    <row r="254" spans="1:3" x14ac:dyDescent="0.3">
      <c r="A254" s="103">
        <f>VPN!A609</f>
        <v>0</v>
      </c>
      <c r="B254" s="101">
        <f>VPN!P558</f>
        <v>0</v>
      </c>
      <c r="C254" s="102">
        <f>VPN!Q558</f>
        <v>0</v>
      </c>
    </row>
    <row r="255" spans="1:3" x14ac:dyDescent="0.3">
      <c r="A255" s="103">
        <f>VPN!A610</f>
        <v>0</v>
      </c>
      <c r="B255" s="101">
        <f>VPN!P559</f>
        <v>0</v>
      </c>
      <c r="C255" s="102">
        <f>VPN!Q559</f>
        <v>0</v>
      </c>
    </row>
    <row r="256" spans="1:3" x14ac:dyDescent="0.3">
      <c r="A256" s="103">
        <f>VPN!A611</f>
        <v>0</v>
      </c>
      <c r="B256" s="101">
        <f>VPN!P560</f>
        <v>0</v>
      </c>
      <c r="C256" s="102">
        <f>VPN!Q560</f>
        <v>0</v>
      </c>
    </row>
    <row r="257" spans="1:3" x14ac:dyDescent="0.3">
      <c r="A257" s="103">
        <f>VPN!A612</f>
        <v>0</v>
      </c>
      <c r="B257" s="101">
        <f>VPN!P561</f>
        <v>0</v>
      </c>
      <c r="C257" s="102">
        <f>VPN!Q561</f>
        <v>0</v>
      </c>
    </row>
    <row r="258" spans="1:3" x14ac:dyDescent="0.3">
      <c r="A258" s="103">
        <f>VPN!A613</f>
        <v>0</v>
      </c>
      <c r="B258" s="101">
        <f>VPN!P562</f>
        <v>0</v>
      </c>
      <c r="C258" s="102">
        <f>VPN!Q562</f>
        <v>0</v>
      </c>
    </row>
    <row r="259" spans="1:3" x14ac:dyDescent="0.3">
      <c r="A259" s="103">
        <f>VPN!A614</f>
        <v>0</v>
      </c>
      <c r="B259" s="101">
        <f>VPN!P563</f>
        <v>0</v>
      </c>
      <c r="C259" s="102">
        <f>VPN!Q563</f>
        <v>0</v>
      </c>
    </row>
    <row r="260" spans="1:3" x14ac:dyDescent="0.3">
      <c r="A260" s="103">
        <f>VPN!A615</f>
        <v>0</v>
      </c>
      <c r="B260" s="101">
        <f>VPN!P564</f>
        <v>0</v>
      </c>
      <c r="C260" s="102">
        <f>VPN!Q564</f>
        <v>0</v>
      </c>
    </row>
    <row r="261" spans="1:3" x14ac:dyDescent="0.3">
      <c r="A261" s="103">
        <f>VPN!A616</f>
        <v>0</v>
      </c>
      <c r="B261" s="101">
        <f>VPN!P565</f>
        <v>0</v>
      </c>
      <c r="C261" s="102">
        <f>VPN!Q565</f>
        <v>0</v>
      </c>
    </row>
    <row r="262" spans="1:3" x14ac:dyDescent="0.3">
      <c r="A262" s="103">
        <f>VPN!A617</f>
        <v>0</v>
      </c>
      <c r="B262" s="101">
        <f>VPN!P566</f>
        <v>0</v>
      </c>
      <c r="C262" s="102">
        <f>VPN!Q566</f>
        <v>0</v>
      </c>
    </row>
    <row r="263" spans="1:3" x14ac:dyDescent="0.3">
      <c r="A263" s="103">
        <f>VPN!A618</f>
        <v>0</v>
      </c>
      <c r="B263" s="101">
        <f>VPN!P567</f>
        <v>0</v>
      </c>
      <c r="C263" s="102">
        <f>VPN!Q567</f>
        <v>0</v>
      </c>
    </row>
    <row r="264" spans="1:3" x14ac:dyDescent="0.3">
      <c r="A264" s="103">
        <f>VPN!A619</f>
        <v>0</v>
      </c>
      <c r="B264" s="101">
        <f>VPN!P568</f>
        <v>0</v>
      </c>
      <c r="C264" s="102">
        <f>VPN!Q568</f>
        <v>0</v>
      </c>
    </row>
    <row r="265" spans="1:3" x14ac:dyDescent="0.3">
      <c r="A265" s="103">
        <f>VPN!A620</f>
        <v>0</v>
      </c>
      <c r="B265" s="101">
        <f>VPN!P569</f>
        <v>0</v>
      </c>
      <c r="C265" s="102">
        <f>VPN!Q569</f>
        <v>0</v>
      </c>
    </row>
    <row r="266" spans="1:3" x14ac:dyDescent="0.3">
      <c r="A266" s="103">
        <f>VPN!A621</f>
        <v>0</v>
      </c>
      <c r="B266" s="101">
        <f>VPN!P570</f>
        <v>0</v>
      </c>
      <c r="C266" s="102">
        <f>VPN!Q570</f>
        <v>0</v>
      </c>
    </row>
    <row r="267" spans="1:3" x14ac:dyDescent="0.3">
      <c r="A267" s="103">
        <f>VPN!A622</f>
        <v>0</v>
      </c>
      <c r="B267" s="101">
        <f>VPN!P571</f>
        <v>0</v>
      </c>
      <c r="C267" s="102">
        <f>VPN!Q571</f>
        <v>0</v>
      </c>
    </row>
    <row r="268" spans="1:3" x14ac:dyDescent="0.3">
      <c r="A268" s="103">
        <f>VPN!A623</f>
        <v>0</v>
      </c>
      <c r="B268" s="101">
        <f>VPN!P572</f>
        <v>0</v>
      </c>
      <c r="C268" s="102">
        <f>VPN!Q572</f>
        <v>0</v>
      </c>
    </row>
    <row r="269" spans="1:3" x14ac:dyDescent="0.3">
      <c r="A269" s="103">
        <f>VPN!A624</f>
        <v>0</v>
      </c>
      <c r="B269" s="101">
        <f>VPN!P573</f>
        <v>0</v>
      </c>
      <c r="C269" s="102">
        <f>VPN!Q573</f>
        <v>0</v>
      </c>
    </row>
    <row r="270" spans="1:3" x14ac:dyDescent="0.3">
      <c r="A270" s="103">
        <f>VPN!A625</f>
        <v>0</v>
      </c>
      <c r="B270" s="101">
        <f>VPN!P574</f>
        <v>0</v>
      </c>
      <c r="C270" s="102">
        <f>VPN!Q574</f>
        <v>0</v>
      </c>
    </row>
    <row r="271" spans="1:3" x14ac:dyDescent="0.3">
      <c r="A271" s="103">
        <f>VPN!A626</f>
        <v>0</v>
      </c>
      <c r="B271" s="101">
        <f>VPN!P575</f>
        <v>0</v>
      </c>
      <c r="C271" s="102">
        <f>VPN!Q575</f>
        <v>0</v>
      </c>
    </row>
    <row r="272" spans="1:3" x14ac:dyDescent="0.3">
      <c r="A272" s="103">
        <f>VPN!A627</f>
        <v>0</v>
      </c>
      <c r="B272" s="101">
        <f>VPN!P576</f>
        <v>0</v>
      </c>
      <c r="C272" s="102">
        <f>VPN!Q576</f>
        <v>0</v>
      </c>
    </row>
    <row r="273" spans="1:3" x14ac:dyDescent="0.3">
      <c r="A273" s="103">
        <f>VPN!A628</f>
        <v>0</v>
      </c>
      <c r="B273" s="101">
        <f>VPN!P577</f>
        <v>0</v>
      </c>
      <c r="C273" s="102">
        <f>VPN!Q577</f>
        <v>0</v>
      </c>
    </row>
    <row r="274" spans="1:3" x14ac:dyDescent="0.3">
      <c r="A274" s="103">
        <f>VPN!A629</f>
        <v>0</v>
      </c>
      <c r="B274" s="101">
        <f>VPN!P578</f>
        <v>0</v>
      </c>
      <c r="C274" s="102">
        <f>VPN!Q578</f>
        <v>0</v>
      </c>
    </row>
    <row r="275" spans="1:3" x14ac:dyDescent="0.3">
      <c r="A275" s="103">
        <f>VPN!A630</f>
        <v>0</v>
      </c>
      <c r="B275" s="101">
        <f>VPN!P579</f>
        <v>0</v>
      </c>
      <c r="C275" s="102">
        <f>VPN!Q579</f>
        <v>0</v>
      </c>
    </row>
    <row r="276" spans="1:3" x14ac:dyDescent="0.3">
      <c r="A276" s="103">
        <f>VPN!A631</f>
        <v>0</v>
      </c>
      <c r="B276" s="101">
        <f>VPN!P580</f>
        <v>0</v>
      </c>
      <c r="C276" s="102">
        <f>VPN!Q580</f>
        <v>0</v>
      </c>
    </row>
    <row r="277" spans="1:3" x14ac:dyDescent="0.3">
      <c r="A277" s="103">
        <f>VPN!A632</f>
        <v>0</v>
      </c>
      <c r="B277" s="101">
        <f>VPN!P581</f>
        <v>0</v>
      </c>
      <c r="C277" s="102">
        <f>VPN!Q581</f>
        <v>0</v>
      </c>
    </row>
    <row r="278" spans="1:3" x14ac:dyDescent="0.3">
      <c r="A278" s="103">
        <f>VPN!A633</f>
        <v>0</v>
      </c>
      <c r="B278" s="101">
        <f>VPN!P582</f>
        <v>0</v>
      </c>
      <c r="C278" s="102">
        <f>VPN!Q582</f>
        <v>0</v>
      </c>
    </row>
    <row r="279" spans="1:3" x14ac:dyDescent="0.3">
      <c r="A279" s="103">
        <f>VPN!A634</f>
        <v>0</v>
      </c>
      <c r="B279" s="101">
        <f>VPN!P583</f>
        <v>0</v>
      </c>
      <c r="C279" s="102">
        <f>VPN!Q583</f>
        <v>0</v>
      </c>
    </row>
    <row r="280" spans="1:3" x14ac:dyDescent="0.3">
      <c r="A280" s="103">
        <f>VPN!A635</f>
        <v>0</v>
      </c>
      <c r="B280" s="101">
        <f>VPN!P584</f>
        <v>0</v>
      </c>
      <c r="C280" s="102">
        <f>VPN!Q584</f>
        <v>0</v>
      </c>
    </row>
    <row r="281" spans="1:3" x14ac:dyDescent="0.3">
      <c r="A281" s="103">
        <f>VPN!A636</f>
        <v>0</v>
      </c>
      <c r="B281" s="101">
        <f>VPN!P585</f>
        <v>0</v>
      </c>
      <c r="C281" s="102">
        <f>VPN!Q585</f>
        <v>0</v>
      </c>
    </row>
    <row r="282" spans="1:3" x14ac:dyDescent="0.3">
      <c r="A282" s="103">
        <f>VPN!A637</f>
        <v>0</v>
      </c>
      <c r="B282" s="101">
        <f>VPN!P586</f>
        <v>0</v>
      </c>
      <c r="C282" s="102">
        <f>VPN!Q586</f>
        <v>0</v>
      </c>
    </row>
    <row r="283" spans="1:3" x14ac:dyDescent="0.3">
      <c r="A283" s="103">
        <f>VPN!A638</f>
        <v>0</v>
      </c>
      <c r="B283" s="101">
        <f>VPN!P587</f>
        <v>0</v>
      </c>
      <c r="C283" s="102">
        <f>VPN!Q587</f>
        <v>0</v>
      </c>
    </row>
    <row r="284" spans="1:3" x14ac:dyDescent="0.3">
      <c r="A284" s="103">
        <f>VPN!A639</f>
        <v>0</v>
      </c>
      <c r="B284" s="101">
        <f>VPN!P588</f>
        <v>0</v>
      </c>
      <c r="C284" s="102">
        <f>VPN!Q588</f>
        <v>0</v>
      </c>
    </row>
    <row r="285" spans="1:3" x14ac:dyDescent="0.3">
      <c r="A285" s="103">
        <f>VPN!A640</f>
        <v>0</v>
      </c>
      <c r="B285" s="101">
        <f>VPN!P589</f>
        <v>0</v>
      </c>
      <c r="C285" s="102">
        <f>VPN!Q589</f>
        <v>0</v>
      </c>
    </row>
    <row r="286" spans="1:3" x14ac:dyDescent="0.3">
      <c r="A286" s="103">
        <f>VPN!A641</f>
        <v>0</v>
      </c>
      <c r="B286" s="101">
        <f>VPN!P590</f>
        <v>0</v>
      </c>
      <c r="C286" s="102">
        <f>VPN!Q590</f>
        <v>0</v>
      </c>
    </row>
    <row r="287" spans="1:3" x14ac:dyDescent="0.3">
      <c r="A287" s="103">
        <f>VPN!A642</f>
        <v>0</v>
      </c>
      <c r="B287" s="101">
        <f>VPN!P591</f>
        <v>0</v>
      </c>
      <c r="C287" s="102">
        <f>VPN!Q591</f>
        <v>0</v>
      </c>
    </row>
    <row r="288" spans="1:3" x14ac:dyDescent="0.3">
      <c r="A288" s="103">
        <f>VPN!A643</f>
        <v>0</v>
      </c>
      <c r="B288" s="101">
        <f>VPN!P592</f>
        <v>0</v>
      </c>
      <c r="C288" s="102">
        <f>VPN!Q592</f>
        <v>0</v>
      </c>
    </row>
    <row r="289" spans="1:3" x14ac:dyDescent="0.3">
      <c r="A289" s="103">
        <f>VPN!A644</f>
        <v>0</v>
      </c>
      <c r="B289" s="101">
        <f>VPN!P593</f>
        <v>0</v>
      </c>
      <c r="C289" s="102">
        <f>VPN!Q593</f>
        <v>0</v>
      </c>
    </row>
    <row r="290" spans="1:3" x14ac:dyDescent="0.3">
      <c r="A290" s="103">
        <f>VPN!A645</f>
        <v>0</v>
      </c>
      <c r="B290" s="101">
        <f>VPN!P594</f>
        <v>0</v>
      </c>
      <c r="C290" s="102">
        <f>VPN!Q594</f>
        <v>0</v>
      </c>
    </row>
    <row r="291" spans="1:3" x14ac:dyDescent="0.3">
      <c r="A291" s="103">
        <f>VPN!A646</f>
        <v>0</v>
      </c>
      <c r="B291" s="101">
        <f>VPN!P595</f>
        <v>0</v>
      </c>
      <c r="C291" s="102">
        <f>VPN!Q595</f>
        <v>0</v>
      </c>
    </row>
    <row r="292" spans="1:3" x14ac:dyDescent="0.3">
      <c r="A292" s="103">
        <f>VPN!A647</f>
        <v>0</v>
      </c>
      <c r="B292" s="101">
        <f>VPN!P596</f>
        <v>0</v>
      </c>
      <c r="C292" s="102">
        <f>VPN!Q596</f>
        <v>0</v>
      </c>
    </row>
    <row r="293" spans="1:3" x14ac:dyDescent="0.3">
      <c r="A293" s="103">
        <f>VPN!A648</f>
        <v>0</v>
      </c>
      <c r="B293" s="101">
        <f>VPN!P597</f>
        <v>0</v>
      </c>
      <c r="C293" s="102">
        <f>VPN!Q597</f>
        <v>0</v>
      </c>
    </row>
    <row r="294" spans="1:3" x14ac:dyDescent="0.3">
      <c r="A294" s="103">
        <f>VPN!A649</f>
        <v>0</v>
      </c>
      <c r="B294" s="101">
        <f>VPN!P598</f>
        <v>0</v>
      </c>
      <c r="C294" s="102">
        <f>VPN!Q598</f>
        <v>0</v>
      </c>
    </row>
  </sheetData>
  <autoFilter ref="A1:C1">
    <sortState ref="A2:C294">
      <sortCondition descending="1" ref="C1"/>
    </sortState>
  </autoFilter>
  <conditionalFormatting sqref="C1:C1048576">
    <cfRule type="cellIs" dxfId="2" priority="1" operator="greaterThan">
      <formula>0.5</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419"/>
  <sheetViews>
    <sheetView workbookViewId="0">
      <selection activeCell="E42" sqref="E42"/>
    </sheetView>
  </sheetViews>
  <sheetFormatPr defaultRowHeight="14.4" x14ac:dyDescent="0.3"/>
  <cols>
    <col min="1" max="1" width="24.5546875" style="104" bestFit="1" customWidth="1"/>
    <col min="2" max="2" width="11.6640625" bestFit="1" customWidth="1"/>
    <col min="3" max="3" width="10.33203125" bestFit="1" customWidth="1"/>
  </cols>
  <sheetData>
    <row r="1" spans="1:3" s="104" customFormat="1" ht="14.7" x14ac:dyDescent="0.35">
      <c r="A1" s="103" t="s">
        <v>140</v>
      </c>
      <c r="B1" s="103" t="s">
        <v>2374</v>
      </c>
      <c r="C1" s="105" t="s">
        <v>2375</v>
      </c>
    </row>
    <row r="2" spans="1:3" ht="14.7" x14ac:dyDescent="0.35">
      <c r="A2" s="103" t="e">
        <f>'3G_REGIONS'!#REF!</f>
        <v>#REF!</v>
      </c>
      <c r="B2" s="101" t="e">
        <f>'3G_REGIONS'!#REF!</f>
        <v>#REF!</v>
      </c>
      <c r="C2" s="101" t="e">
        <f>'3G_REGIONS'!#REF!</f>
        <v>#REF!</v>
      </c>
    </row>
    <row r="3" spans="1:3" ht="14.7" x14ac:dyDescent="0.35">
      <c r="A3" s="103" t="str">
        <f>'3G_REGIONS'!A777</f>
        <v>Osakarovka</v>
      </c>
      <c r="B3" s="101" t="e">
        <f>'3G_REGIONS'!#REF!</f>
        <v>#REF!</v>
      </c>
      <c r="C3" s="101" t="e">
        <f>'3G_REGIONS'!#REF!</f>
        <v>#REF!</v>
      </c>
    </row>
    <row r="4" spans="1:3" ht="14.7" x14ac:dyDescent="0.35">
      <c r="A4" s="103" t="str">
        <f>'3G_REGIONS'!A1129</f>
        <v>Zhansugurov</v>
      </c>
      <c r="B4" s="101" t="e">
        <f>'3G_REGIONS'!#REF!</f>
        <v>#REF!</v>
      </c>
      <c r="C4" s="101" t="e">
        <f>'3G_REGIONS'!#REF!</f>
        <v>#REF!</v>
      </c>
    </row>
    <row r="5" spans="1:3" ht="14.7" x14ac:dyDescent="0.35">
      <c r="A5" s="103" t="str">
        <f>'3G_REGIONS'!A614</f>
        <v>Kotyaevka</v>
      </c>
      <c r="B5" s="101" t="e">
        <f>'3G_REGIONS'!#REF!</f>
        <v>#REF!</v>
      </c>
      <c r="C5" s="101" t="e">
        <f>'3G_REGIONS'!#REF!</f>
        <v>#REF!</v>
      </c>
    </row>
    <row r="6" spans="1:3" ht="14.7" x14ac:dyDescent="0.35">
      <c r="A6" s="103" t="str">
        <f>'3G_REGIONS'!A635</f>
        <v>Kurchatov</v>
      </c>
      <c r="B6" s="101" t="e">
        <f>'3G_REGIONS'!#REF!</f>
        <v>#REF!</v>
      </c>
      <c r="C6" s="101" t="e">
        <f>'3G_REGIONS'!#REF!</f>
        <v>#REF!</v>
      </c>
    </row>
    <row r="7" spans="1:3" ht="14.7" x14ac:dyDescent="0.35">
      <c r="A7" s="103" t="str">
        <f>'3G_REGIONS'!A713</f>
        <v>Martuk</v>
      </c>
      <c r="B7" s="101" t="e">
        <f>'3G_REGIONS'!#REF!</f>
        <v>#REF!</v>
      </c>
      <c r="C7" s="101" t="e">
        <f>'3G_REGIONS'!#REF!</f>
        <v>#REF!</v>
      </c>
    </row>
    <row r="8" spans="1:3" ht="14.7" x14ac:dyDescent="0.35">
      <c r="A8" s="103" t="str">
        <f>'3G_REGIONS'!A926</f>
        <v>Shu</v>
      </c>
      <c r="B8" s="101" t="e">
        <f>'3G_REGIONS'!#REF!</f>
        <v>#REF!</v>
      </c>
      <c r="C8" s="101" t="e">
        <f>'3G_REGIONS'!#REF!</f>
        <v>#REF!</v>
      </c>
    </row>
    <row r="9" spans="1:3" ht="14.7" x14ac:dyDescent="0.35">
      <c r="A9" s="103" t="str">
        <f>'3G_REGIONS'!A1135</f>
        <v>Zharkent</v>
      </c>
      <c r="B9" s="101" t="e">
        <f>'3G_REGIONS'!#REF!</f>
        <v>#REF!</v>
      </c>
      <c r="C9" s="101" t="e">
        <f>'3G_REGIONS'!#REF!</f>
        <v>#REF!</v>
      </c>
    </row>
    <row r="10" spans="1:3" ht="14.7" x14ac:dyDescent="0.35">
      <c r="A10" s="103" t="str">
        <f>'3G_REGIONS'!A38</f>
        <v>Akshukur</v>
      </c>
      <c r="B10" s="101" t="e">
        <f>'3G_REGIONS'!#REF!</f>
        <v>#REF!</v>
      </c>
      <c r="C10" s="101" t="e">
        <f>'3G_REGIONS'!#REF!</f>
        <v>#REF!</v>
      </c>
    </row>
    <row r="11" spans="1:3" ht="14.7" x14ac:dyDescent="0.35">
      <c r="A11" s="103" t="str">
        <f>'3G_REGIONS'!A245</f>
        <v>Blagoveshenka</v>
      </c>
      <c r="B11" s="101" t="e">
        <f>'3G_REGIONS'!#REF!</f>
        <v>#REF!</v>
      </c>
      <c r="C11" s="101" t="e">
        <f>'3G_REGIONS'!#REF!</f>
        <v>#REF!</v>
      </c>
    </row>
    <row r="12" spans="1:3" ht="14.7" x14ac:dyDescent="0.35">
      <c r="A12" s="103" t="str">
        <f>'3G_REGIONS'!A735</f>
        <v>Momyshuli</v>
      </c>
      <c r="B12" s="101" t="e">
        <f>'3G_REGIONS'!#REF!</f>
        <v>#REF!</v>
      </c>
      <c r="C12" s="101" t="e">
        <f>'3G_REGIONS'!#REF!</f>
        <v>#REF!</v>
      </c>
    </row>
    <row r="13" spans="1:3" ht="14.7" x14ac:dyDescent="0.35">
      <c r="A13" s="103" t="str">
        <f>'3G_REGIONS'!A207</f>
        <v>Balkuduk</v>
      </c>
      <c r="B13" s="101" t="e">
        <f>'3G_REGIONS'!#REF!</f>
        <v>#REF!</v>
      </c>
      <c r="C13" s="101" t="e">
        <f>'3G_REGIONS'!#REF!</f>
        <v>#REF!</v>
      </c>
    </row>
    <row r="14" spans="1:3" ht="14.7" x14ac:dyDescent="0.35">
      <c r="A14" s="103" t="str">
        <f>'3G_REGIONS'!A1125</f>
        <v>Zhanazhol</v>
      </c>
      <c r="B14" s="101" t="e">
        <f>'3G_REGIONS'!#REF!</f>
        <v>#REF!</v>
      </c>
      <c r="C14" s="101" t="e">
        <f>'3G_REGIONS'!#REF!</f>
        <v>#REF!</v>
      </c>
    </row>
    <row r="15" spans="1:3" ht="14.7" x14ac:dyDescent="0.35">
      <c r="A15" s="103" t="str">
        <f>'3G_REGIONS'!A1012</f>
        <v>Terenozek</v>
      </c>
      <c r="B15" s="101" t="e">
        <f>'3G_REGIONS'!#REF!</f>
        <v>#REF!</v>
      </c>
      <c r="C15" s="101" t="e">
        <f>'3G_REGIONS'!#REF!</f>
        <v>#REF!</v>
      </c>
    </row>
    <row r="16" spans="1:3" ht="14.7" x14ac:dyDescent="0.35">
      <c r="A16" s="103" t="str">
        <f>'3G_REGIONS'!A1083</f>
        <v>Zaysan</v>
      </c>
      <c r="B16" s="101" t="e">
        <f>'3G_REGIONS'!#REF!</f>
        <v>#REF!</v>
      </c>
      <c r="C16" s="101" t="e">
        <f>'3G_REGIONS'!#REF!</f>
        <v>#REF!</v>
      </c>
    </row>
    <row r="17" spans="1:3" ht="14.7" x14ac:dyDescent="0.35">
      <c r="A17" s="103" t="str">
        <f>'3G_REGIONS'!A729</f>
        <v>Miyaly</v>
      </c>
      <c r="B17" s="101" t="e">
        <f>'3G_REGIONS'!#REF!</f>
        <v>#REF!</v>
      </c>
      <c r="C17" s="101" t="e">
        <f>'3G_REGIONS'!#REF!</f>
        <v>#REF!</v>
      </c>
    </row>
    <row r="18" spans="1:3" ht="14.7" x14ac:dyDescent="0.35">
      <c r="A18" s="103" t="str">
        <f>'3G_REGIONS'!A972</f>
        <v>Tahtabrod</v>
      </c>
      <c r="B18" s="101" t="e">
        <f>'3G_REGIONS'!#REF!</f>
        <v>#REF!</v>
      </c>
      <c r="C18" s="101" t="e">
        <f>'3G_REGIONS'!#REF!</f>
        <v>#REF!</v>
      </c>
    </row>
    <row r="19" spans="1:3" ht="14.7" x14ac:dyDescent="0.35">
      <c r="A19" s="103" t="str">
        <f>'3G_REGIONS'!A438</f>
        <v>Karabau</v>
      </c>
      <c r="B19" s="101" t="e">
        <f>'3G_REGIONS'!#REF!</f>
        <v>#REF!</v>
      </c>
      <c r="C19" s="101" t="e">
        <f>'3G_REGIONS'!#REF!</f>
        <v>#REF!</v>
      </c>
    </row>
    <row r="20" spans="1:3" ht="14.7" x14ac:dyDescent="0.35">
      <c r="A20" s="103" t="str">
        <f>'3G_REGIONS'!A892</f>
        <v>Shaulder</v>
      </c>
      <c r="B20" s="101" t="e">
        <f>'3G_REGIONS'!#REF!</f>
        <v>#REF!</v>
      </c>
      <c r="C20" s="101" t="e">
        <f>'3G_REGIONS'!#REF!</f>
        <v>#REF!</v>
      </c>
    </row>
    <row r="21" spans="1:3" ht="14.7" x14ac:dyDescent="0.35">
      <c r="A21" s="103" t="str">
        <f>'3G_REGIONS'!A365</f>
        <v>Hromtau</v>
      </c>
      <c r="B21" s="101" t="e">
        <f>'3G_REGIONS'!#REF!</f>
        <v>#REF!</v>
      </c>
      <c r="C21" s="101" t="e">
        <f>'3G_REGIONS'!#REF!</f>
        <v>#REF!</v>
      </c>
    </row>
    <row r="22" spans="1:3" ht="14.7" x14ac:dyDescent="0.35">
      <c r="A22" s="103" t="str">
        <f>'3G_REGIONS'!A702</f>
        <v>Makat</v>
      </c>
      <c r="B22" s="101" t="e">
        <f>'3G_REGIONS'!#REF!</f>
        <v>#REF!</v>
      </c>
      <c r="C22" s="101" t="e">
        <f>'3G_REGIONS'!#REF!</f>
        <v>#REF!</v>
      </c>
    </row>
    <row r="23" spans="1:3" ht="14.7" x14ac:dyDescent="0.35">
      <c r="A23" s="103" t="str">
        <f>'3G_REGIONS'!A950</f>
        <v>Shuchinsk</v>
      </c>
      <c r="B23" s="101" t="e">
        <f>'3G_REGIONS'!#REF!</f>
        <v>#REF!</v>
      </c>
      <c r="C23" s="101" t="e">
        <f>'3G_REGIONS'!#REF!</f>
        <v>#REF!</v>
      </c>
    </row>
    <row r="24" spans="1:3" ht="14.7" x14ac:dyDescent="0.35">
      <c r="A24" s="103" t="str">
        <f>'3G_REGIONS'!A164</f>
        <v>Atbasar</v>
      </c>
      <c r="B24" s="101" t="e">
        <f>'3G_REGIONS'!#REF!</f>
        <v>#REF!</v>
      </c>
      <c r="C24" s="101" t="e">
        <f>'3G_REGIONS'!#REF!</f>
        <v>#REF!</v>
      </c>
    </row>
    <row r="25" spans="1:3" ht="14.7" x14ac:dyDescent="0.35">
      <c r="A25" s="103" t="str">
        <f>'3G_REGIONS'!A981</f>
        <v>Talgar</v>
      </c>
      <c r="B25" s="101" t="e">
        <f>'3G_REGIONS'!#REF!</f>
        <v>#REF!</v>
      </c>
      <c r="C25" s="101" t="e">
        <f>'3G_REGIONS'!#REF!</f>
        <v>#REF!</v>
      </c>
    </row>
    <row r="26" spans="1:3" ht="14.7" x14ac:dyDescent="0.35">
      <c r="A26" s="103" t="str">
        <f>'3G_REGIONS'!A1101</f>
        <v>Zhalpaktal</v>
      </c>
      <c r="B26" s="101" t="e">
        <f>'3G_REGIONS'!#REF!</f>
        <v>#REF!</v>
      </c>
      <c r="C26" s="101" t="e">
        <f>'3G_REGIONS'!#REF!</f>
        <v>#REF!</v>
      </c>
    </row>
    <row r="27" spans="1:3" ht="14.7" x14ac:dyDescent="0.35">
      <c r="A27" s="103" t="str">
        <f>'3G_REGIONS'!A308</f>
        <v>Dostyk</v>
      </c>
      <c r="B27" s="101" t="e">
        <f>'3G_REGIONS'!#REF!</f>
        <v>#REF!</v>
      </c>
      <c r="C27" s="101" t="e">
        <f>'3G_REGIONS'!#REF!</f>
        <v>#REF!</v>
      </c>
    </row>
    <row r="28" spans="1:3" ht="14.7" x14ac:dyDescent="0.35">
      <c r="A28" s="103" t="str">
        <f>'3G_REGIONS'!A539</f>
        <v>Kemer</v>
      </c>
      <c r="B28" s="101" t="e">
        <f>'3G_REGIONS'!#REF!</f>
        <v>#REF!</v>
      </c>
      <c r="C28" s="101" t="e">
        <f>'3G_REGIONS'!#REF!</f>
        <v>#REF!</v>
      </c>
    </row>
    <row r="29" spans="1:3" ht="14.7" x14ac:dyDescent="0.35">
      <c r="A29" s="103" t="str">
        <f>'3G_REGIONS'!A912</f>
        <v>Shieli</v>
      </c>
      <c r="B29" s="101" t="e">
        <f>'3G_REGIONS'!#REF!</f>
        <v>#REF!</v>
      </c>
      <c r="C29" s="101" t="e">
        <f>'3G_REGIONS'!#REF!</f>
        <v>#REF!</v>
      </c>
    </row>
    <row r="30" spans="1:3" ht="14.7" x14ac:dyDescent="0.35">
      <c r="A30" s="103" t="str">
        <f>'3G_REGIONS'!A1002</f>
        <v>Tekeli</v>
      </c>
      <c r="B30" s="101" t="e">
        <f>'3G_REGIONS'!#REF!</f>
        <v>#REF!</v>
      </c>
      <c r="C30" s="101" t="e">
        <f>'3G_REGIONS'!#REF!</f>
        <v>#REF!</v>
      </c>
    </row>
    <row r="31" spans="1:3" x14ac:dyDescent="0.3">
      <c r="A31" s="103" t="e">
        <f>'3G_REGIONS'!#REF!</f>
        <v>#REF!</v>
      </c>
      <c r="B31" s="101" t="e">
        <f>'3G_REGIONS'!#REF!</f>
        <v>#REF!</v>
      </c>
      <c r="C31" s="101" t="e">
        <f>'3G_REGIONS'!#REF!</f>
        <v>#REF!</v>
      </c>
    </row>
    <row r="32" spans="1:3" x14ac:dyDescent="0.3">
      <c r="A32" s="103" t="str">
        <f>'3G_REGIONS'!A528</f>
        <v>Katon</v>
      </c>
      <c r="B32" s="101" t="e">
        <f>'3G_REGIONS'!#REF!</f>
        <v>#REF!</v>
      </c>
      <c r="C32" s="101" t="e">
        <f>'3G_REGIONS'!#REF!</f>
        <v>#REF!</v>
      </c>
    </row>
    <row r="33" spans="1:3" x14ac:dyDescent="0.3">
      <c r="A33" s="103" t="str">
        <f>'3G_REGIONS'!A405</f>
        <v>Kabanbai-Taldyk</v>
      </c>
      <c r="B33" s="101" t="e">
        <f>'3G_REGIONS'!#REF!</f>
        <v>#REF!</v>
      </c>
      <c r="C33" s="101" t="e">
        <f>'3G_REGIONS'!#REF!</f>
        <v>#REF!</v>
      </c>
    </row>
    <row r="34" spans="1:3" x14ac:dyDescent="0.3">
      <c r="A34" s="103" t="str">
        <f>'3G_REGIONS'!A887</f>
        <v>Shardara</v>
      </c>
      <c r="B34" s="101" t="e">
        <f>'3G_REGIONS'!#REF!</f>
        <v>#REF!</v>
      </c>
      <c r="C34" s="101" t="e">
        <f>'3G_REGIONS'!#REF!</f>
        <v>#REF!</v>
      </c>
    </row>
    <row r="35" spans="1:3" x14ac:dyDescent="0.3">
      <c r="A35" s="103" t="str">
        <f>'3G_REGIONS'!A221</f>
        <v>Bayganin</v>
      </c>
      <c r="B35" s="101" t="e">
        <f>'3G_REGIONS'!#REF!</f>
        <v>#REF!</v>
      </c>
      <c r="C35" s="101" t="e">
        <f>'3G_REGIONS'!#REF!</f>
        <v>#REF!</v>
      </c>
    </row>
    <row r="36" spans="1:3" x14ac:dyDescent="0.3">
      <c r="A36" s="103" t="str">
        <f>'3G_REGIONS'!A1028</f>
        <v>Uil</v>
      </c>
      <c r="B36" s="101" t="e">
        <f>'3G_REGIONS'!#REF!</f>
        <v>#REF!</v>
      </c>
      <c r="C36" s="101" t="e">
        <f>'3G_REGIONS'!#REF!</f>
        <v>#REF!</v>
      </c>
    </row>
    <row r="37" spans="1:3" x14ac:dyDescent="0.3">
      <c r="A37" s="103" t="str">
        <f>'3G_REGIONS'!A178</f>
        <v>Ayaguz</v>
      </c>
      <c r="B37" s="101" t="e">
        <f>'3G_REGIONS'!#REF!</f>
        <v>#REF!</v>
      </c>
      <c r="C37" s="101" t="e">
        <f>'3G_REGIONS'!#REF!</f>
        <v>#REF!</v>
      </c>
    </row>
    <row r="38" spans="1:3" x14ac:dyDescent="0.3">
      <c r="A38" s="103" t="str">
        <f>'3G_REGIONS'!A431</f>
        <v>Kandygash</v>
      </c>
      <c r="B38" s="101" t="e">
        <f>'3G_REGIONS'!#REF!</f>
        <v>#REF!</v>
      </c>
      <c r="C38" s="101" t="e">
        <f>'3G_REGIONS'!#REF!</f>
        <v>#REF!</v>
      </c>
    </row>
    <row r="39" spans="1:3" x14ac:dyDescent="0.3">
      <c r="A39" s="103" t="str">
        <f>'3G_REGIONS'!A674</f>
        <v>Lenger</v>
      </c>
      <c r="B39" s="101" t="e">
        <f>'3G_REGIONS'!#REF!</f>
        <v>#REF!</v>
      </c>
      <c r="C39" s="101" t="e">
        <f>'3G_REGIONS'!#REF!</f>
        <v>#REF!</v>
      </c>
    </row>
    <row r="40" spans="1:3" x14ac:dyDescent="0.3">
      <c r="A40" s="103" t="str">
        <f>'3G_REGIONS'!A877</f>
        <v>Shahtinsk</v>
      </c>
      <c r="B40" s="101" t="e">
        <f>'3G_REGIONS'!#REF!</f>
        <v>#REF!</v>
      </c>
      <c r="C40" s="101" t="e">
        <f>'3G_REGIONS'!#REF!</f>
        <v>#REF!</v>
      </c>
    </row>
    <row r="41" spans="1:3" x14ac:dyDescent="0.3">
      <c r="A41" s="103" t="str">
        <f>'3G_REGIONS'!A1042</f>
        <v>Usharal</v>
      </c>
      <c r="B41" s="101" t="e">
        <f>'3G_REGIONS'!#REF!</f>
        <v>#REF!</v>
      </c>
      <c r="C41" s="101" t="e">
        <f>'3G_REGIONS'!#REF!</f>
        <v>#REF!</v>
      </c>
    </row>
    <row r="42" spans="1:3" x14ac:dyDescent="0.3">
      <c r="A42" s="103" t="str">
        <f>'3G_REGIONS'!A1064</f>
        <v>Uzunagash</v>
      </c>
      <c r="B42" s="101" t="e">
        <f>'3G_REGIONS'!#REF!</f>
        <v>#REF!</v>
      </c>
      <c r="C42" s="101" t="e">
        <f>'3G_REGIONS'!#REF!</f>
        <v>#REF!</v>
      </c>
    </row>
    <row r="43" spans="1:3" x14ac:dyDescent="0.3">
      <c r="A43" s="103" t="str">
        <f>'3G_REGIONS'!A1138</f>
        <v>Zharkent</v>
      </c>
      <c r="B43" s="101" t="e">
        <f>'3G_REGIONS'!#REF!</f>
        <v>#REF!</v>
      </c>
      <c r="C43" s="101" t="e">
        <f>'3G_REGIONS'!#REF!</f>
        <v>#REF!</v>
      </c>
    </row>
    <row r="44" spans="1:3" x14ac:dyDescent="0.3">
      <c r="A44" s="103" t="str">
        <f>'3G_REGIONS'!A954</f>
        <v>Stepnogorsk</v>
      </c>
      <c r="B44" s="101" t="e">
        <f>'3G_REGIONS'!#REF!</f>
        <v>#REF!</v>
      </c>
      <c r="C44" s="101" t="e">
        <f>'3G_REGIONS'!#REF!</f>
        <v>#REF!</v>
      </c>
    </row>
    <row r="45" spans="1:3" x14ac:dyDescent="0.3">
      <c r="A45" s="103" t="str">
        <f>'3G_REGIONS'!A271</f>
        <v>Chapaevo</v>
      </c>
      <c r="B45" s="101" t="e">
        <f>'3G_REGIONS'!#REF!</f>
        <v>#REF!</v>
      </c>
      <c r="C45" s="101" t="e">
        <f>'3G_REGIONS'!#REF!</f>
        <v>#REF!</v>
      </c>
    </row>
    <row r="46" spans="1:3" x14ac:dyDescent="0.3">
      <c r="A46" s="103" t="str">
        <f>'3G_REGIONS'!A355</f>
        <v>Ganushkino Atyrau CE1</v>
      </c>
      <c r="B46" s="101" t="e">
        <f>'3G_REGIONS'!#REF!</f>
        <v>#REF!</v>
      </c>
      <c r="C46" s="101" t="e">
        <f>'3G_REGIONS'!#REF!</f>
        <v>#REF!</v>
      </c>
    </row>
    <row r="47" spans="1:3" x14ac:dyDescent="0.3">
      <c r="A47" s="103" t="str">
        <f>'3G_REGIONS'!A879</f>
        <v>Shakpak</v>
      </c>
      <c r="B47" s="101" t="e">
        <f>'3G_REGIONS'!#REF!</f>
        <v>#REF!</v>
      </c>
      <c r="C47" s="101" t="e">
        <f>'3G_REGIONS'!#REF!</f>
        <v>#REF!</v>
      </c>
    </row>
    <row r="48" spans="1:3" x14ac:dyDescent="0.3">
      <c r="A48" s="103" t="str">
        <f>'3G_REGIONS'!A376</f>
        <v>Irtyshsk</v>
      </c>
      <c r="B48" s="101" t="e">
        <f>'3G_REGIONS'!#REF!</f>
        <v>#REF!</v>
      </c>
      <c r="C48" s="101" t="e">
        <f>'3G_REGIONS'!#REF!</f>
        <v>#REF!</v>
      </c>
    </row>
    <row r="49" spans="1:3" x14ac:dyDescent="0.3">
      <c r="A49" s="103" t="str">
        <f>'3G_REGIONS'!A558</f>
        <v>Koktobe</v>
      </c>
      <c r="B49" s="101" t="e">
        <f>'3G_REGIONS'!#REF!</f>
        <v>#REF!</v>
      </c>
      <c r="C49" s="101" t="e">
        <f>'3G_REGIONS'!#REF!</f>
        <v>#REF!</v>
      </c>
    </row>
    <row r="50" spans="1:3" x14ac:dyDescent="0.3">
      <c r="A50" s="103" t="str">
        <f>'3G_REGIONS'!A1038</f>
        <v>Urdzhar</v>
      </c>
      <c r="B50" s="101" t="e">
        <f>'3G_REGIONS'!#REF!</f>
        <v>#REF!</v>
      </c>
      <c r="C50" s="101" t="e">
        <f>'3G_REGIONS'!#REF!</f>
        <v>#REF!</v>
      </c>
    </row>
    <row r="51" spans="1:3" x14ac:dyDescent="0.3">
      <c r="A51" s="103" t="str">
        <f>'3G_REGIONS'!A548</f>
        <v>Kobda</v>
      </c>
      <c r="B51" s="101" t="e">
        <f>'3G_REGIONS'!#REF!</f>
        <v>#REF!</v>
      </c>
      <c r="C51" s="101" t="e">
        <f>'3G_REGIONS'!#REF!</f>
        <v>#REF!</v>
      </c>
    </row>
    <row r="52" spans="1:3" x14ac:dyDescent="0.3">
      <c r="A52" s="103" t="str">
        <f>'3G_REGIONS'!A284</f>
        <v>Chilik</v>
      </c>
      <c r="B52" s="101" t="e">
        <f>'3G_REGIONS'!#REF!</f>
        <v>#REF!</v>
      </c>
      <c r="C52" s="101" t="e">
        <f>'3G_REGIONS'!#REF!</f>
        <v>#REF!</v>
      </c>
    </row>
    <row r="53" spans="1:3" x14ac:dyDescent="0.3">
      <c r="A53" s="103" t="str">
        <f>'3G_REGIONS'!A677</f>
        <v>Lisakovsk</v>
      </c>
      <c r="B53" s="101" t="e">
        <f>'3G_REGIONS'!#REF!</f>
        <v>#REF!</v>
      </c>
      <c r="C53" s="101" t="e">
        <f>'3G_REGIONS'!#REF!</f>
        <v>#REF!</v>
      </c>
    </row>
    <row r="54" spans="1:3" x14ac:dyDescent="0.3">
      <c r="A54" s="103" t="str">
        <f>'3G_REGIONS'!A1156</f>
        <v>Zhetybai</v>
      </c>
      <c r="B54" s="101" t="e">
        <f>'3G_REGIONS'!#REF!</f>
        <v>#REF!</v>
      </c>
      <c r="C54" s="101" t="e">
        <f>'3G_REGIONS'!#REF!</f>
        <v>#REF!</v>
      </c>
    </row>
    <row r="55" spans="1:3" x14ac:dyDescent="0.3">
      <c r="A55" s="103" t="str">
        <f>'3G_REGIONS'!A287</f>
        <v>Chingirlau</v>
      </c>
      <c r="B55" s="101" t="e">
        <f>'3G_REGIONS'!#REF!</f>
        <v>#REF!</v>
      </c>
      <c r="C55" s="101" t="e">
        <f>'3G_REGIONS'!#REF!</f>
        <v>#REF!</v>
      </c>
    </row>
    <row r="56" spans="1:3" x14ac:dyDescent="0.3">
      <c r="A56" s="103" t="str">
        <f>'3G_REGIONS'!A709</f>
        <v>Mangyshlak</v>
      </c>
      <c r="B56" s="101" t="e">
        <f>'3G_REGIONS'!#REF!</f>
        <v>#REF!</v>
      </c>
      <c r="C56" s="101" t="e">
        <f>'3G_REGIONS'!#REF!</f>
        <v>#REF!</v>
      </c>
    </row>
    <row r="57" spans="1:3" x14ac:dyDescent="0.3">
      <c r="A57" s="103" t="str">
        <f>'3G_REGIONS'!A84</f>
        <v>Alga</v>
      </c>
      <c r="B57" s="101" t="e">
        <f>'3G_REGIONS'!#REF!</f>
        <v>#REF!</v>
      </c>
      <c r="C57" s="101" t="e">
        <f>'3G_REGIONS'!#REF!</f>
        <v>#REF!</v>
      </c>
    </row>
    <row r="58" spans="1:3" x14ac:dyDescent="0.3">
      <c r="A58" s="103" t="str">
        <f>'3G_REGIONS'!A905</f>
        <v>Shetpe</v>
      </c>
      <c r="B58" s="101" t="e">
        <f>'3G_REGIONS'!#REF!</f>
        <v>#REF!</v>
      </c>
      <c r="C58" s="101" t="e">
        <f>'3G_REGIONS'!#REF!</f>
        <v>#REF!</v>
      </c>
    </row>
    <row r="59" spans="1:3" x14ac:dyDescent="0.3">
      <c r="A59" s="103" t="str">
        <f>'3G_REGIONS'!A1115</f>
        <v>Zhanakorgan</v>
      </c>
      <c r="B59" s="101" t="e">
        <f>'3G_REGIONS'!#REF!</f>
        <v>#REF!</v>
      </c>
      <c r="C59" s="101" t="e">
        <f>'3G_REGIONS'!#REF!</f>
        <v>#REF!</v>
      </c>
    </row>
    <row r="60" spans="1:3" x14ac:dyDescent="0.3">
      <c r="A60" s="103" t="str">
        <f>'3G_REGIONS'!A197</f>
        <v xml:space="preserve">Bakanas Almaty CE1 </v>
      </c>
      <c r="B60" s="101" t="e">
        <f>'3G_REGIONS'!#REF!</f>
        <v>#REF!</v>
      </c>
      <c r="C60" s="101" t="e">
        <f>'3G_REGIONS'!#REF!</f>
        <v>#REF!</v>
      </c>
    </row>
    <row r="61" spans="1:3" x14ac:dyDescent="0.3">
      <c r="A61" s="103" t="str">
        <f>'3G_REGIONS'!A1007</f>
        <v>Tengiz</v>
      </c>
      <c r="B61" s="101" t="e">
        <f>'3G_REGIONS'!#REF!</f>
        <v>#REF!</v>
      </c>
      <c r="C61" s="101" t="e">
        <f>'3G_REGIONS'!#REF!</f>
        <v>#REF!</v>
      </c>
    </row>
    <row r="62" spans="1:3" x14ac:dyDescent="0.3">
      <c r="A62" s="103" t="str">
        <f>'3G_REGIONS'!A826</f>
        <v>Sagyz</v>
      </c>
      <c r="B62" s="101" t="e">
        <f>'3G_REGIONS'!#REF!</f>
        <v>#REF!</v>
      </c>
      <c r="C62" s="101" t="e">
        <f>'3G_REGIONS'!#REF!</f>
        <v>#REF!</v>
      </c>
    </row>
    <row r="63" spans="1:3" x14ac:dyDescent="0.3">
      <c r="A63" s="103" t="str">
        <f>'3G_REGIONS'!A401</f>
        <v>Kabanbai-Rozhdestv</v>
      </c>
      <c r="B63" s="101" t="e">
        <f>'3G_REGIONS'!#REF!</f>
        <v>#REF!</v>
      </c>
      <c r="C63" s="101" t="e">
        <f>'3G_REGIONS'!#REF!</f>
        <v>#REF!</v>
      </c>
    </row>
    <row r="64" spans="1:3" x14ac:dyDescent="0.3">
      <c r="A64" s="103" t="str">
        <f>'3G_REGIONS'!A16</f>
        <v>Akkol</v>
      </c>
      <c r="B64" s="101" t="e">
        <f>'3G_REGIONS'!#REF!</f>
        <v>#REF!</v>
      </c>
      <c r="C64" s="101" t="e">
        <f>'3G_REGIONS'!#REF!</f>
        <v>#REF!</v>
      </c>
    </row>
    <row r="65" spans="1:3" x14ac:dyDescent="0.3">
      <c r="A65" s="103" t="str">
        <f>'3G_REGIONS'!A372</f>
        <v>Inder</v>
      </c>
      <c r="B65" s="101" t="e">
        <f>'3G_REGIONS'!#REF!</f>
        <v>#REF!</v>
      </c>
      <c r="C65" s="101" t="e">
        <f>'3G_REGIONS'!#REF!</f>
        <v>#REF!</v>
      </c>
    </row>
    <row r="66" spans="1:3" x14ac:dyDescent="0.3">
      <c r="A66" s="103" t="str">
        <f>'3G_REGIONS'!A823</f>
        <v>Ryskulova</v>
      </c>
      <c r="B66" s="101" t="e">
        <f>'3G_REGIONS'!#REF!</f>
        <v>#REF!</v>
      </c>
      <c r="C66" s="101" t="e">
        <f>'3G_REGIONS'!#REF!</f>
        <v>#REF!</v>
      </c>
    </row>
    <row r="67" spans="1:3" x14ac:dyDescent="0.3">
      <c r="A67" s="103" t="str">
        <f>'3G_REGIONS'!A318</f>
        <v>Dzangala</v>
      </c>
      <c r="B67" s="101" t="e">
        <f>'3G_REGIONS'!#REF!</f>
        <v>#REF!</v>
      </c>
      <c r="C67" s="101" t="e">
        <f>'3G_REGIONS'!#REF!</f>
        <v>#REF!</v>
      </c>
    </row>
    <row r="68" spans="1:3" x14ac:dyDescent="0.3">
      <c r="A68" s="103" t="str">
        <f>'3G_REGIONS'!A131</f>
        <v>Arys</v>
      </c>
      <c r="B68" s="101" t="e">
        <f>'3G_REGIONS'!#REF!</f>
        <v>#REF!</v>
      </c>
      <c r="C68" s="101" t="e">
        <f>'3G_REGIONS'!#REF!</f>
        <v>#REF!</v>
      </c>
    </row>
    <row r="69" spans="1:3" x14ac:dyDescent="0.3">
      <c r="A69" s="103" t="str">
        <f>'3G_REGIONS'!A1161</f>
        <v>Zhezkazgan</v>
      </c>
      <c r="B69" s="101" t="e">
        <f>'3G_REGIONS'!#REF!</f>
        <v>#REF!</v>
      </c>
      <c r="C69" s="101" t="e">
        <f>'3G_REGIONS'!#REF!</f>
        <v>#REF!</v>
      </c>
    </row>
    <row r="70" spans="1:3" x14ac:dyDescent="0.3">
      <c r="A70" s="103" t="str">
        <f>'3G_REGIONS'!A951</f>
        <v>Shuchinsk2</v>
      </c>
      <c r="B70" s="101" t="e">
        <f>'3G_REGIONS'!#REF!</f>
        <v>#REF!</v>
      </c>
      <c r="C70" s="101" t="e">
        <f>'3G_REGIONS'!#REF!</f>
        <v>#REF!</v>
      </c>
    </row>
    <row r="71" spans="1:3" x14ac:dyDescent="0.3">
      <c r="A71" s="103" t="str">
        <f>'3G_REGIONS'!A941</f>
        <v>Shubarkuduk</v>
      </c>
      <c r="B71" s="101" t="e">
        <f>'3G_REGIONS'!#REF!</f>
        <v>#REF!</v>
      </c>
      <c r="C71" s="101" t="e">
        <f>'3G_REGIONS'!#REF!</f>
        <v>#REF!</v>
      </c>
    </row>
    <row r="72" spans="1:3" x14ac:dyDescent="0.3">
      <c r="A72" s="103" t="str">
        <f>'3G_REGIONS'!A386</f>
        <v>Issyk</v>
      </c>
      <c r="B72" s="101" t="e">
        <f>'3G_REGIONS'!#REF!</f>
        <v>#REF!</v>
      </c>
      <c r="C72" s="101" t="e">
        <f>'3G_REGIONS'!#REF!</f>
        <v>#REF!</v>
      </c>
    </row>
    <row r="73" spans="1:3" x14ac:dyDescent="0.3">
      <c r="A73" s="103" t="str">
        <f>'3G_REGIONS'!A1172</f>
        <v>Zhitikara</v>
      </c>
      <c r="B73" s="101" t="e">
        <f>'3G_REGIONS'!#REF!</f>
        <v>#REF!</v>
      </c>
      <c r="C73" s="101" t="e">
        <f>'3G_REGIONS'!#REF!</f>
        <v>#REF!</v>
      </c>
    </row>
    <row r="74" spans="1:3" x14ac:dyDescent="0.3">
      <c r="A74" s="103" t="str">
        <f>'3G_REGIONS'!A901</f>
        <v>Sherbakty Pavlodar CE1</v>
      </c>
      <c r="B74" s="101" t="e">
        <f>'3G_REGIONS'!#REF!</f>
        <v>#REF!</v>
      </c>
      <c r="C74" s="101" t="e">
        <f>'3G_REGIONS'!#REF!</f>
        <v>#REF!</v>
      </c>
    </row>
    <row r="75" spans="1:3" x14ac:dyDescent="0.3">
      <c r="A75" s="103" t="str">
        <f>'3G_REGIONS'!A946</f>
        <v>Shuchinsk</v>
      </c>
      <c r="B75" s="101" t="e">
        <f>'3G_REGIONS'!#REF!</f>
        <v>#REF!</v>
      </c>
      <c r="C75" s="101" t="e">
        <f>'3G_REGIONS'!#REF!</f>
        <v>#REF!</v>
      </c>
    </row>
    <row r="76" spans="1:3" x14ac:dyDescent="0.3">
      <c r="A76" s="103" t="str">
        <f>'3G_REGIONS'!A690</f>
        <v>Maikain</v>
      </c>
      <c r="B76" s="101" t="e">
        <f>'3G_REGIONS'!#REF!</f>
        <v>#REF!</v>
      </c>
      <c r="C76" s="101" t="e">
        <f>'3G_REGIONS'!#REF!</f>
        <v>#REF!</v>
      </c>
    </row>
    <row r="77" spans="1:3" x14ac:dyDescent="0.3">
      <c r="A77" s="103" t="str">
        <f>'3G_REGIONS'!A1208</f>
        <v>Zyryanovsk</v>
      </c>
      <c r="B77" s="101" t="e">
        <f>'3G_REGIONS'!#REF!</f>
        <v>#REF!</v>
      </c>
      <c r="C77" s="101" t="e">
        <f>'3G_REGIONS'!#REF!</f>
        <v>#REF!</v>
      </c>
    </row>
    <row r="78" spans="1:3" x14ac:dyDescent="0.3">
      <c r="A78" s="103" t="str">
        <f>'3G_REGIONS'!A148</f>
        <v>Astrakhanka</v>
      </c>
      <c r="B78" s="101" t="e">
        <f>'3G_REGIONS'!#REF!</f>
        <v>#REF!</v>
      </c>
      <c r="C78" s="101" t="e">
        <f>'3G_REGIONS'!#REF!</f>
        <v>#REF!</v>
      </c>
    </row>
    <row r="79" spans="1:3" x14ac:dyDescent="0.3">
      <c r="A79" s="103" t="str">
        <f>'3G_REGIONS'!A346</f>
        <v>Eseykhan</v>
      </c>
      <c r="B79" s="101" t="e">
        <f>'3G_REGIONS'!#REF!</f>
        <v>#REF!</v>
      </c>
      <c r="C79" s="101" t="e">
        <f>'3G_REGIONS'!#REF!</f>
        <v>#REF!</v>
      </c>
    </row>
    <row r="80" spans="1:3" x14ac:dyDescent="0.3">
      <c r="A80" s="103" t="str">
        <f>'3G_REGIONS'!A793</f>
        <v>Predgornoe</v>
      </c>
      <c r="B80" s="101" t="e">
        <f>'3G_REGIONS'!#REF!</f>
        <v>#REF!</v>
      </c>
      <c r="C80" s="101" t="e">
        <f>'3G_REGIONS'!#REF!</f>
        <v>#REF!</v>
      </c>
    </row>
    <row r="81" spans="1:3" x14ac:dyDescent="0.3">
      <c r="A81" s="103" t="str">
        <f>'3G_REGIONS'!A525</f>
        <v>Kaskelen</v>
      </c>
      <c r="B81" s="101" t="e">
        <f>'3G_REGIONS'!#REF!</f>
        <v>#REF!</v>
      </c>
      <c r="C81" s="101" t="e">
        <f>'3G_REGIONS'!#REF!</f>
        <v>#REF!</v>
      </c>
    </row>
    <row r="82" spans="1:3" x14ac:dyDescent="0.3">
      <c r="A82" s="103" t="str">
        <f>'3G_REGIONS'!A761</f>
        <v>Oktyabrskiy</v>
      </c>
      <c r="B82" s="101" t="e">
        <f>'3G_REGIONS'!#REF!</f>
        <v>#REF!</v>
      </c>
      <c r="C82" s="101" t="e">
        <f>'3G_REGIONS'!#REF!</f>
        <v>#REF!</v>
      </c>
    </row>
    <row r="83" spans="1:3" x14ac:dyDescent="0.3">
      <c r="A83" s="103" t="str">
        <f>'3G_REGIONS'!A300</f>
        <v>Derzhavinsk</v>
      </c>
      <c r="B83" s="101" t="e">
        <f>'3G_REGIONS'!#REF!</f>
        <v>#REF!</v>
      </c>
      <c r="C83" s="101" t="e">
        <f>'3G_REGIONS'!#REF!</f>
        <v>#REF!</v>
      </c>
    </row>
    <row r="84" spans="1:3" x14ac:dyDescent="0.3">
      <c r="A84" s="103" t="str">
        <f>'3G_REGIONS'!A1054</f>
        <v>Ushtobe</v>
      </c>
      <c r="B84" s="101" t="e">
        <f>'3G_REGIONS'!#REF!</f>
        <v>#REF!</v>
      </c>
      <c r="C84" s="101" t="e">
        <f>'3G_REGIONS'!#REF!</f>
        <v>#REF!</v>
      </c>
    </row>
    <row r="85" spans="1:3" x14ac:dyDescent="0.3">
      <c r="A85" s="103" t="str">
        <f>'3G_REGIONS'!A201</f>
        <v>Balkhash</v>
      </c>
      <c r="B85" s="101" t="e">
        <f>'3G_REGIONS'!#REF!</f>
        <v>#REF!</v>
      </c>
      <c r="C85" s="101" t="e">
        <f>'3G_REGIONS'!#REF!</f>
        <v>#REF!</v>
      </c>
    </row>
    <row r="86" spans="1:3" x14ac:dyDescent="0.3">
      <c r="A86" s="103" t="str">
        <f>'3G_REGIONS'!A857</f>
        <v>Satpaev</v>
      </c>
      <c r="B86" s="101" t="e">
        <f>'3G_REGIONS'!#REF!</f>
        <v>#REF!</v>
      </c>
      <c r="C86" s="101" t="e">
        <f>'3G_REGIONS'!#REF!</f>
        <v>#REF!</v>
      </c>
    </row>
    <row r="87" spans="1:3" x14ac:dyDescent="0.3">
      <c r="A87" s="103" t="str">
        <f>'3G_REGIONS'!A1183</f>
        <v>Zhosaly</v>
      </c>
      <c r="B87" s="101" t="e">
        <f>'3G_REGIONS'!#REF!</f>
        <v>#REF!</v>
      </c>
      <c r="C87" s="101" t="e">
        <f>'3G_REGIONS'!#REF!</f>
        <v>#REF!</v>
      </c>
    </row>
    <row r="88" spans="1:3" x14ac:dyDescent="0.3">
      <c r="A88" s="103" t="str">
        <f>'3G_REGIONS'!A696</f>
        <v>Makanchi</v>
      </c>
      <c r="B88" s="101" t="e">
        <f>'3G_REGIONS'!#REF!</f>
        <v>#REF!</v>
      </c>
      <c r="C88" s="101" t="e">
        <f>'3G_REGIONS'!#REF!</f>
        <v>#REF!</v>
      </c>
    </row>
    <row r="89" spans="1:3" x14ac:dyDescent="0.3">
      <c r="A89" s="103" t="str">
        <f>'3G_REGIONS'!A959</f>
        <v>Stepnyak</v>
      </c>
      <c r="B89" s="101" t="e">
        <f>'3G_REGIONS'!#REF!</f>
        <v>#REF!</v>
      </c>
      <c r="C89" s="101" t="e">
        <f>'3G_REGIONS'!#REF!</f>
        <v>#REF!</v>
      </c>
    </row>
    <row r="90" spans="1:3" x14ac:dyDescent="0.3">
      <c r="A90" s="103" t="str">
        <f>'3G_REGIONS'!A863</f>
        <v>Sayhin</v>
      </c>
      <c r="B90" s="101" t="e">
        <f>'3G_REGIONS'!#REF!</f>
        <v>#REF!</v>
      </c>
      <c r="C90" s="101" t="e">
        <f>'3G_REGIONS'!#REF!</f>
        <v>#REF!</v>
      </c>
    </row>
    <row r="91" spans="1:3" x14ac:dyDescent="0.3">
      <c r="A91" s="103" t="str">
        <f>'3G_REGIONS'!A707</f>
        <v>Mangyshlak</v>
      </c>
      <c r="B91" s="101" t="e">
        <f>'3G_REGIONS'!#REF!</f>
        <v>#REF!</v>
      </c>
      <c r="C91" s="101" t="e">
        <f>'3G_REGIONS'!#REF!</f>
        <v>#REF!</v>
      </c>
    </row>
    <row r="92" spans="1:3" x14ac:dyDescent="0.3">
      <c r="A92" s="103" t="str">
        <f>'3G_REGIONS'!A984</f>
        <v>Talshik</v>
      </c>
      <c r="B92" s="101" t="e">
        <f>'3G_REGIONS'!#REF!</f>
        <v>#REF!</v>
      </c>
      <c r="C92" s="101" t="e">
        <f>'3G_REGIONS'!#REF!</f>
        <v>#REF!</v>
      </c>
    </row>
    <row r="93" spans="1:3" x14ac:dyDescent="0.3">
      <c r="A93" s="103" t="str">
        <f>'3G_REGIONS'!A781</f>
        <v>Otar</v>
      </c>
      <c r="B93" s="101" t="e">
        <f>'3G_REGIONS'!#REF!</f>
        <v>#REF!</v>
      </c>
      <c r="C93" s="101" t="e">
        <f>'3G_REGIONS'!#REF!</f>
        <v>#REF!</v>
      </c>
    </row>
    <row r="94" spans="1:3" x14ac:dyDescent="0.3">
      <c r="A94" s="103" t="str">
        <f>'3G_REGIONS'!A1099</f>
        <v>Zhalagash</v>
      </c>
      <c r="B94" s="101" t="e">
        <f>'3G_REGIONS'!#REF!</f>
        <v>#REF!</v>
      </c>
      <c r="C94" s="101" t="e">
        <f>'3G_REGIONS'!#REF!</f>
        <v>#REF!</v>
      </c>
    </row>
    <row r="95" spans="1:3" x14ac:dyDescent="0.3">
      <c r="A95" s="103" t="str">
        <f>'3G_REGIONS'!A20</f>
        <v>Akmektep</v>
      </c>
      <c r="B95" s="101" t="e">
        <f>'3G_REGIONS'!#REF!</f>
        <v>#REF!</v>
      </c>
      <c r="C95" s="101" t="e">
        <f>'3G_REGIONS'!#REF!</f>
        <v>#REF!</v>
      </c>
    </row>
    <row r="96" spans="1:3" x14ac:dyDescent="0.3">
      <c r="A96" s="103" t="e">
        <f>'3G_REGIONS'!#REF!</f>
        <v>#REF!</v>
      </c>
      <c r="B96" s="101" t="e">
        <f>'3G_REGIONS'!#REF!</f>
        <v>#REF!</v>
      </c>
      <c r="C96" s="101" t="e">
        <f>'3G_REGIONS'!#REF!</f>
        <v>#REF!</v>
      </c>
    </row>
    <row r="97" spans="1:3" x14ac:dyDescent="0.3">
      <c r="A97" s="103" t="str">
        <f>'3G_REGIONS'!A844</f>
        <v>Sarybel</v>
      </c>
      <c r="B97" s="101" t="e">
        <f>'3G_REGIONS'!#REF!</f>
        <v>#REF!</v>
      </c>
      <c r="C97" s="101" t="e">
        <f>'3G_REGIONS'!#REF!</f>
        <v>#REF!</v>
      </c>
    </row>
    <row r="98" spans="1:3" x14ac:dyDescent="0.3">
      <c r="A98" s="103" t="str">
        <f>'3G_REGIONS'!A409</f>
        <v>Kaindy</v>
      </c>
      <c r="B98" s="101" t="e">
        <f>'3G_REGIONS'!#REF!</f>
        <v>#REF!</v>
      </c>
      <c r="C98" s="101" t="e">
        <f>'3G_REGIONS'!#REF!</f>
        <v>#REF!</v>
      </c>
    </row>
    <row r="99" spans="1:3" x14ac:dyDescent="0.3">
      <c r="A99" s="103" t="str">
        <f>'3G_REGIONS'!A422</f>
        <v>Kalinovka</v>
      </c>
      <c r="B99" s="101" t="e">
        <f>'3G_REGIONS'!#REF!</f>
        <v>#REF!</v>
      </c>
      <c r="C99" s="101" t="e">
        <f>'3G_REGIONS'!#REF!</f>
        <v>#REF!</v>
      </c>
    </row>
    <row r="100" spans="1:3" x14ac:dyDescent="0.3">
      <c r="A100" s="103" t="str">
        <f>'3G_REGIONS'!A1086</f>
        <v>Zerenda</v>
      </c>
      <c r="B100" s="101" t="e">
        <f>'3G_REGIONS'!#REF!</f>
        <v>#REF!</v>
      </c>
      <c r="C100" s="101" t="e">
        <f>'3G_REGIONS'!#REF!</f>
        <v>#REF!</v>
      </c>
    </row>
    <row r="101" spans="1:3" x14ac:dyDescent="0.3">
      <c r="A101" s="103" t="str">
        <f>'3G_REGIONS'!A77</f>
        <v>Akzhar</v>
      </c>
      <c r="B101" s="101" t="e">
        <f>'3G_REGIONS'!#REF!</f>
        <v>#REF!</v>
      </c>
      <c r="C101" s="101" t="e">
        <f>'3G_REGIONS'!#REF!</f>
        <v>#REF!</v>
      </c>
    </row>
    <row r="102" spans="1:3" x14ac:dyDescent="0.3">
      <c r="A102" s="103" t="str">
        <f>'3G_REGIONS'!A224</f>
        <v>Begaly</v>
      </c>
      <c r="B102" s="101" t="e">
        <f>'3G_REGIONS'!#REF!</f>
        <v>#REF!</v>
      </c>
      <c r="C102" s="101" t="e">
        <f>'3G_REGIONS'!#REF!</f>
        <v>#REF!</v>
      </c>
    </row>
    <row r="103" spans="1:3" x14ac:dyDescent="0.3">
      <c r="A103" s="103" t="str">
        <f>'3G_REGIONS'!A47</f>
        <v>Aksuat</v>
      </c>
      <c r="B103" s="101" t="e">
        <f>'3G_REGIONS'!#REF!</f>
        <v>#REF!</v>
      </c>
      <c r="C103" s="101" t="e">
        <f>'3G_REGIONS'!#REF!</f>
        <v>#REF!</v>
      </c>
    </row>
    <row r="104" spans="1:3" x14ac:dyDescent="0.3">
      <c r="A104" s="103" t="str">
        <f>'3G_REGIONS'!A990</f>
        <v>Taynsha</v>
      </c>
      <c r="B104" s="101" t="e">
        <f>'3G_REGIONS'!#REF!</f>
        <v>#REF!</v>
      </c>
      <c r="C104" s="101" t="e">
        <f>'3G_REGIONS'!#REF!</f>
        <v>#REF!</v>
      </c>
    </row>
    <row r="105" spans="1:3" x14ac:dyDescent="0.3">
      <c r="A105" s="103" t="str">
        <f>'3G_REGIONS'!A497</f>
        <v>Karaul</v>
      </c>
      <c r="B105" s="101" t="e">
        <f>'3G_REGIONS'!#REF!</f>
        <v>#REF!</v>
      </c>
      <c r="C105" s="101" t="e">
        <f>'3G_REGIONS'!#REF!</f>
        <v>#REF!</v>
      </c>
    </row>
    <row r="106" spans="1:3" x14ac:dyDescent="0.3">
      <c r="A106" s="103" t="str">
        <f>'3G_REGIONS'!A49</f>
        <v>Aksu-Ayuly</v>
      </c>
      <c r="B106" s="101" t="e">
        <f>'3G_REGIONS'!#REF!</f>
        <v>#REF!</v>
      </c>
      <c r="C106" s="101" t="e">
        <f>'3G_REGIONS'!#REF!</f>
        <v>#REF!</v>
      </c>
    </row>
    <row r="107" spans="1:3" x14ac:dyDescent="0.3">
      <c r="A107" s="103" t="str">
        <f>'3G_REGIONS'!A324</f>
        <v>Egindybulak</v>
      </c>
      <c r="B107" s="101" t="e">
        <f>'3G_REGIONS'!#REF!</f>
        <v>#REF!</v>
      </c>
      <c r="C107" s="101" t="e">
        <f>'3G_REGIONS'!#REF!</f>
        <v>#REF!</v>
      </c>
    </row>
    <row r="108" spans="1:3" x14ac:dyDescent="0.3">
      <c r="A108" s="103" t="str">
        <f>'3G_REGIONS'!A291</f>
        <v>Chunga</v>
      </c>
      <c r="B108" s="101" t="e">
        <f>'3G_REGIONS'!#REF!</f>
        <v>#REF!</v>
      </c>
      <c r="C108" s="101" t="e">
        <f>'3G_REGIONS'!#REF!</f>
        <v>#REF!</v>
      </c>
    </row>
    <row r="109" spans="1:3" x14ac:dyDescent="0.3">
      <c r="A109" s="103" t="str">
        <f>'3G_REGIONS'!A694</f>
        <v>Makanchi</v>
      </c>
      <c r="B109" s="101" t="e">
        <f>'3G_REGIONS'!#REF!</f>
        <v>#REF!</v>
      </c>
      <c r="C109" s="101" t="e">
        <f>'3G_REGIONS'!#REF!</f>
        <v>#REF!</v>
      </c>
    </row>
    <row r="110" spans="1:3" x14ac:dyDescent="0.3">
      <c r="A110" s="103" t="str">
        <f>'3G_REGIONS'!A1022</f>
        <v>Toretam</v>
      </c>
      <c r="B110" s="101" t="e">
        <f>'3G_REGIONS'!#REF!</f>
        <v>#REF!</v>
      </c>
      <c r="C110" s="101" t="e">
        <f>'3G_REGIONS'!#REF!</f>
        <v>#REF!</v>
      </c>
    </row>
    <row r="111" spans="1:3" x14ac:dyDescent="0.3">
      <c r="A111" s="103" t="str">
        <f>'3G_REGIONS'!A554</f>
        <v>Kokpekty</v>
      </c>
      <c r="B111" s="101" t="e">
        <f>'3G_REGIONS'!#REF!</f>
        <v>#REF!</v>
      </c>
      <c r="C111" s="101" t="e">
        <f>'3G_REGIONS'!#REF!</f>
        <v>#REF!</v>
      </c>
    </row>
    <row r="112" spans="1:3" x14ac:dyDescent="0.3">
      <c r="A112" s="103" t="str">
        <f>'3G_REGIONS'!A1016</f>
        <v>Timiryazevo</v>
      </c>
      <c r="B112" s="101" t="e">
        <f>'3G_REGIONS'!#REF!</f>
        <v>#REF!</v>
      </c>
      <c r="C112" s="101" t="e">
        <f>'3G_REGIONS'!#REF!</f>
        <v>#REF!</v>
      </c>
    </row>
    <row r="113" spans="1:3" x14ac:dyDescent="0.3">
      <c r="A113" s="103" t="str">
        <f>'3G_REGIONS'!A203</f>
        <v>Balkhash</v>
      </c>
      <c r="B113" s="101" t="e">
        <f>'3G_REGIONS'!#REF!</f>
        <v>#REF!</v>
      </c>
      <c r="C113" s="101" t="e">
        <f>'3G_REGIONS'!#REF!</f>
        <v>#REF!</v>
      </c>
    </row>
    <row r="114" spans="1:3" x14ac:dyDescent="0.3">
      <c r="A114" s="103" t="str">
        <f>'3G_REGIONS'!A533</f>
        <v>Kazgurt</v>
      </c>
      <c r="B114" s="101" t="e">
        <f>'3G_REGIONS'!#REF!</f>
        <v>#REF!</v>
      </c>
      <c r="C114" s="101" t="e">
        <f>'3G_REGIONS'!#REF!</f>
        <v>#REF!</v>
      </c>
    </row>
    <row r="115" spans="1:3" x14ac:dyDescent="0.3">
      <c r="A115" s="103" t="str">
        <f>'3G_REGIONS'!A638</f>
        <v>Kurchum</v>
      </c>
      <c r="B115" s="101" t="e">
        <f>'3G_REGIONS'!#REF!</f>
        <v>#REF!</v>
      </c>
      <c r="C115" s="101" t="e">
        <f>'3G_REGIONS'!#REF!</f>
        <v>#REF!</v>
      </c>
    </row>
    <row r="116" spans="1:3" x14ac:dyDescent="0.3">
      <c r="A116" s="103" t="str">
        <f>'3G_REGIONS'!A344</f>
        <v>Eseykhan</v>
      </c>
      <c r="B116" s="101" t="e">
        <f>'3G_REGIONS'!#REF!</f>
        <v>#REF!</v>
      </c>
      <c r="C116" s="101" t="e">
        <f>'3G_REGIONS'!#REF!</f>
        <v>#REF!</v>
      </c>
    </row>
    <row r="117" spans="1:3" x14ac:dyDescent="0.3">
      <c r="A117" s="103" t="str">
        <f>'3G_REGIONS'!A105</f>
        <v>Amangeldy</v>
      </c>
      <c r="B117" s="101" t="e">
        <f>'3G_REGIONS'!#REF!</f>
        <v>#REF!</v>
      </c>
      <c r="C117" s="101" t="e">
        <f>'3G_REGIONS'!#REF!</f>
        <v>#REF!</v>
      </c>
    </row>
    <row r="118" spans="1:3" x14ac:dyDescent="0.3">
      <c r="A118" s="103" t="str">
        <f>'3G_REGIONS'!A383</f>
        <v>Ishimskoe</v>
      </c>
      <c r="B118" s="101" t="e">
        <f>'3G_REGIONS'!#REF!</f>
        <v>#REF!</v>
      </c>
      <c r="C118" s="101" t="e">
        <f>'3G_REGIONS'!#REF!</f>
        <v>#REF!</v>
      </c>
    </row>
    <row r="119" spans="1:3" x14ac:dyDescent="0.3">
      <c r="A119" s="103" t="str">
        <f>'3G_REGIONS'!A579</f>
        <v>Kordai</v>
      </c>
      <c r="B119" s="101" t="e">
        <f>'3G_REGIONS'!#REF!</f>
        <v>#REF!</v>
      </c>
      <c r="C119" s="101" t="e">
        <f>'3G_REGIONS'!#REF!</f>
        <v>#REF!</v>
      </c>
    </row>
    <row r="120" spans="1:3" x14ac:dyDescent="0.3">
      <c r="A120" s="103" t="str">
        <f>'3G_REGIONS'!A126</f>
        <v>Arkalyk</v>
      </c>
      <c r="B120" s="101">
        <f>'3G_REGIONS'!P126</f>
        <v>0</v>
      </c>
      <c r="C120" s="101">
        <f>'3G_REGIONS'!Q126</f>
        <v>0</v>
      </c>
    </row>
    <row r="121" spans="1:3" x14ac:dyDescent="0.3">
      <c r="A121" s="103" t="str">
        <f>'3G_REGIONS'!A174</f>
        <v>Auezov</v>
      </c>
      <c r="B121" s="101" t="e">
        <f>'3G_REGIONS'!#REF!</f>
        <v>#REF!</v>
      </c>
      <c r="C121" s="101" t="e">
        <f>'3G_REGIONS'!#REF!</f>
        <v>#REF!</v>
      </c>
    </row>
    <row r="122" spans="1:3" x14ac:dyDescent="0.3">
      <c r="A122" s="103" t="str">
        <f>'3G_REGIONS'!A471</f>
        <v>Karakol Atyrau CE1</v>
      </c>
      <c r="B122" s="101" t="e">
        <f>'3G_REGIONS'!#REF!</f>
        <v>#REF!</v>
      </c>
      <c r="C122" s="101" t="e">
        <f>'3G_REGIONS'!#REF!</f>
        <v>#REF!</v>
      </c>
    </row>
    <row r="123" spans="1:3" x14ac:dyDescent="0.3">
      <c r="A123" s="103" t="str">
        <f>'3G_REGIONS'!A293</f>
        <v>Chunga</v>
      </c>
      <c r="B123" s="101" t="e">
        <f>'3G_REGIONS'!#REF!</f>
        <v>#REF!</v>
      </c>
      <c r="C123" s="101" t="e">
        <f>'3G_REGIONS'!#REF!</f>
        <v>#REF!</v>
      </c>
    </row>
    <row r="124" spans="1:3" x14ac:dyDescent="0.3">
      <c r="A124" s="103" t="str">
        <f>'3G_REGIONS'!A258</f>
        <v>Boroduliha</v>
      </c>
      <c r="B124" s="101" t="e">
        <f>'3G_REGIONS'!#REF!</f>
        <v>#REF!</v>
      </c>
      <c r="C124" s="101" t="e">
        <f>'3G_REGIONS'!#REF!</f>
        <v>#REF!</v>
      </c>
    </row>
    <row r="125" spans="1:3" x14ac:dyDescent="0.3">
      <c r="A125" s="103" t="str">
        <f>'3G_REGIONS'!A1149</f>
        <v>Zhasybay</v>
      </c>
      <c r="B125" s="101" t="e">
        <f>'3G_REGIONS'!#REF!</f>
        <v>#REF!</v>
      </c>
      <c r="C125" s="101" t="e">
        <f>'3G_REGIONS'!#REF!</f>
        <v>#REF!</v>
      </c>
    </row>
    <row r="126" spans="1:3" x14ac:dyDescent="0.3">
      <c r="A126" s="103" t="str">
        <f>'3G_REGIONS'!A482</f>
        <v>Karamendy</v>
      </c>
      <c r="B126" s="101" t="e">
        <f>'3G_REGIONS'!#REF!</f>
        <v>#REF!</v>
      </c>
      <c r="C126" s="101" t="e">
        <f>'3G_REGIONS'!#REF!</f>
        <v>#REF!</v>
      </c>
    </row>
    <row r="127" spans="1:3" x14ac:dyDescent="0.3">
      <c r="A127" s="103" t="str">
        <f>'3G_REGIONS'!A764</f>
        <v>Oporniy</v>
      </c>
      <c r="B127" s="101" t="e">
        <f>'3G_REGIONS'!#REF!</f>
        <v>#REF!</v>
      </c>
      <c r="C127" s="101" t="e">
        <f>'3G_REGIONS'!#REF!</f>
        <v>#REF!</v>
      </c>
    </row>
    <row r="128" spans="1:3" x14ac:dyDescent="0.3">
      <c r="A128" s="103" t="str">
        <f>'3G_REGIONS'!A411</f>
        <v>Kaindy</v>
      </c>
      <c r="B128" s="101" t="e">
        <f>'3G_REGIONS'!#REF!</f>
        <v>#REF!</v>
      </c>
      <c r="C128" s="101" t="e">
        <f>'3G_REGIONS'!#REF!</f>
        <v>#REF!</v>
      </c>
    </row>
    <row r="129" spans="1:3" x14ac:dyDescent="0.3">
      <c r="A129" s="103" t="str">
        <f>'3G_REGIONS'!A1035</f>
        <v>Ulytau</v>
      </c>
      <c r="B129" s="101" t="e">
        <f>'3G_REGIONS'!#REF!</f>
        <v>#REF!</v>
      </c>
      <c r="C129" s="101" t="e">
        <f>'3G_REGIONS'!#REF!</f>
        <v>#REF!</v>
      </c>
    </row>
    <row r="130" spans="1:3" x14ac:dyDescent="0.3">
      <c r="A130" s="103" t="str">
        <f>'3G_REGIONS'!A560</f>
        <v>Komsomol</v>
      </c>
      <c r="B130" s="101" t="e">
        <f>'3G_REGIONS'!#REF!</f>
        <v>#REF!</v>
      </c>
      <c r="C130" s="101" t="e">
        <f>'3G_REGIONS'!#REF!</f>
        <v>#REF!</v>
      </c>
    </row>
    <row r="131" spans="1:3" x14ac:dyDescent="0.3">
      <c r="A131" s="103" t="str">
        <f>'3G_REGIONS'!A742</f>
        <v>Moynkum</v>
      </c>
      <c r="B131" s="101" t="e">
        <f>'3G_REGIONS'!#REF!</f>
        <v>#REF!</v>
      </c>
      <c r="C131" s="101" t="e">
        <f>'3G_REGIONS'!#REF!</f>
        <v>#REF!</v>
      </c>
    </row>
    <row r="132" spans="1:3" x14ac:dyDescent="0.3">
      <c r="A132" s="103" t="str">
        <f>'3G_REGIONS'!A8</f>
        <v>Aiteke-bi</v>
      </c>
      <c r="B132" s="101">
        <f>'3G_REGIONS'!P8</f>
        <v>0</v>
      </c>
      <c r="C132" s="101">
        <f>'3G_REGIONS'!Q8</f>
        <v>0</v>
      </c>
    </row>
    <row r="133" spans="1:3" x14ac:dyDescent="0.3">
      <c r="A133" s="103" t="str">
        <f>'3G_REGIONS'!A9</f>
        <v>Aiteke-bi</v>
      </c>
      <c r="B133" s="101">
        <f>'3G_REGIONS'!P9</f>
        <v>0</v>
      </c>
      <c r="C133" s="101">
        <f>'3G_REGIONS'!Q9</f>
        <v>0</v>
      </c>
    </row>
    <row r="134" spans="1:3" x14ac:dyDescent="0.3">
      <c r="A134" s="103" t="str">
        <f>'3G_REGIONS'!A10</f>
        <v>Aiteke-bi</v>
      </c>
      <c r="B134" s="101" t="e">
        <f>'3G_REGIONS'!#REF!</f>
        <v>#REF!</v>
      </c>
      <c r="C134" s="101" t="e">
        <f>'3G_REGIONS'!#REF!</f>
        <v>#REF!</v>
      </c>
    </row>
    <row r="135" spans="1:3" x14ac:dyDescent="0.3">
      <c r="A135" s="103" t="str">
        <f>'3G_REGIONS'!A17</f>
        <v>Akkol</v>
      </c>
      <c r="B135" s="101" t="e">
        <f>'3G_REGIONS'!#REF!</f>
        <v>#REF!</v>
      </c>
      <c r="C135" s="101" t="e">
        <f>'3G_REGIONS'!#REF!</f>
        <v>#REF!</v>
      </c>
    </row>
    <row r="136" spans="1:3" x14ac:dyDescent="0.3">
      <c r="A136" s="103" t="e">
        <f>'3G_REGIONS'!#REF!</f>
        <v>#REF!</v>
      </c>
      <c r="B136" s="101" t="e">
        <f>'3G_REGIONS'!#REF!</f>
        <v>#REF!</v>
      </c>
      <c r="C136" s="101" t="e">
        <f>'3G_REGIONS'!#REF!</f>
        <v>#REF!</v>
      </c>
    </row>
    <row r="137" spans="1:3" x14ac:dyDescent="0.3">
      <c r="A137" s="103" t="str">
        <f>'3G_REGIONS'!A40</f>
        <v>Akshukur</v>
      </c>
      <c r="B137" s="101" t="e">
        <f>'3G_REGIONS'!#REF!</f>
        <v>#REF!</v>
      </c>
      <c r="C137" s="101" t="e">
        <f>'3G_REGIONS'!#REF!</f>
        <v>#REF!</v>
      </c>
    </row>
    <row r="138" spans="1:3" x14ac:dyDescent="0.3">
      <c r="A138" s="103" t="str">
        <f>'3G_REGIONS'!A48</f>
        <v>Aksuat</v>
      </c>
      <c r="B138" s="101" t="e">
        <f>'3G_REGIONS'!#REF!</f>
        <v>#REF!</v>
      </c>
      <c r="C138" s="101" t="e">
        <f>'3G_REGIONS'!#REF!</f>
        <v>#REF!</v>
      </c>
    </row>
    <row r="139" spans="1:3" x14ac:dyDescent="0.3">
      <c r="A139" s="103" t="str">
        <f>'3G_REGIONS'!A50</f>
        <v>Aksu-Ayuly</v>
      </c>
      <c r="B139" s="101">
        <f>'3G_REGIONS'!P50</f>
        <v>0</v>
      </c>
      <c r="C139" s="101">
        <f>'3G_REGIONS'!Q50</f>
        <v>0</v>
      </c>
    </row>
    <row r="140" spans="1:3" x14ac:dyDescent="0.3">
      <c r="A140" s="103" t="str">
        <f>'3G_REGIONS'!A51</f>
        <v>Aksu-Ayuly</v>
      </c>
      <c r="B140" s="101" t="e">
        <f>'3G_REGIONS'!#REF!</f>
        <v>#REF!</v>
      </c>
      <c r="C140" s="101" t="e">
        <f>'3G_REGIONS'!#REF!</f>
        <v>#REF!</v>
      </c>
    </row>
    <row r="141" spans="1:3" x14ac:dyDescent="0.3">
      <c r="A141" s="103" t="str">
        <f>'3G_REGIONS'!A78</f>
        <v>Akzhar</v>
      </c>
      <c r="B141" s="101" t="e">
        <f>'3G_REGIONS'!#REF!</f>
        <v>#REF!</v>
      </c>
      <c r="C141" s="101" t="e">
        <f>'3G_REGIONS'!#REF!</f>
        <v>#REF!</v>
      </c>
    </row>
    <row r="142" spans="1:3" x14ac:dyDescent="0.3">
      <c r="A142" s="103" t="str">
        <f>'3G_REGIONS'!A85</f>
        <v>Alga</v>
      </c>
      <c r="B142" s="101">
        <f>'3G_REGIONS'!P85</f>
        <v>0</v>
      </c>
      <c r="C142" s="101">
        <f>'3G_REGIONS'!Q85</f>
        <v>0</v>
      </c>
    </row>
    <row r="143" spans="1:3" x14ac:dyDescent="0.3">
      <c r="A143" s="103" t="str">
        <f>'3G_REGIONS'!A86</f>
        <v>Alga</v>
      </c>
      <c r="B143" s="101">
        <f>'3G_REGIONS'!P86</f>
        <v>0</v>
      </c>
      <c r="C143" s="101">
        <f>'3G_REGIONS'!Q86</f>
        <v>0</v>
      </c>
    </row>
    <row r="144" spans="1:3" x14ac:dyDescent="0.3">
      <c r="A144" s="103" t="str">
        <f>'3G_REGIONS'!A87</f>
        <v>Alga</v>
      </c>
      <c r="B144" s="101">
        <f>'3G_REGIONS'!P87</f>
        <v>0</v>
      </c>
      <c r="C144" s="101">
        <f>'3G_REGIONS'!Q87</f>
        <v>0</v>
      </c>
    </row>
    <row r="145" spans="1:3" x14ac:dyDescent="0.3">
      <c r="A145" s="103" t="str">
        <f>'3G_REGIONS'!A88</f>
        <v>Alga</v>
      </c>
      <c r="B145" s="101" t="e">
        <f>'3G_REGIONS'!#REF!</f>
        <v>#REF!</v>
      </c>
      <c r="C145" s="101" t="e">
        <f>'3G_REGIONS'!#REF!</f>
        <v>#REF!</v>
      </c>
    </row>
    <row r="146" spans="1:3" x14ac:dyDescent="0.3">
      <c r="A146" s="103" t="str">
        <f>'3G_REGIONS'!A106</f>
        <v>Amangeldy</v>
      </c>
      <c r="B146" s="101" t="e">
        <f>'3G_REGIONS'!#REF!</f>
        <v>#REF!</v>
      </c>
      <c r="C146" s="101" t="e">
        <f>'3G_REGIONS'!#REF!</f>
        <v>#REF!</v>
      </c>
    </row>
    <row r="147" spans="1:3" x14ac:dyDescent="0.3">
      <c r="A147" s="103" t="str">
        <f>'3G_REGIONS'!A132</f>
        <v>Arys</v>
      </c>
      <c r="B147" s="101">
        <f>'3G_REGIONS'!P132</f>
        <v>0</v>
      </c>
      <c r="C147" s="101">
        <f>'3G_REGIONS'!Q132</f>
        <v>0</v>
      </c>
    </row>
    <row r="148" spans="1:3" x14ac:dyDescent="0.3">
      <c r="A148" s="103" t="str">
        <f>'3G_REGIONS'!A133</f>
        <v>Arys</v>
      </c>
      <c r="B148" s="101" t="e">
        <f>'3G_REGIONS'!#REF!</f>
        <v>#REF!</v>
      </c>
      <c r="C148" s="101" t="e">
        <f>'3G_REGIONS'!#REF!</f>
        <v>#REF!</v>
      </c>
    </row>
    <row r="149" spans="1:3" x14ac:dyDescent="0.3">
      <c r="A149" s="103" t="str">
        <f>'3G_REGIONS'!A149</f>
        <v>Astrakhanka</v>
      </c>
      <c r="B149" s="101" t="e">
        <f>'3G_REGIONS'!#REF!</f>
        <v>#REF!</v>
      </c>
      <c r="C149" s="101" t="e">
        <f>'3G_REGIONS'!#REF!</f>
        <v>#REF!</v>
      </c>
    </row>
    <row r="150" spans="1:3" x14ac:dyDescent="0.3">
      <c r="A150" s="103" t="str">
        <f>'3G_REGIONS'!A167</f>
        <v>Atbasar</v>
      </c>
      <c r="B150" s="101">
        <f>'3G_REGIONS'!P167</f>
        <v>0</v>
      </c>
      <c r="C150" s="101">
        <f>'3G_REGIONS'!Q167</f>
        <v>0</v>
      </c>
    </row>
    <row r="151" spans="1:3" x14ac:dyDescent="0.3">
      <c r="A151" s="103" t="str">
        <f>'3G_REGIONS'!A168</f>
        <v>Atbasar</v>
      </c>
      <c r="B151" s="101" t="e">
        <f>'3G_REGIONS'!#REF!</f>
        <v>#REF!</v>
      </c>
      <c r="C151" s="101" t="e">
        <f>'3G_REGIONS'!#REF!</f>
        <v>#REF!</v>
      </c>
    </row>
    <row r="152" spans="1:3" x14ac:dyDescent="0.3">
      <c r="A152" s="103" t="str">
        <f>'3G_REGIONS'!A175</f>
        <v>Auezov</v>
      </c>
      <c r="B152" s="101">
        <f>'3G_REGIONS'!P175</f>
        <v>0</v>
      </c>
      <c r="C152" s="101">
        <f>'3G_REGIONS'!Q175</f>
        <v>0</v>
      </c>
    </row>
    <row r="153" spans="1:3" x14ac:dyDescent="0.3">
      <c r="A153" s="103" t="str">
        <f>'3G_REGIONS'!A176</f>
        <v>Auezov</v>
      </c>
      <c r="B153" s="101" t="e">
        <f>'3G_REGIONS'!#REF!</f>
        <v>#REF!</v>
      </c>
      <c r="C153" s="101" t="e">
        <f>'3G_REGIONS'!#REF!</f>
        <v>#REF!</v>
      </c>
    </row>
    <row r="154" spans="1:3" x14ac:dyDescent="0.3">
      <c r="A154" s="103" t="str">
        <f>'3G_REGIONS'!A179</f>
        <v>Ayaguz</v>
      </c>
      <c r="B154" s="101">
        <f>'3G_REGIONS'!P179</f>
        <v>0</v>
      </c>
      <c r="C154" s="101">
        <f>'3G_REGIONS'!Q179</f>
        <v>0</v>
      </c>
    </row>
    <row r="155" spans="1:3" x14ac:dyDescent="0.3">
      <c r="A155" s="103" t="str">
        <f>'3G_REGIONS'!A180</f>
        <v>Ayaguz</v>
      </c>
      <c r="B155" s="101" t="e">
        <f>'3G_REGIONS'!#REF!</f>
        <v>#REF!</v>
      </c>
      <c r="C155" s="101" t="e">
        <f>'3G_REGIONS'!#REF!</f>
        <v>#REF!</v>
      </c>
    </row>
    <row r="156" spans="1:3" x14ac:dyDescent="0.3">
      <c r="A156" s="103" t="e">
        <f>'3G_REGIONS'!#REF!</f>
        <v>#REF!</v>
      </c>
      <c r="B156" s="101" t="e">
        <f>'3G_REGIONS'!#REF!</f>
        <v>#REF!</v>
      </c>
      <c r="C156" s="101" t="e">
        <f>'3G_REGIONS'!#REF!</f>
        <v>#REF!</v>
      </c>
    </row>
    <row r="157" spans="1:3" x14ac:dyDescent="0.3">
      <c r="A157" s="103" t="e">
        <f>'3G_REGIONS'!#REF!</f>
        <v>#REF!</v>
      </c>
      <c r="B157" s="101" t="e">
        <f>'3G_REGIONS'!#REF!</f>
        <v>#REF!</v>
      </c>
      <c r="C157" s="101" t="e">
        <f>'3G_REGIONS'!#REF!</f>
        <v>#REF!</v>
      </c>
    </row>
    <row r="158" spans="1:3" x14ac:dyDescent="0.3">
      <c r="A158" s="103" t="str">
        <f>'3G_REGIONS'!A202</f>
        <v>Balkhash</v>
      </c>
      <c r="B158" s="101" t="e">
        <f>'3G_REGIONS'!#REF!</f>
        <v>#REF!</v>
      </c>
      <c r="C158" s="101" t="e">
        <f>'3G_REGIONS'!#REF!</f>
        <v>#REF!</v>
      </c>
    </row>
    <row r="159" spans="1:3" x14ac:dyDescent="0.3">
      <c r="A159" s="103" t="str">
        <f>'3G_REGIONS'!A206</f>
        <v>Balkuduk</v>
      </c>
      <c r="B159" s="101" t="e">
        <f>'3G_REGIONS'!#REF!</f>
        <v>#REF!</v>
      </c>
      <c r="C159" s="101" t="e">
        <f>'3G_REGIONS'!#REF!</f>
        <v>#REF!</v>
      </c>
    </row>
    <row r="160" spans="1:3" x14ac:dyDescent="0.3">
      <c r="A160" s="103" t="str">
        <f>'3G_REGIONS'!A208</f>
        <v>Balkuduk</v>
      </c>
      <c r="B160" s="101" t="e">
        <f>'3G_REGIONS'!#REF!</f>
        <v>#REF!</v>
      </c>
      <c r="C160" s="101" t="e">
        <f>'3G_REGIONS'!#REF!</f>
        <v>#REF!</v>
      </c>
    </row>
    <row r="161" spans="1:3" x14ac:dyDescent="0.3">
      <c r="A161" s="103" t="str">
        <f>'3G_REGIONS'!A215</f>
        <v>Bayanaul-Fakel</v>
      </c>
      <c r="B161" s="101" t="e">
        <f>'3G_REGIONS'!#REF!</f>
        <v>#REF!</v>
      </c>
      <c r="C161" s="101" t="e">
        <f>'3G_REGIONS'!#REF!</f>
        <v>#REF!</v>
      </c>
    </row>
    <row r="162" spans="1:3" x14ac:dyDescent="0.3">
      <c r="A162" s="103" t="str">
        <f>'3G_REGIONS'!A222</f>
        <v>Bayganin</v>
      </c>
      <c r="B162" s="101" t="e">
        <f>'3G_REGIONS'!#REF!</f>
        <v>#REF!</v>
      </c>
      <c r="C162" s="101" t="e">
        <f>'3G_REGIONS'!#REF!</f>
        <v>#REF!</v>
      </c>
    </row>
    <row r="163" spans="1:3" x14ac:dyDescent="0.3">
      <c r="A163" s="103" t="str">
        <f>'3G_REGIONS'!A225</f>
        <v>Begaly</v>
      </c>
      <c r="B163" s="101" t="e">
        <f>'3G_REGIONS'!#REF!</f>
        <v>#REF!</v>
      </c>
      <c r="C163" s="101" t="e">
        <f>'3G_REGIONS'!#REF!</f>
        <v>#REF!</v>
      </c>
    </row>
    <row r="164" spans="1:3" x14ac:dyDescent="0.3">
      <c r="A164" s="103" t="str">
        <f>'3G_REGIONS'!A246</f>
        <v>Blagoveshenka</v>
      </c>
      <c r="B164" s="101" t="e">
        <f>'3G_REGIONS'!#REF!</f>
        <v>#REF!</v>
      </c>
      <c r="C164" s="101" t="e">
        <f>'3G_REGIONS'!#REF!</f>
        <v>#REF!</v>
      </c>
    </row>
    <row r="165" spans="1:3" x14ac:dyDescent="0.3">
      <c r="A165" s="103" t="str">
        <f>'3G_REGIONS'!A251</f>
        <v>Bolshenarym</v>
      </c>
      <c r="B165" s="101" t="e">
        <f>'3G_REGIONS'!#REF!</f>
        <v>#REF!</v>
      </c>
      <c r="C165" s="101" t="e">
        <f>'3G_REGIONS'!#REF!</f>
        <v>#REF!</v>
      </c>
    </row>
    <row r="166" spans="1:3" x14ac:dyDescent="0.3">
      <c r="A166" s="103" t="str">
        <f>'3G_REGIONS'!A252</f>
        <v>Bolshenarym</v>
      </c>
      <c r="B166" s="101" t="e">
        <f>'3G_REGIONS'!#REF!</f>
        <v>#REF!</v>
      </c>
      <c r="C166" s="101" t="e">
        <f>'3G_REGIONS'!#REF!</f>
        <v>#REF!</v>
      </c>
    </row>
    <row r="167" spans="1:3" x14ac:dyDescent="0.3">
      <c r="A167" s="103" t="str">
        <f>'3G_REGIONS'!A270</f>
        <v>Chapaevo</v>
      </c>
      <c r="B167" s="101" t="e">
        <f>'3G_REGIONS'!#REF!</f>
        <v>#REF!</v>
      </c>
      <c r="C167" s="101" t="e">
        <f>'3G_REGIONS'!#REF!</f>
        <v>#REF!</v>
      </c>
    </row>
    <row r="168" spans="1:3" x14ac:dyDescent="0.3">
      <c r="A168" s="103" t="str">
        <f>'3G_REGIONS'!A275</f>
        <v>Chemolgan</v>
      </c>
      <c r="B168" s="101" t="e">
        <f>'3G_REGIONS'!#REF!</f>
        <v>#REF!</v>
      </c>
      <c r="C168" s="101" t="e">
        <f>'3G_REGIONS'!#REF!</f>
        <v>#REF!</v>
      </c>
    </row>
    <row r="169" spans="1:3" x14ac:dyDescent="0.3">
      <c r="A169" s="103" t="str">
        <f>'3G_REGIONS'!A285</f>
        <v>Chilik</v>
      </c>
      <c r="B169" s="101" t="e">
        <f>'3G_REGIONS'!#REF!</f>
        <v>#REF!</v>
      </c>
      <c r="C169" s="101" t="e">
        <f>'3G_REGIONS'!#REF!</f>
        <v>#REF!</v>
      </c>
    </row>
    <row r="170" spans="1:3" x14ac:dyDescent="0.3">
      <c r="A170" s="103" t="str">
        <f>'3G_REGIONS'!A286</f>
        <v>Chingirlau</v>
      </c>
      <c r="B170" s="101" t="e">
        <f>'3G_REGIONS'!#REF!</f>
        <v>#REF!</v>
      </c>
      <c r="C170" s="101" t="e">
        <f>'3G_REGIONS'!#REF!</f>
        <v>#REF!</v>
      </c>
    </row>
    <row r="171" spans="1:3" x14ac:dyDescent="0.3">
      <c r="A171" s="103" t="str">
        <f>'3G_REGIONS'!A288</f>
        <v>Chistopole</v>
      </c>
      <c r="B171" s="101" t="e">
        <f>'3G_REGIONS'!#REF!</f>
        <v>#REF!</v>
      </c>
      <c r="C171" s="101" t="e">
        <f>'3G_REGIONS'!#REF!</f>
        <v>#REF!</v>
      </c>
    </row>
    <row r="172" spans="1:3" x14ac:dyDescent="0.3">
      <c r="A172" s="103" t="str">
        <f>'3G_REGIONS'!A292</f>
        <v>Chunga</v>
      </c>
      <c r="B172" s="101" t="e">
        <f>'3G_REGIONS'!#REF!</f>
        <v>#REF!</v>
      </c>
      <c r="C172" s="101" t="e">
        <f>'3G_REGIONS'!#REF!</f>
        <v>#REF!</v>
      </c>
    </row>
    <row r="173" spans="1:3" x14ac:dyDescent="0.3">
      <c r="A173" s="103" t="str">
        <f>'3G_REGIONS'!A299</f>
        <v>Derzhavinsk</v>
      </c>
      <c r="B173" s="101" t="e">
        <f>'3G_REGIONS'!#REF!</f>
        <v>#REF!</v>
      </c>
      <c r="C173" s="101" t="e">
        <f>'3G_REGIONS'!#REF!</f>
        <v>#REF!</v>
      </c>
    </row>
    <row r="174" spans="1:3" x14ac:dyDescent="0.3">
      <c r="A174" s="103" t="str">
        <f>'3G_REGIONS'!A301</f>
        <v>Derzhavinsk</v>
      </c>
      <c r="B174" s="101" t="e">
        <f>'3G_REGIONS'!#REF!</f>
        <v>#REF!</v>
      </c>
      <c r="C174" s="101" t="e">
        <f>'3G_REGIONS'!#REF!</f>
        <v>#REF!</v>
      </c>
    </row>
    <row r="175" spans="1:3" x14ac:dyDescent="0.3">
      <c r="A175" s="103" t="str">
        <f>'3G_REGIONS'!A309</f>
        <v>Dostyk</v>
      </c>
      <c r="B175" s="101" t="e">
        <f>'3G_REGIONS'!#REF!</f>
        <v>#REF!</v>
      </c>
      <c r="C175" s="101" t="e">
        <f>'3G_REGIONS'!#REF!</f>
        <v>#REF!</v>
      </c>
    </row>
    <row r="176" spans="1:3" x14ac:dyDescent="0.3">
      <c r="A176" s="103" t="str">
        <f>'3G_REGIONS'!A317</f>
        <v>Dzangala</v>
      </c>
      <c r="B176" s="101" t="e">
        <f>'3G_REGIONS'!#REF!</f>
        <v>#REF!</v>
      </c>
      <c r="C176" s="101" t="e">
        <f>'3G_REGIONS'!#REF!</f>
        <v>#REF!</v>
      </c>
    </row>
    <row r="177" spans="1:3" x14ac:dyDescent="0.3">
      <c r="A177" s="103" t="e">
        <f>'3G_REGIONS'!#REF!</f>
        <v>#REF!</v>
      </c>
      <c r="B177" s="101" t="e">
        <f>'3G_REGIONS'!#REF!</f>
        <v>#REF!</v>
      </c>
      <c r="C177" s="101" t="e">
        <f>'3G_REGIONS'!#REF!</f>
        <v>#REF!</v>
      </c>
    </row>
    <row r="178" spans="1:3" x14ac:dyDescent="0.3">
      <c r="A178" s="103" t="str">
        <f>'3G_REGIONS'!A322</f>
        <v>Egindybulak</v>
      </c>
      <c r="B178" s="101" t="e">
        <f>'3G_REGIONS'!#REF!</f>
        <v>#REF!</v>
      </c>
      <c r="C178" s="101" t="e">
        <f>'3G_REGIONS'!#REF!</f>
        <v>#REF!</v>
      </c>
    </row>
    <row r="179" spans="1:3" x14ac:dyDescent="0.3">
      <c r="A179" s="103" t="str">
        <f>'3G_REGIONS'!A323</f>
        <v>Egindybulak</v>
      </c>
      <c r="B179" s="101" t="e">
        <f>'3G_REGIONS'!#REF!</f>
        <v>#REF!</v>
      </c>
      <c r="C179" s="101" t="e">
        <f>'3G_REGIONS'!#REF!</f>
        <v>#REF!</v>
      </c>
    </row>
    <row r="180" spans="1:3" x14ac:dyDescent="0.3">
      <c r="A180" s="103" t="str">
        <f>'3G_REGIONS'!A327</f>
        <v>Emba</v>
      </c>
      <c r="B180" s="101" t="e">
        <f>'3G_REGIONS'!#REF!</f>
        <v>#REF!</v>
      </c>
      <c r="C180" s="101" t="e">
        <f>'3G_REGIONS'!#REF!</f>
        <v>#REF!</v>
      </c>
    </row>
    <row r="181" spans="1:3" x14ac:dyDescent="0.3">
      <c r="A181" s="103" t="str">
        <f>'3G_REGIONS'!A345</f>
        <v>Eseykhan</v>
      </c>
      <c r="B181" s="101" t="e">
        <f>'3G_REGIONS'!#REF!</f>
        <v>#REF!</v>
      </c>
      <c r="C181" s="101" t="e">
        <f>'3G_REGIONS'!#REF!</f>
        <v>#REF!</v>
      </c>
    </row>
    <row r="182" spans="1:3" x14ac:dyDescent="0.3">
      <c r="A182" s="103" t="str">
        <f>'3G_REGIONS'!A347</f>
        <v>Esil</v>
      </c>
      <c r="B182" s="101" t="e">
        <f>'3G_REGIONS'!#REF!</f>
        <v>#REF!</v>
      </c>
      <c r="C182" s="101" t="e">
        <f>'3G_REGIONS'!#REF!</f>
        <v>#REF!</v>
      </c>
    </row>
    <row r="183" spans="1:3" x14ac:dyDescent="0.3">
      <c r="A183" s="103" t="str">
        <f>'3G_REGIONS'!A387</f>
        <v>Issyk</v>
      </c>
      <c r="B183" s="101">
        <f>'3G_REGIONS'!P387</f>
        <v>0</v>
      </c>
      <c r="C183" s="101">
        <f>'3G_REGIONS'!Q387</f>
        <v>0</v>
      </c>
    </row>
    <row r="184" spans="1:3" x14ac:dyDescent="0.3">
      <c r="A184" s="103" t="str">
        <f>'3G_REGIONS'!A388</f>
        <v>Issyk</v>
      </c>
      <c r="B184" s="101" t="e">
        <f>'3G_REGIONS'!#REF!</f>
        <v>#REF!</v>
      </c>
      <c r="C184" s="101" t="e">
        <f>'3G_REGIONS'!#REF!</f>
        <v>#REF!</v>
      </c>
    </row>
    <row r="185" spans="1:3" x14ac:dyDescent="0.3">
      <c r="A185" s="103" t="str">
        <f>'3G_REGIONS'!A356</f>
        <v>Ganushkino</v>
      </c>
      <c r="B185" s="101" t="e">
        <f>'3G_REGIONS'!#REF!</f>
        <v>#REF!</v>
      </c>
      <c r="C185" s="101" t="e">
        <f>'3G_REGIONS'!#REF!</f>
        <v>#REF!</v>
      </c>
    </row>
    <row r="186" spans="1:3" x14ac:dyDescent="0.3">
      <c r="A186" s="103" t="str">
        <f>'3G_REGIONS'!A357</f>
        <v>Ganushkino</v>
      </c>
      <c r="B186" s="101">
        <f>'3G_REGIONS'!P357</f>
        <v>0</v>
      </c>
      <c r="C186" s="101">
        <f>'3G_REGIONS'!Q357</f>
        <v>0</v>
      </c>
    </row>
    <row r="187" spans="1:3" x14ac:dyDescent="0.3">
      <c r="A187" s="103" t="str">
        <f>'3G_REGIONS'!A358</f>
        <v>Ganushkino</v>
      </c>
      <c r="B187" s="101" t="e">
        <f>'3G_REGIONS'!#REF!</f>
        <v>#REF!</v>
      </c>
      <c r="C187" s="101" t="e">
        <f>'3G_REGIONS'!#REF!</f>
        <v>#REF!</v>
      </c>
    </row>
    <row r="188" spans="1:3" x14ac:dyDescent="0.3">
      <c r="A188" s="103" t="str">
        <f>'3G_REGIONS'!A366</f>
        <v>Hromtau</v>
      </c>
      <c r="B188" s="101">
        <f>'3G_REGIONS'!P366</f>
        <v>0</v>
      </c>
      <c r="C188" s="101">
        <f>'3G_REGIONS'!Q366</f>
        <v>0</v>
      </c>
    </row>
    <row r="189" spans="1:3" x14ac:dyDescent="0.3">
      <c r="A189" s="103" t="str">
        <f>'3G_REGIONS'!A368</f>
        <v>Hromtau</v>
      </c>
      <c r="B189" s="101" t="e">
        <f>'3G_REGIONS'!#REF!</f>
        <v>#REF!</v>
      </c>
      <c r="C189" s="101" t="e">
        <f>'3G_REGIONS'!#REF!</f>
        <v>#REF!</v>
      </c>
    </row>
    <row r="190" spans="1:3" x14ac:dyDescent="0.3">
      <c r="A190" s="103" t="str">
        <f>'3G_REGIONS'!A373</f>
        <v>Inder</v>
      </c>
      <c r="B190" s="101">
        <f>'3G_REGIONS'!P373</f>
        <v>0</v>
      </c>
      <c r="C190" s="101">
        <f>'3G_REGIONS'!Q373</f>
        <v>0</v>
      </c>
    </row>
    <row r="191" spans="1:3" x14ac:dyDescent="0.3">
      <c r="A191" s="103" t="str">
        <f>'3G_REGIONS'!A374</f>
        <v>Inder</v>
      </c>
      <c r="B191" s="101">
        <f>'3G_REGIONS'!P374</f>
        <v>0</v>
      </c>
      <c r="C191" s="101">
        <f>'3G_REGIONS'!Q374</f>
        <v>0</v>
      </c>
    </row>
    <row r="192" spans="1:3" x14ac:dyDescent="0.3">
      <c r="A192" s="103" t="str">
        <f>'3G_REGIONS'!A375</f>
        <v>Inder</v>
      </c>
      <c r="B192" s="101" t="e">
        <f>'3G_REGIONS'!#REF!</f>
        <v>#REF!</v>
      </c>
      <c r="C192" s="101" t="e">
        <f>'3G_REGIONS'!#REF!</f>
        <v>#REF!</v>
      </c>
    </row>
    <row r="193" spans="1:3" x14ac:dyDescent="0.3">
      <c r="A193" s="103" t="str">
        <f>'3G_REGIONS'!A377</f>
        <v>Irtyshsk</v>
      </c>
      <c r="B193" s="101" t="e">
        <f>'3G_REGIONS'!#REF!</f>
        <v>#REF!</v>
      </c>
      <c r="C193" s="101" t="e">
        <f>'3G_REGIONS'!#REF!</f>
        <v>#REF!</v>
      </c>
    </row>
    <row r="194" spans="1:3" x14ac:dyDescent="0.3">
      <c r="A194" s="103" t="str">
        <f>'3G_REGIONS'!A380</f>
        <v>Ishimskoe</v>
      </c>
      <c r="B194" s="101" t="e">
        <f>'3G_REGIONS'!#REF!</f>
        <v>#REF!</v>
      </c>
      <c r="C194" s="101" t="e">
        <f>'3G_REGIONS'!#REF!</f>
        <v>#REF!</v>
      </c>
    </row>
    <row r="195" spans="1:3" x14ac:dyDescent="0.3">
      <c r="A195" s="103" t="str">
        <f>'3G_REGIONS'!A382</f>
        <v>Ishimskoe</v>
      </c>
      <c r="B195" s="101" t="e">
        <f>'3G_REGIONS'!#REF!</f>
        <v>#REF!</v>
      </c>
      <c r="C195" s="101" t="e">
        <f>'3G_REGIONS'!#REF!</f>
        <v>#REF!</v>
      </c>
    </row>
    <row r="196" spans="1:3" x14ac:dyDescent="0.3">
      <c r="A196" s="103" t="str">
        <f>'3G_REGIONS'!A389</f>
        <v>Jairem</v>
      </c>
      <c r="B196" s="101" t="e">
        <f>'3G_REGIONS'!#REF!</f>
        <v>#REF!</v>
      </c>
      <c r="C196" s="101" t="e">
        <f>'3G_REGIONS'!#REF!</f>
        <v>#REF!</v>
      </c>
    </row>
    <row r="197" spans="1:3" x14ac:dyDescent="0.3">
      <c r="A197" s="103" t="str">
        <f>'3G_REGIONS'!A402</f>
        <v>Kabanbai-Rozhdestv</v>
      </c>
      <c r="B197" s="101">
        <f>'3G_REGIONS'!P402</f>
        <v>0</v>
      </c>
      <c r="C197" s="101">
        <f>'3G_REGIONS'!Q402</f>
        <v>0</v>
      </c>
    </row>
    <row r="198" spans="1:3" x14ac:dyDescent="0.3">
      <c r="A198" s="103" t="str">
        <f>'3G_REGIONS'!A403</f>
        <v>Kabanbai-Rozhdestv</v>
      </c>
      <c r="B198" s="101" t="e">
        <f>'3G_REGIONS'!#REF!</f>
        <v>#REF!</v>
      </c>
      <c r="C198" s="101" t="e">
        <f>'3G_REGIONS'!#REF!</f>
        <v>#REF!</v>
      </c>
    </row>
    <row r="199" spans="1:3" x14ac:dyDescent="0.3">
      <c r="A199" s="103" t="str">
        <f>'3G_REGIONS'!A407</f>
        <v>Kabyrga</v>
      </c>
      <c r="B199" s="101" t="e">
        <f>'3G_REGIONS'!#REF!</f>
        <v>#REF!</v>
      </c>
      <c r="C199" s="101" t="e">
        <f>'3G_REGIONS'!#REF!</f>
        <v>#REF!</v>
      </c>
    </row>
    <row r="200" spans="1:3" x14ac:dyDescent="0.3">
      <c r="A200" s="103" t="str">
        <f>'3G_REGIONS'!A410</f>
        <v>Kaindy</v>
      </c>
      <c r="B200" s="101" t="e">
        <f>'3G_REGIONS'!#REF!</f>
        <v>#REF!</v>
      </c>
      <c r="C200" s="101" t="e">
        <f>'3G_REGIONS'!#REF!</f>
        <v>#REF!</v>
      </c>
    </row>
    <row r="201" spans="1:3" x14ac:dyDescent="0.3">
      <c r="A201" s="103" t="str">
        <f>'3G_REGIONS'!A418</f>
        <v>Kalbatau</v>
      </c>
      <c r="B201" s="101" t="e">
        <f>'3G_REGIONS'!#REF!</f>
        <v>#REF!</v>
      </c>
      <c r="C201" s="101" t="e">
        <f>'3G_REGIONS'!#REF!</f>
        <v>#REF!</v>
      </c>
    </row>
    <row r="202" spans="1:3" x14ac:dyDescent="0.3">
      <c r="A202" s="103" t="str">
        <f>'3G_REGIONS'!A423</f>
        <v>Kamenka</v>
      </c>
      <c r="B202" s="101" t="e">
        <f>'3G_REGIONS'!#REF!</f>
        <v>#REF!</v>
      </c>
      <c r="C202" s="101" t="e">
        <f>'3G_REGIONS'!#REF!</f>
        <v>#REF!</v>
      </c>
    </row>
    <row r="203" spans="1:3" x14ac:dyDescent="0.3">
      <c r="A203" s="103" t="str">
        <f>'3G_REGIONS'!A432</f>
        <v>Kandygash</v>
      </c>
      <c r="B203" s="101">
        <f>'3G_REGIONS'!P432</f>
        <v>0</v>
      </c>
      <c r="C203" s="101">
        <f>'3G_REGIONS'!Q432</f>
        <v>0</v>
      </c>
    </row>
    <row r="204" spans="1:3" x14ac:dyDescent="0.3">
      <c r="A204" s="103" t="str">
        <f>'3G_REGIONS'!A433</f>
        <v>Kandygash</v>
      </c>
      <c r="B204" s="101" t="e">
        <f>'3G_REGIONS'!#REF!</f>
        <v>#REF!</v>
      </c>
      <c r="C204" s="101" t="e">
        <f>'3G_REGIONS'!#REF!</f>
        <v>#REF!</v>
      </c>
    </row>
    <row r="205" spans="1:3" x14ac:dyDescent="0.3">
      <c r="A205" s="103" t="str">
        <f>'3G_REGIONS'!A434</f>
        <v>Kapchagay</v>
      </c>
      <c r="B205" s="101" t="e">
        <f>'3G_REGIONS'!#REF!</f>
        <v>#REF!</v>
      </c>
      <c r="C205" s="101" t="e">
        <f>'3G_REGIONS'!#REF!</f>
        <v>#REF!</v>
      </c>
    </row>
    <row r="206" spans="1:3" x14ac:dyDescent="0.3">
      <c r="A206" s="103" t="str">
        <f>'3G_REGIONS'!A440</f>
        <v>Karabau</v>
      </c>
      <c r="B206" s="101" t="e">
        <f>'3G_REGIONS'!#REF!</f>
        <v>#REF!</v>
      </c>
      <c r="C206" s="101" t="e">
        <f>'3G_REGIONS'!#REF!</f>
        <v>#REF!</v>
      </c>
    </row>
    <row r="207" spans="1:3" x14ac:dyDescent="0.3">
      <c r="A207" s="103" t="str">
        <f>'3G_REGIONS'!A461</f>
        <v>Karabutak</v>
      </c>
      <c r="B207" s="101" t="e">
        <f>'3G_REGIONS'!#REF!</f>
        <v>#REF!</v>
      </c>
      <c r="C207" s="101" t="e">
        <f>'3G_REGIONS'!#REF!</f>
        <v>#REF!</v>
      </c>
    </row>
    <row r="208" spans="1:3" x14ac:dyDescent="0.3">
      <c r="A208" s="103" t="str">
        <f>'3G_REGIONS'!A462</f>
        <v>Karabutak</v>
      </c>
      <c r="B208" s="101" t="e">
        <f>'3G_REGIONS'!#REF!</f>
        <v>#REF!</v>
      </c>
      <c r="C208" s="101" t="e">
        <f>'3G_REGIONS'!#REF!</f>
        <v>#REF!</v>
      </c>
    </row>
    <row r="209" spans="1:3" x14ac:dyDescent="0.3">
      <c r="A209" s="103" t="str">
        <f>'3G_REGIONS'!A473</f>
        <v>Karakol Atyrau CE1</v>
      </c>
      <c r="B209" s="101" t="e">
        <f>'3G_REGIONS'!#REF!</f>
        <v>#REF!</v>
      </c>
      <c r="C209" s="101" t="e">
        <f>'3G_REGIONS'!#REF!</f>
        <v>#REF!</v>
      </c>
    </row>
    <row r="210" spans="1:3" x14ac:dyDescent="0.3">
      <c r="A210" s="103" t="str">
        <f>'3G_REGIONS'!A483</f>
        <v>Karamendy</v>
      </c>
      <c r="B210" s="101" t="e">
        <f>'3G_REGIONS'!#REF!</f>
        <v>#REF!</v>
      </c>
      <c r="C210" s="101" t="e">
        <f>'3G_REGIONS'!#REF!</f>
        <v>#REF!</v>
      </c>
    </row>
    <row r="211" spans="1:3" x14ac:dyDescent="0.3">
      <c r="A211" s="103" t="str">
        <f>'3G_REGIONS'!A499</f>
        <v>Karaul</v>
      </c>
      <c r="B211" s="101">
        <f>'3G_REGIONS'!P499</f>
        <v>0</v>
      </c>
      <c r="C211" s="101">
        <f>'3G_REGIONS'!Q499</f>
        <v>0</v>
      </c>
    </row>
    <row r="212" spans="1:3" x14ac:dyDescent="0.3">
      <c r="A212" s="103" t="str">
        <f>'3G_REGIONS'!A500</f>
        <v>Karaul</v>
      </c>
      <c r="B212" s="101" t="e">
        <f>'3G_REGIONS'!#REF!</f>
        <v>#REF!</v>
      </c>
      <c r="C212" s="101" t="e">
        <f>'3G_REGIONS'!#REF!</f>
        <v>#REF!</v>
      </c>
    </row>
    <row r="213" spans="1:3" x14ac:dyDescent="0.3">
      <c r="A213" s="103" t="str">
        <f>'3G_REGIONS'!A526</f>
        <v>Kaskelen</v>
      </c>
      <c r="B213" s="101" t="e">
        <f>'3G_REGIONS'!#REF!</f>
        <v>#REF!</v>
      </c>
      <c r="C213" s="101" t="e">
        <f>'3G_REGIONS'!#REF!</f>
        <v>#REF!</v>
      </c>
    </row>
    <row r="214" spans="1:3" x14ac:dyDescent="0.3">
      <c r="A214" s="103" t="str">
        <f>'3G_REGIONS'!A529</f>
        <v>Katon</v>
      </c>
      <c r="B214" s="101" t="e">
        <f>'3G_REGIONS'!#REF!</f>
        <v>#REF!</v>
      </c>
      <c r="C214" s="101" t="e">
        <f>'3G_REGIONS'!#REF!</f>
        <v>#REF!</v>
      </c>
    </row>
    <row r="215" spans="1:3" x14ac:dyDescent="0.3">
      <c r="A215" s="103" t="str">
        <f>'3G_REGIONS'!A531</f>
        <v>Kazgurt</v>
      </c>
      <c r="B215" s="101" t="e">
        <f>'3G_REGIONS'!#REF!</f>
        <v>#REF!</v>
      </c>
      <c r="C215" s="101" t="e">
        <f>'3G_REGIONS'!#REF!</f>
        <v>#REF!</v>
      </c>
    </row>
    <row r="216" spans="1:3" x14ac:dyDescent="0.3">
      <c r="A216" s="103" t="str">
        <f>'3G_REGIONS'!A532</f>
        <v>Kazgurt</v>
      </c>
      <c r="B216" s="101" t="e">
        <f>'3G_REGIONS'!#REF!</f>
        <v>#REF!</v>
      </c>
      <c r="C216" s="101" t="e">
        <f>'3G_REGIONS'!#REF!</f>
        <v>#REF!</v>
      </c>
    </row>
    <row r="217" spans="1:3" x14ac:dyDescent="0.3">
      <c r="A217" s="103" t="str">
        <f>'3G_REGIONS'!A534</f>
        <v>Kegen</v>
      </c>
      <c r="B217" s="101" t="e">
        <f>'3G_REGIONS'!#REF!</f>
        <v>#REF!</v>
      </c>
      <c r="C217" s="101" t="e">
        <f>'3G_REGIONS'!#REF!</f>
        <v>#REF!</v>
      </c>
    </row>
    <row r="218" spans="1:3" x14ac:dyDescent="0.3">
      <c r="A218" s="103" t="str">
        <f>'3G_REGIONS'!A541</f>
        <v>Kentau</v>
      </c>
      <c r="B218" s="101" t="e">
        <f>'3G_REGIONS'!#REF!</f>
        <v>#REF!</v>
      </c>
      <c r="C218" s="101" t="e">
        <f>'3G_REGIONS'!#REF!</f>
        <v>#REF!</v>
      </c>
    </row>
    <row r="219" spans="1:3" x14ac:dyDescent="0.3">
      <c r="A219" s="103" t="str">
        <f>'3G_REGIONS'!A552</f>
        <v>Kokistek</v>
      </c>
      <c r="B219" s="101" t="e">
        <f>'3G_REGIONS'!#REF!</f>
        <v>#REF!</v>
      </c>
      <c r="C219" s="101" t="e">
        <f>'3G_REGIONS'!#REF!</f>
        <v>#REF!</v>
      </c>
    </row>
    <row r="220" spans="1:3" x14ac:dyDescent="0.3">
      <c r="A220" s="103" t="str">
        <f>'3G_REGIONS'!A556</f>
        <v>Kokpekty AGR_1</v>
      </c>
      <c r="B220" s="101" t="e">
        <f>'3G_REGIONS'!#REF!</f>
        <v>#REF!</v>
      </c>
      <c r="C220" s="101" t="e">
        <f>'3G_REGIONS'!#REF!</f>
        <v>#REF!</v>
      </c>
    </row>
    <row r="221" spans="1:3" x14ac:dyDescent="0.3">
      <c r="A221" s="103" t="str">
        <f>'3G_REGIONS'!A559</f>
        <v>Koktobe</v>
      </c>
      <c r="B221" s="101" t="e">
        <f>'3G_REGIONS'!#REF!</f>
        <v>#REF!</v>
      </c>
      <c r="C221" s="101" t="e">
        <f>'3G_REGIONS'!#REF!</f>
        <v>#REF!</v>
      </c>
    </row>
    <row r="222" spans="1:3" x14ac:dyDescent="0.3">
      <c r="A222" s="103" t="str">
        <f>'3G_REGIONS'!A613</f>
        <v>Kotyaevka</v>
      </c>
      <c r="B222" s="101" t="e">
        <f>'3G_REGIONS'!#REF!</f>
        <v>#REF!</v>
      </c>
      <c r="C222" s="101" t="e">
        <f>'3G_REGIONS'!#REF!</f>
        <v>#REF!</v>
      </c>
    </row>
    <row r="223" spans="1:3" x14ac:dyDescent="0.3">
      <c r="A223" s="103" t="str">
        <f>'3G_REGIONS'!A621</f>
        <v>Kulan</v>
      </c>
      <c r="B223" s="101" t="e">
        <f>'3G_REGIONS'!#REF!</f>
        <v>#REF!</v>
      </c>
      <c r="C223" s="101" t="e">
        <f>'3G_REGIONS'!#REF!</f>
        <v>#REF!</v>
      </c>
    </row>
    <row r="224" spans="1:3" x14ac:dyDescent="0.3">
      <c r="A224" s="103" t="str">
        <f>'3G_REGIONS'!A622</f>
        <v>Kulan</v>
      </c>
      <c r="B224" s="101" t="e">
        <f>'3G_REGIONS'!#REF!</f>
        <v>#REF!</v>
      </c>
      <c r="C224" s="101" t="e">
        <f>'3G_REGIONS'!#REF!</f>
        <v>#REF!</v>
      </c>
    </row>
    <row r="225" spans="1:3" x14ac:dyDescent="0.3">
      <c r="A225" s="103" t="str">
        <f>'3G_REGIONS'!A636</f>
        <v>Kurchum</v>
      </c>
      <c r="B225" s="101" t="e">
        <f>'3G_REGIONS'!#REF!</f>
        <v>#REF!</v>
      </c>
      <c r="C225" s="101" t="e">
        <f>'3G_REGIONS'!#REF!</f>
        <v>#REF!</v>
      </c>
    </row>
    <row r="226" spans="1:3" x14ac:dyDescent="0.3">
      <c r="A226" s="103" t="str">
        <f>'3G_REGIONS'!A637</f>
        <v>Kurchum</v>
      </c>
      <c r="B226" s="101" t="e">
        <f>'3G_REGIONS'!#REF!</f>
        <v>#REF!</v>
      </c>
      <c r="C226" s="101" t="e">
        <f>'3G_REGIONS'!#REF!</f>
        <v>#REF!</v>
      </c>
    </row>
    <row r="227" spans="1:3" x14ac:dyDescent="0.3">
      <c r="A227" s="103" t="str">
        <f>'3G_REGIONS'!A673</f>
        <v>Lenger</v>
      </c>
      <c r="B227" s="101" t="e">
        <f>'3G_REGIONS'!#REF!</f>
        <v>#REF!</v>
      </c>
      <c r="C227" s="101" t="e">
        <f>'3G_REGIONS'!#REF!</f>
        <v>#REF!</v>
      </c>
    </row>
    <row r="228" spans="1:3" x14ac:dyDescent="0.3">
      <c r="A228" s="103" t="str">
        <f>'3G_REGIONS'!A675</f>
        <v>Lenger</v>
      </c>
      <c r="B228" s="101" t="e">
        <f>'3G_REGIONS'!#REF!</f>
        <v>#REF!</v>
      </c>
      <c r="C228" s="101" t="e">
        <f>'3G_REGIONS'!#REF!</f>
        <v>#REF!</v>
      </c>
    </row>
    <row r="229" spans="1:3" x14ac:dyDescent="0.3">
      <c r="A229" s="103" t="str">
        <f>'3G_REGIONS'!A678</f>
        <v>Lisakovsk</v>
      </c>
      <c r="B229" s="101">
        <f>'3G_REGIONS'!P678</f>
        <v>0</v>
      </c>
      <c r="C229" s="101">
        <f>'3G_REGIONS'!Q678</f>
        <v>0</v>
      </c>
    </row>
    <row r="230" spans="1:3" x14ac:dyDescent="0.3">
      <c r="A230" s="103" t="str">
        <f>'3G_REGIONS'!A679</f>
        <v>Lisakovsk</v>
      </c>
      <c r="B230" s="101">
        <f>'3G_REGIONS'!P679</f>
        <v>0</v>
      </c>
      <c r="C230" s="101">
        <f>'3G_REGIONS'!Q679</f>
        <v>0</v>
      </c>
    </row>
    <row r="231" spans="1:3" x14ac:dyDescent="0.3">
      <c r="A231" s="103" t="str">
        <f>'3G_REGIONS'!A680</f>
        <v>Lisakovsk</v>
      </c>
      <c r="B231" s="101" t="e">
        <f>'3G_REGIONS'!#REF!</f>
        <v>#REF!</v>
      </c>
      <c r="C231" s="101" t="e">
        <f>'3G_REGIONS'!#REF!</f>
        <v>#REF!</v>
      </c>
    </row>
    <row r="232" spans="1:3" x14ac:dyDescent="0.3">
      <c r="A232" s="103" t="str">
        <f>'3G_REGIONS'!A691</f>
        <v>Maikain</v>
      </c>
      <c r="B232" s="101" t="e">
        <f>'3G_REGIONS'!#REF!</f>
        <v>#REF!</v>
      </c>
      <c r="C232" s="101" t="e">
        <f>'3G_REGIONS'!#REF!</f>
        <v>#REF!</v>
      </c>
    </row>
    <row r="233" spans="1:3" x14ac:dyDescent="0.3">
      <c r="A233" s="103" t="str">
        <f>'3G_REGIONS'!A695</f>
        <v>Makanchi</v>
      </c>
      <c r="B233" s="101" t="e">
        <f>'3G_REGIONS'!#REF!</f>
        <v>#REF!</v>
      </c>
      <c r="C233" s="101" t="e">
        <f>'3G_REGIONS'!#REF!</f>
        <v>#REF!</v>
      </c>
    </row>
    <row r="234" spans="1:3" x14ac:dyDescent="0.3">
      <c r="A234" s="103" t="str">
        <f>'3G_REGIONS'!A697</f>
        <v>Makanchi</v>
      </c>
      <c r="B234" s="101" t="e">
        <f>'3G_REGIONS'!#REF!</f>
        <v>#REF!</v>
      </c>
      <c r="C234" s="101" t="e">
        <f>'3G_REGIONS'!#REF!</f>
        <v>#REF!</v>
      </c>
    </row>
    <row r="235" spans="1:3" x14ac:dyDescent="0.3">
      <c r="A235" s="103" t="str">
        <f>'3G_REGIONS'!A700</f>
        <v>Makat</v>
      </c>
      <c r="B235" s="101" t="e">
        <f>'3G_REGIONS'!#REF!</f>
        <v>#REF!</v>
      </c>
      <c r="C235" s="101" t="e">
        <f>'3G_REGIONS'!#REF!</f>
        <v>#REF!</v>
      </c>
    </row>
    <row r="236" spans="1:3" x14ac:dyDescent="0.3">
      <c r="A236" s="103" t="str">
        <f>'3G_REGIONS'!A703</f>
        <v>Makat</v>
      </c>
      <c r="B236" s="101" t="e">
        <f>'3G_REGIONS'!#REF!</f>
        <v>#REF!</v>
      </c>
      <c r="C236" s="101" t="e">
        <f>'3G_REGIONS'!#REF!</f>
        <v>#REF!</v>
      </c>
    </row>
    <row r="237" spans="1:3" x14ac:dyDescent="0.3">
      <c r="A237" s="103" t="str">
        <f>'3G_REGIONS'!A705</f>
        <v>Makinsk</v>
      </c>
      <c r="B237" s="101" t="e">
        <f>'3G_REGIONS'!#REF!</f>
        <v>#REF!</v>
      </c>
      <c r="C237" s="101" t="e">
        <f>'3G_REGIONS'!#REF!</f>
        <v>#REF!</v>
      </c>
    </row>
    <row r="238" spans="1:3" x14ac:dyDescent="0.3">
      <c r="A238" s="103" t="str">
        <f>'3G_REGIONS'!A708</f>
        <v>Mangyshlak</v>
      </c>
      <c r="B238" s="101" t="e">
        <f>'3G_REGIONS'!#REF!</f>
        <v>#REF!</v>
      </c>
      <c r="C238" s="101" t="e">
        <f>'3G_REGIONS'!#REF!</f>
        <v>#REF!</v>
      </c>
    </row>
    <row r="239" spans="1:3" x14ac:dyDescent="0.3">
      <c r="A239" s="103" t="str">
        <f>'3G_REGIONS'!A710</f>
        <v>Mangyshlak</v>
      </c>
      <c r="B239" s="101" t="e">
        <f>'3G_REGIONS'!#REF!</f>
        <v>#REF!</v>
      </c>
      <c r="C239" s="101" t="e">
        <f>'3G_REGIONS'!#REF!</f>
        <v>#REF!</v>
      </c>
    </row>
    <row r="240" spans="1:3" x14ac:dyDescent="0.3">
      <c r="A240" s="103" t="str">
        <f>'3G_REGIONS'!A714</f>
        <v>Martuk</v>
      </c>
      <c r="B240" s="101" t="e">
        <f>'3G_REGIONS'!#REF!</f>
        <v>#REF!</v>
      </c>
      <c r="C240" s="101" t="e">
        <f>'3G_REGIONS'!#REF!</f>
        <v>#REF!</v>
      </c>
    </row>
    <row r="241" spans="1:3" x14ac:dyDescent="0.3">
      <c r="A241" s="103" t="str">
        <f>'3G_REGIONS'!A723</f>
        <v>Merke</v>
      </c>
      <c r="B241" s="101" t="e">
        <f>'3G_REGIONS'!#REF!</f>
        <v>#REF!</v>
      </c>
      <c r="C241" s="101" t="e">
        <f>'3G_REGIONS'!#REF!</f>
        <v>#REF!</v>
      </c>
    </row>
    <row r="242" spans="1:3" x14ac:dyDescent="0.3">
      <c r="A242" s="103" t="str">
        <f>'3G_REGIONS'!A724</f>
        <v>Merke</v>
      </c>
      <c r="B242" s="101" t="e">
        <f>'3G_REGIONS'!#REF!</f>
        <v>#REF!</v>
      </c>
      <c r="C242" s="101" t="e">
        <f>'3G_REGIONS'!#REF!</f>
        <v>#REF!</v>
      </c>
    </row>
    <row r="243" spans="1:3" x14ac:dyDescent="0.3">
      <c r="A243" s="103" t="str">
        <f>'3G_REGIONS'!A730</f>
        <v>Miyaly</v>
      </c>
      <c r="B243" s="101">
        <f>'3G_REGIONS'!P730</f>
        <v>0</v>
      </c>
      <c r="C243" s="101">
        <f>'3G_REGIONS'!Q730</f>
        <v>0</v>
      </c>
    </row>
    <row r="244" spans="1:3" x14ac:dyDescent="0.3">
      <c r="A244" s="103" t="str">
        <f>'3G_REGIONS'!A731</f>
        <v>Miyaly</v>
      </c>
      <c r="B244" s="101" t="e">
        <f>'3G_REGIONS'!#REF!</f>
        <v>#REF!</v>
      </c>
      <c r="C244" s="101" t="e">
        <f>'3G_REGIONS'!#REF!</f>
        <v>#REF!</v>
      </c>
    </row>
    <row r="245" spans="1:3" x14ac:dyDescent="0.3">
      <c r="A245" s="103" t="str">
        <f>'3G_REGIONS'!A736</f>
        <v>Momyshuli</v>
      </c>
      <c r="B245" s="101" t="e">
        <f>'3G_REGIONS'!#REF!</f>
        <v>#REF!</v>
      </c>
      <c r="C245" s="101" t="e">
        <f>'3G_REGIONS'!#REF!</f>
        <v>#REF!</v>
      </c>
    </row>
    <row r="246" spans="1:3" x14ac:dyDescent="0.3">
      <c r="A246" s="103" t="str">
        <f>'3G_REGIONS'!A762</f>
        <v>Oporniy</v>
      </c>
      <c r="B246" s="101" t="e">
        <f>'3G_REGIONS'!#REF!</f>
        <v>#REF!</v>
      </c>
      <c r="C246" s="101" t="e">
        <f>'3G_REGIONS'!#REF!</f>
        <v>#REF!</v>
      </c>
    </row>
    <row r="247" spans="1:3" x14ac:dyDescent="0.3">
      <c r="A247" s="103" t="str">
        <f>'3G_REGIONS'!A763</f>
        <v>Oporniy</v>
      </c>
      <c r="B247" s="101" t="e">
        <f>'3G_REGIONS'!#REF!</f>
        <v>#REF!</v>
      </c>
      <c r="C247" s="101" t="e">
        <f>'3G_REGIONS'!#REF!</f>
        <v>#REF!</v>
      </c>
    </row>
    <row r="248" spans="1:3" x14ac:dyDescent="0.3">
      <c r="A248" s="103" t="str">
        <f>'3G_REGIONS'!A776</f>
        <v>Osakarovka</v>
      </c>
      <c r="B248" s="101" t="e">
        <f>'3G_REGIONS'!#REF!</f>
        <v>#REF!</v>
      </c>
      <c r="C248" s="101" t="e">
        <f>'3G_REGIONS'!#REF!</f>
        <v>#REF!</v>
      </c>
    </row>
    <row r="249" spans="1:3" x14ac:dyDescent="0.3">
      <c r="A249" s="103" t="str">
        <f>'3G_REGIONS'!A778</f>
        <v>Osakarovka</v>
      </c>
      <c r="B249" s="101" t="e">
        <f>'3G_REGIONS'!#REF!</f>
        <v>#REF!</v>
      </c>
      <c r="C249" s="101" t="e">
        <f>'3G_REGIONS'!#REF!</f>
        <v>#REF!</v>
      </c>
    </row>
    <row r="250" spans="1:3" x14ac:dyDescent="0.3">
      <c r="A250" s="103" t="str">
        <f>'3G_REGIONS'!A779</f>
        <v>Otar</v>
      </c>
      <c r="B250" s="101" t="e">
        <f>'3G_REGIONS'!#REF!</f>
        <v>#REF!</v>
      </c>
      <c r="C250" s="101" t="e">
        <f>'3G_REGIONS'!#REF!</f>
        <v>#REF!</v>
      </c>
    </row>
    <row r="251" spans="1:3" x14ac:dyDescent="0.3">
      <c r="A251" s="103" t="str">
        <f>'3G_REGIONS'!A782</f>
        <v>Otar</v>
      </c>
      <c r="B251" s="101" t="e">
        <f>'3G_REGIONS'!#REF!</f>
        <v>#REF!</v>
      </c>
      <c r="C251" s="101" t="e">
        <f>'3G_REGIONS'!#REF!</f>
        <v>#REF!</v>
      </c>
    </row>
    <row r="252" spans="1:3" x14ac:dyDescent="0.3">
      <c r="A252" s="103" t="str">
        <f>'3G_REGIONS'!A794</f>
        <v>Predgornoe</v>
      </c>
      <c r="B252" s="101" t="e">
        <f>'3G_REGIONS'!#REF!</f>
        <v>#REF!</v>
      </c>
      <c r="C252" s="101" t="e">
        <f>'3G_REGIONS'!#REF!</f>
        <v>#REF!</v>
      </c>
    </row>
    <row r="253" spans="1:3" x14ac:dyDescent="0.3">
      <c r="A253" s="103" t="str">
        <f>'3G_REGIONS'!A804</f>
        <v>Prorva-Velistroy</v>
      </c>
      <c r="B253" s="101" t="e">
        <f>'3G_REGIONS'!#REF!</f>
        <v>#REF!</v>
      </c>
      <c r="C253" s="101" t="e">
        <f>'3G_REGIONS'!#REF!</f>
        <v>#REF!</v>
      </c>
    </row>
    <row r="254" spans="1:3" x14ac:dyDescent="0.3">
      <c r="A254" s="103" t="str">
        <f>'3G_REGIONS'!A824</f>
        <v>Ryskulova</v>
      </c>
      <c r="B254" s="101">
        <f>'3G_REGIONS'!P824</f>
        <v>0</v>
      </c>
      <c r="C254" s="101">
        <f>'3G_REGIONS'!Q824</f>
        <v>0</v>
      </c>
    </row>
    <row r="255" spans="1:3" x14ac:dyDescent="0.3">
      <c r="A255" s="103" t="str">
        <f>'3G_REGIONS'!A825</f>
        <v>Ryskulova</v>
      </c>
      <c r="B255" s="101" t="e">
        <f>'3G_REGIONS'!#REF!</f>
        <v>#REF!</v>
      </c>
      <c r="C255" s="101" t="e">
        <f>'3G_REGIONS'!#REF!</f>
        <v>#REF!</v>
      </c>
    </row>
    <row r="256" spans="1:3" x14ac:dyDescent="0.3">
      <c r="A256" s="103" t="str">
        <f>'3G_REGIONS'!A827</f>
        <v>Sagyz</v>
      </c>
      <c r="B256" s="101">
        <f>'3G_REGIONS'!P827</f>
        <v>0</v>
      </c>
      <c r="C256" s="101">
        <f>'3G_REGIONS'!Q827</f>
        <v>0</v>
      </c>
    </row>
    <row r="257" spans="1:3" x14ac:dyDescent="0.3">
      <c r="A257" s="103" t="str">
        <f>'3G_REGIONS'!A829</f>
        <v>Sagyz</v>
      </c>
      <c r="B257" s="101" t="e">
        <f>'3G_REGIONS'!#REF!</f>
        <v>#REF!</v>
      </c>
      <c r="C257" s="101" t="e">
        <f>'3G_REGIONS'!#REF!</f>
        <v>#REF!</v>
      </c>
    </row>
    <row r="258" spans="1:3" x14ac:dyDescent="0.3">
      <c r="A258" s="103" t="str">
        <f>'3G_REGIONS'!A845</f>
        <v>Sarybel</v>
      </c>
      <c r="B258" s="101" t="e">
        <f>'3G_REGIONS'!#REF!</f>
        <v>#REF!</v>
      </c>
      <c r="C258" s="101" t="e">
        <f>'3G_REGIONS'!#REF!</f>
        <v>#REF!</v>
      </c>
    </row>
    <row r="259" spans="1:3" x14ac:dyDescent="0.3">
      <c r="A259" s="103" t="str">
        <f>'3G_REGIONS'!A858</f>
        <v>Satpaev</v>
      </c>
      <c r="B259" s="101" t="e">
        <f>'3G_REGIONS'!#REF!</f>
        <v>#REF!</v>
      </c>
      <c r="C259" s="101" t="e">
        <f>'3G_REGIONS'!#REF!</f>
        <v>#REF!</v>
      </c>
    </row>
    <row r="260" spans="1:3" x14ac:dyDescent="0.3">
      <c r="A260" s="103" t="str">
        <f>'3G_REGIONS'!A868</f>
        <v>Serebryansk</v>
      </c>
      <c r="B260" s="101" t="e">
        <f>'3G_REGIONS'!#REF!</f>
        <v>#REF!</v>
      </c>
      <c r="C260" s="101" t="e">
        <f>'3G_REGIONS'!#REF!</f>
        <v>#REF!</v>
      </c>
    </row>
    <row r="261" spans="1:3" x14ac:dyDescent="0.3">
      <c r="A261" s="103" t="str">
        <f>'3G_REGIONS'!A869</f>
        <v>Serebryansk</v>
      </c>
      <c r="B261" s="101" t="e">
        <f>'3G_REGIONS'!#REF!</f>
        <v>#REF!</v>
      </c>
      <c r="C261" s="101" t="e">
        <f>'3G_REGIONS'!#REF!</f>
        <v>#REF!</v>
      </c>
    </row>
    <row r="262" spans="1:3" x14ac:dyDescent="0.3">
      <c r="A262" s="103" t="str">
        <f>'3G_REGIONS'!A878</f>
        <v>Shakpak</v>
      </c>
      <c r="B262" s="101" t="e">
        <f>'3G_REGIONS'!#REF!</f>
        <v>#REF!</v>
      </c>
      <c r="C262" s="101" t="e">
        <f>'3G_REGIONS'!#REF!</f>
        <v>#REF!</v>
      </c>
    </row>
    <row r="263" spans="1:3" x14ac:dyDescent="0.3">
      <c r="A263" s="103" t="str">
        <f>'3G_REGIONS'!A880</f>
        <v>Shalkar</v>
      </c>
      <c r="B263" s="101" t="e">
        <f>'3G_REGIONS'!#REF!</f>
        <v>#REF!</v>
      </c>
      <c r="C263" s="101" t="e">
        <f>'3G_REGIONS'!#REF!</f>
        <v>#REF!</v>
      </c>
    </row>
    <row r="264" spans="1:3" x14ac:dyDescent="0.3">
      <c r="A264" s="103" t="str">
        <f>'3G_REGIONS'!A881</f>
        <v>Shalkar</v>
      </c>
      <c r="B264" s="101" t="e">
        <f>'3G_REGIONS'!#REF!</f>
        <v>#REF!</v>
      </c>
      <c r="C264" s="101" t="e">
        <f>'3G_REGIONS'!#REF!</f>
        <v>#REF!</v>
      </c>
    </row>
    <row r="265" spans="1:3" x14ac:dyDescent="0.3">
      <c r="A265" s="103" t="str">
        <f>'3G_REGIONS'!A888</f>
        <v>Shardara</v>
      </c>
      <c r="B265" s="101" t="e">
        <f>'3G_REGIONS'!#REF!</f>
        <v>#REF!</v>
      </c>
      <c r="C265" s="101" t="e">
        <f>'3G_REGIONS'!#REF!</f>
        <v>#REF!</v>
      </c>
    </row>
    <row r="266" spans="1:3" x14ac:dyDescent="0.3">
      <c r="A266" s="103" t="str">
        <f>'3G_REGIONS'!A890</f>
        <v>Shaulder</v>
      </c>
      <c r="B266" s="101" t="e">
        <f>'3G_REGIONS'!#REF!</f>
        <v>#REF!</v>
      </c>
      <c r="C266" s="101" t="e">
        <f>'3G_REGIONS'!#REF!</f>
        <v>#REF!</v>
      </c>
    </row>
    <row r="267" spans="1:3" x14ac:dyDescent="0.3">
      <c r="A267" s="103" t="str">
        <f>'3G_REGIONS'!A891</f>
        <v>Shaulder</v>
      </c>
      <c r="B267" s="101" t="e">
        <f>'3G_REGIONS'!#REF!</f>
        <v>#REF!</v>
      </c>
      <c r="C267" s="101" t="e">
        <f>'3G_REGIONS'!#REF!</f>
        <v>#REF!</v>
      </c>
    </row>
    <row r="268" spans="1:3" x14ac:dyDescent="0.3">
      <c r="A268" s="103" t="str">
        <f>'3G_REGIONS'!A894</f>
        <v>Shayan</v>
      </c>
      <c r="B268" s="101" t="e">
        <f>'3G_REGIONS'!#REF!</f>
        <v>#REF!</v>
      </c>
      <c r="C268" s="101" t="e">
        <f>'3G_REGIONS'!#REF!</f>
        <v>#REF!</v>
      </c>
    </row>
    <row r="269" spans="1:3" x14ac:dyDescent="0.3">
      <c r="A269" s="103" t="str">
        <f>'3G_REGIONS'!A902</f>
        <v>Shetpe</v>
      </c>
      <c r="B269" s="101" t="e">
        <f>'3G_REGIONS'!#REF!</f>
        <v>#REF!</v>
      </c>
      <c r="C269" s="101" t="e">
        <f>'3G_REGIONS'!#REF!</f>
        <v>#REF!</v>
      </c>
    </row>
    <row r="270" spans="1:3" x14ac:dyDescent="0.3">
      <c r="A270" s="103" t="str">
        <f>'3G_REGIONS'!A903</f>
        <v>Shetpe</v>
      </c>
      <c r="B270" s="101" t="e">
        <f>'3G_REGIONS'!#REF!</f>
        <v>#REF!</v>
      </c>
      <c r="C270" s="101" t="e">
        <f>'3G_REGIONS'!#REF!</f>
        <v>#REF!</v>
      </c>
    </row>
    <row r="271" spans="1:3" x14ac:dyDescent="0.3">
      <c r="A271" s="103" t="str">
        <f>'3G_REGIONS'!A906</f>
        <v>Shetpe</v>
      </c>
      <c r="B271" s="101" t="e">
        <f>'3G_REGIONS'!#REF!</f>
        <v>#REF!</v>
      </c>
      <c r="C271" s="101" t="e">
        <f>'3G_REGIONS'!#REF!</f>
        <v>#REF!</v>
      </c>
    </row>
    <row r="272" spans="1:3" x14ac:dyDescent="0.3">
      <c r="A272" s="103" t="str">
        <f>'3G_REGIONS'!A907</f>
        <v>Shevchenko</v>
      </c>
      <c r="B272" s="101" t="e">
        <f>'3G_REGIONS'!#REF!</f>
        <v>#REF!</v>
      </c>
      <c r="C272" s="101" t="e">
        <f>'3G_REGIONS'!#REF!</f>
        <v>#REF!</v>
      </c>
    </row>
    <row r="273" spans="1:3" x14ac:dyDescent="0.3">
      <c r="A273" s="103" t="str">
        <f>'3G_REGIONS'!A908</f>
        <v>Shevchenko</v>
      </c>
      <c r="B273" s="101" t="e">
        <f>'3G_REGIONS'!#REF!</f>
        <v>#REF!</v>
      </c>
      <c r="C273" s="101" t="e">
        <f>'3G_REGIONS'!#REF!</f>
        <v>#REF!</v>
      </c>
    </row>
    <row r="274" spans="1:3" x14ac:dyDescent="0.3">
      <c r="A274" s="103" t="str">
        <f>'3G_REGIONS'!A913</f>
        <v>Shieli</v>
      </c>
      <c r="B274" s="101">
        <f>'3G_REGIONS'!P913</f>
        <v>0</v>
      </c>
      <c r="C274" s="101">
        <f>'3G_REGIONS'!Q913</f>
        <v>0</v>
      </c>
    </row>
    <row r="275" spans="1:3" x14ac:dyDescent="0.3">
      <c r="A275" s="103" t="str">
        <f>'3G_REGIONS'!A914</f>
        <v>Shieli</v>
      </c>
      <c r="B275" s="101" t="e">
        <f>'3G_REGIONS'!#REF!</f>
        <v>#REF!</v>
      </c>
      <c r="C275" s="101" t="e">
        <f>'3G_REGIONS'!#REF!</f>
        <v>#REF!</v>
      </c>
    </row>
    <row r="276" spans="1:3" x14ac:dyDescent="0.3">
      <c r="A276" s="103" t="str">
        <f>'3G_REGIONS'!A927</f>
        <v>Shu</v>
      </c>
      <c r="B276" s="101">
        <f>'3G_REGIONS'!P927</f>
        <v>0</v>
      </c>
      <c r="C276" s="101">
        <f>'3G_REGIONS'!Q927</f>
        <v>0</v>
      </c>
    </row>
    <row r="277" spans="1:3" x14ac:dyDescent="0.3">
      <c r="A277" s="103" t="str">
        <f>'3G_REGIONS'!A929</f>
        <v>Shu</v>
      </c>
      <c r="B277" s="101" t="e">
        <f>'3G_REGIONS'!#REF!</f>
        <v>#REF!</v>
      </c>
      <c r="C277" s="101" t="e">
        <f>'3G_REGIONS'!#REF!</f>
        <v>#REF!</v>
      </c>
    </row>
    <row r="278" spans="1:3" x14ac:dyDescent="0.3">
      <c r="A278" s="103" t="str">
        <f>'3G_REGIONS'!A942</f>
        <v>Shubarkuduk</v>
      </c>
      <c r="B278" s="101">
        <f>'3G_REGIONS'!P942</f>
        <v>0</v>
      </c>
      <c r="C278" s="101">
        <f>'3G_REGIONS'!Q942</f>
        <v>0</v>
      </c>
    </row>
    <row r="279" spans="1:3" x14ac:dyDescent="0.3">
      <c r="A279" s="103" t="str">
        <f>'3G_REGIONS'!A943</f>
        <v>Shubarkuduk</v>
      </c>
      <c r="B279" s="101">
        <f>'3G_REGIONS'!P943</f>
        <v>0</v>
      </c>
      <c r="C279" s="101">
        <f>'3G_REGIONS'!Q943</f>
        <v>0</v>
      </c>
    </row>
    <row r="280" spans="1:3" x14ac:dyDescent="0.3">
      <c r="A280" s="103" t="str">
        <f>'3G_REGIONS'!A944</f>
        <v>Shubarkuduk</v>
      </c>
      <c r="B280" s="101" t="e">
        <f>'3G_REGIONS'!#REF!</f>
        <v>#REF!</v>
      </c>
      <c r="C280" s="101" t="e">
        <f>'3G_REGIONS'!#REF!</f>
        <v>#REF!</v>
      </c>
    </row>
    <row r="281" spans="1:3" x14ac:dyDescent="0.3">
      <c r="A281" s="103" t="str">
        <f>'3G_REGIONS'!A947</f>
        <v>Shuchinsk</v>
      </c>
      <c r="B281" s="101">
        <f>'3G_REGIONS'!P947</f>
        <v>0</v>
      </c>
      <c r="C281" s="101">
        <f>'3G_REGIONS'!Q947</f>
        <v>0</v>
      </c>
    </row>
    <row r="282" spans="1:3" x14ac:dyDescent="0.3">
      <c r="A282" s="103" t="str">
        <f>'3G_REGIONS'!A948</f>
        <v>Shuchinsk</v>
      </c>
      <c r="B282" s="101">
        <f>'3G_REGIONS'!P948</f>
        <v>0</v>
      </c>
      <c r="C282" s="101">
        <f>'3G_REGIONS'!Q948</f>
        <v>0</v>
      </c>
    </row>
    <row r="283" spans="1:3" x14ac:dyDescent="0.3">
      <c r="A283" s="103" t="str">
        <f>'3G_REGIONS'!A949</f>
        <v>Shuchinsk</v>
      </c>
      <c r="B283" s="101" t="e">
        <f>'3G_REGIONS'!#REF!</f>
        <v>#REF!</v>
      </c>
      <c r="C283" s="101" t="e">
        <f>'3G_REGIONS'!#REF!</f>
        <v>#REF!</v>
      </c>
    </row>
    <row r="284" spans="1:3" x14ac:dyDescent="0.3">
      <c r="A284" s="103" t="str">
        <f>'3G_REGIONS'!A952</f>
        <v>Shuchinsk2</v>
      </c>
      <c r="B284" s="101" t="e">
        <f>'3G_REGIONS'!#REF!</f>
        <v>#REF!</v>
      </c>
      <c r="C284" s="101" t="e">
        <f>'3G_REGIONS'!#REF!</f>
        <v>#REF!</v>
      </c>
    </row>
    <row r="285" spans="1:3" x14ac:dyDescent="0.3">
      <c r="A285" s="103" t="str">
        <f>'3G_REGIONS'!A955</f>
        <v>Stepnogorsk</v>
      </c>
      <c r="B285" s="101">
        <f>'3G_REGIONS'!P955</f>
        <v>0</v>
      </c>
      <c r="C285" s="101">
        <f>'3G_REGIONS'!Q955</f>
        <v>0</v>
      </c>
    </row>
    <row r="286" spans="1:3" x14ac:dyDescent="0.3">
      <c r="A286" s="103" t="str">
        <f>'3G_REGIONS'!A957</f>
        <v>Stepnogorsk</v>
      </c>
      <c r="B286" s="101">
        <f>'3G_REGIONS'!P957</f>
        <v>0</v>
      </c>
      <c r="C286" s="101">
        <f>'3G_REGIONS'!Q957</f>
        <v>0</v>
      </c>
    </row>
    <row r="287" spans="1:3" x14ac:dyDescent="0.3">
      <c r="A287" s="103" t="str">
        <f>'3G_REGIONS'!A958</f>
        <v>Stepnogorsk</v>
      </c>
      <c r="B287" s="101" t="e">
        <f>'3G_REGIONS'!#REF!</f>
        <v>#REF!</v>
      </c>
      <c r="C287" s="101" t="e">
        <f>'3G_REGIONS'!#REF!</f>
        <v>#REF!</v>
      </c>
    </row>
    <row r="288" spans="1:3" x14ac:dyDescent="0.3">
      <c r="A288" s="103" t="str">
        <f>'3G_REGIONS'!A960</f>
        <v>Stepnyak</v>
      </c>
      <c r="B288" s="101" t="e">
        <f>'3G_REGIONS'!#REF!</f>
        <v>#REF!</v>
      </c>
      <c r="C288" s="101" t="e">
        <f>'3G_REGIONS'!#REF!</f>
        <v>#REF!</v>
      </c>
    </row>
    <row r="289" spans="1:3" x14ac:dyDescent="0.3">
      <c r="A289" s="103" t="str">
        <f>'3G_REGIONS'!A973</f>
        <v>Tahtabrod</v>
      </c>
      <c r="B289" s="101">
        <f>'3G_REGIONS'!P973</f>
        <v>0</v>
      </c>
      <c r="C289" s="101">
        <f>'3G_REGIONS'!Q973</f>
        <v>0</v>
      </c>
    </row>
    <row r="290" spans="1:3" x14ac:dyDescent="0.3">
      <c r="A290" s="103" t="str">
        <f>'3G_REGIONS'!A974</f>
        <v>Tahtabrod</v>
      </c>
      <c r="B290" s="101" t="e">
        <f>'3G_REGIONS'!#REF!</f>
        <v>#REF!</v>
      </c>
      <c r="C290" s="101" t="e">
        <f>'3G_REGIONS'!#REF!</f>
        <v>#REF!</v>
      </c>
    </row>
    <row r="291" spans="1:3" x14ac:dyDescent="0.3">
      <c r="A291" s="103" t="str">
        <f>'3G_REGIONS'!A982</f>
        <v>Talgar</v>
      </c>
      <c r="B291" s="101">
        <f>'3G_REGIONS'!P982</f>
        <v>0</v>
      </c>
      <c r="C291" s="101">
        <f>'3G_REGIONS'!Q982</f>
        <v>0</v>
      </c>
    </row>
    <row r="292" spans="1:3" x14ac:dyDescent="0.3">
      <c r="A292" s="103" t="str">
        <f>'3G_REGIONS'!A983</f>
        <v>Talgar</v>
      </c>
      <c r="B292" s="101" t="e">
        <f>'3G_REGIONS'!#REF!</f>
        <v>#REF!</v>
      </c>
      <c r="C292" s="101" t="e">
        <f>'3G_REGIONS'!#REF!</f>
        <v>#REF!</v>
      </c>
    </row>
    <row r="293" spans="1:3" x14ac:dyDescent="0.3">
      <c r="A293" s="103" t="str">
        <f>'3G_REGIONS'!A985</f>
        <v>Talshik</v>
      </c>
      <c r="B293" s="101" t="e">
        <f>'3G_REGIONS'!#REF!</f>
        <v>#REF!</v>
      </c>
      <c r="C293" s="101" t="e">
        <f>'3G_REGIONS'!#REF!</f>
        <v>#REF!</v>
      </c>
    </row>
    <row r="294" spans="1:3" x14ac:dyDescent="0.3">
      <c r="A294" s="103" t="str">
        <f>'3G_REGIONS'!A991</f>
        <v>Taynsha</v>
      </c>
      <c r="B294" s="101">
        <f>'3G_REGIONS'!P991</f>
        <v>0</v>
      </c>
      <c r="C294" s="101">
        <f>'3G_REGIONS'!Q991</f>
        <v>0</v>
      </c>
    </row>
    <row r="295" spans="1:3" x14ac:dyDescent="0.3">
      <c r="A295" s="103" t="str">
        <f>'3G_REGIONS'!A992</f>
        <v>Taynsha</v>
      </c>
      <c r="B295" s="101" t="e">
        <f>'3G_REGIONS'!#REF!</f>
        <v>#REF!</v>
      </c>
      <c r="C295" s="101" t="e">
        <f>'3G_REGIONS'!#REF!</f>
        <v>#REF!</v>
      </c>
    </row>
    <row r="296" spans="1:3" x14ac:dyDescent="0.3">
      <c r="A296" s="103" t="str">
        <f>'3G_REGIONS'!A1004</f>
        <v>Tengiz</v>
      </c>
      <c r="B296" s="101" t="e">
        <f>'3G_REGIONS'!#REF!</f>
        <v>#REF!</v>
      </c>
      <c r="C296" s="101" t="e">
        <f>'3G_REGIONS'!#REF!</f>
        <v>#REF!</v>
      </c>
    </row>
    <row r="297" spans="1:3" x14ac:dyDescent="0.3">
      <c r="A297" s="103" t="str">
        <f>'3G_REGIONS'!A1005</f>
        <v>Tengiz</v>
      </c>
      <c r="B297" s="101" t="e">
        <f>'3G_REGIONS'!#REF!</f>
        <v>#REF!</v>
      </c>
      <c r="C297" s="101" t="e">
        <f>'3G_REGIONS'!#REF!</f>
        <v>#REF!</v>
      </c>
    </row>
    <row r="298" spans="1:3" x14ac:dyDescent="0.3">
      <c r="A298" s="103" t="str">
        <f>'3G_REGIONS'!A1008</f>
        <v>Tengiz</v>
      </c>
      <c r="B298" s="101">
        <f>'3G_REGIONS'!P1008</f>
        <v>0</v>
      </c>
      <c r="C298" s="101">
        <f>'3G_REGIONS'!Q1008</f>
        <v>0</v>
      </c>
    </row>
    <row r="299" spans="1:3" x14ac:dyDescent="0.3">
      <c r="A299" s="103" t="str">
        <f>'3G_REGIONS'!A1009</f>
        <v>Tengiz</v>
      </c>
      <c r="B299" s="101" t="e">
        <f>'3G_REGIONS'!#REF!</f>
        <v>#REF!</v>
      </c>
      <c r="C299" s="101" t="e">
        <f>'3G_REGIONS'!#REF!</f>
        <v>#REF!</v>
      </c>
    </row>
    <row r="300" spans="1:3" x14ac:dyDescent="0.3">
      <c r="A300" s="103" t="str">
        <f>'3G_REGIONS'!A1013</f>
        <v>Terenozek</v>
      </c>
      <c r="B300" s="101" t="e">
        <f>'3G_REGIONS'!#REF!</f>
        <v>#REF!</v>
      </c>
      <c r="C300" s="101" t="e">
        <f>'3G_REGIONS'!#REF!</f>
        <v>#REF!</v>
      </c>
    </row>
    <row r="301" spans="1:3" x14ac:dyDescent="0.3">
      <c r="A301" s="103" t="str">
        <f>'3G_REGIONS'!A1017</f>
        <v>Timiryazevo</v>
      </c>
      <c r="B301" s="101">
        <f>'3G_REGIONS'!P1017</f>
        <v>0</v>
      </c>
      <c r="C301" s="101">
        <f>'3G_REGIONS'!Q1017</f>
        <v>0</v>
      </c>
    </row>
    <row r="302" spans="1:3" x14ac:dyDescent="0.3">
      <c r="A302" s="103" t="str">
        <f>'3G_REGIONS'!A1018</f>
        <v>Timiryazevo</v>
      </c>
      <c r="B302" s="101" t="e">
        <f>'3G_REGIONS'!#REF!</f>
        <v>#REF!</v>
      </c>
      <c r="C302" s="101" t="e">
        <f>'3G_REGIONS'!#REF!</f>
        <v>#REF!</v>
      </c>
    </row>
    <row r="303" spans="1:3" x14ac:dyDescent="0.3">
      <c r="A303" s="103" t="str">
        <f>'3G_REGIONS'!A1023</f>
        <v>Toretam</v>
      </c>
      <c r="B303" s="101" t="e">
        <f>'3G_REGIONS'!#REF!</f>
        <v>#REF!</v>
      </c>
      <c r="C303" s="101" t="e">
        <f>'3G_REGIONS'!#REF!</f>
        <v>#REF!</v>
      </c>
    </row>
    <row r="304" spans="1:3" x14ac:dyDescent="0.3">
      <c r="A304" s="103" t="str">
        <f>'3G_REGIONS'!A1036</f>
        <v>Ulytau</v>
      </c>
      <c r="B304" s="101" t="e">
        <f>'3G_REGIONS'!#REF!</f>
        <v>#REF!</v>
      </c>
      <c r="C304" s="101" t="e">
        <f>'3G_REGIONS'!#REF!</f>
        <v>#REF!</v>
      </c>
    </row>
    <row r="305" spans="1:3" x14ac:dyDescent="0.3">
      <c r="A305" s="103" t="str">
        <f>'3G_REGIONS'!A1039</f>
        <v>Urdzhar</v>
      </c>
      <c r="B305" s="101">
        <f>'3G_REGIONS'!P1039</f>
        <v>0</v>
      </c>
      <c r="C305" s="101">
        <f>'3G_REGIONS'!Q1039</f>
        <v>0</v>
      </c>
    </row>
    <row r="306" spans="1:3" x14ac:dyDescent="0.3">
      <c r="A306" s="103" t="str">
        <f>'3G_REGIONS'!A1040</f>
        <v>Urdzhar</v>
      </c>
      <c r="B306" s="101">
        <f>'3G_REGIONS'!P1040</f>
        <v>0</v>
      </c>
      <c r="C306" s="101">
        <f>'3G_REGIONS'!Q1040</f>
        <v>0</v>
      </c>
    </row>
    <row r="307" spans="1:3" x14ac:dyDescent="0.3">
      <c r="A307" s="103" t="str">
        <f>'3G_REGIONS'!A1041</f>
        <v>Urdzhar</v>
      </c>
      <c r="B307" s="101" t="e">
        <f>'3G_REGIONS'!#REF!</f>
        <v>#REF!</v>
      </c>
      <c r="C307" s="101" t="e">
        <f>'3G_REGIONS'!#REF!</f>
        <v>#REF!</v>
      </c>
    </row>
    <row r="308" spans="1:3" x14ac:dyDescent="0.3">
      <c r="A308" s="103" t="str">
        <f>'3G_REGIONS'!A1043</f>
        <v>Usharal</v>
      </c>
      <c r="B308" s="101">
        <f>'3G_REGIONS'!P1043</f>
        <v>0</v>
      </c>
      <c r="C308" s="101">
        <f>'3G_REGIONS'!Q1043</f>
        <v>0</v>
      </c>
    </row>
    <row r="309" spans="1:3" x14ac:dyDescent="0.3">
      <c r="A309" s="103" t="str">
        <f>'3G_REGIONS'!A1044</f>
        <v>Usharal</v>
      </c>
      <c r="B309" s="101" t="e">
        <f>'3G_REGIONS'!#REF!</f>
        <v>#REF!</v>
      </c>
      <c r="C309" s="101" t="e">
        <f>'3G_REGIONS'!#REF!</f>
        <v>#REF!</v>
      </c>
    </row>
    <row r="310" spans="1:3" x14ac:dyDescent="0.3">
      <c r="A310" s="103" t="str">
        <f>'3G_REGIONS'!A1055</f>
        <v>Ushtobe</v>
      </c>
      <c r="B310" s="101" t="e">
        <f>'3G_REGIONS'!#REF!</f>
        <v>#REF!</v>
      </c>
      <c r="C310" s="101" t="e">
        <f>'3G_REGIONS'!#REF!</f>
        <v>#REF!</v>
      </c>
    </row>
    <row r="311" spans="1:3" x14ac:dyDescent="0.3">
      <c r="A311" s="103" t="str">
        <f>'3G_REGIONS'!A1065</f>
        <v>Uzunagash</v>
      </c>
      <c r="B311" s="101">
        <f>'3G_REGIONS'!P1065</f>
        <v>0</v>
      </c>
      <c r="C311" s="101">
        <f>'3G_REGIONS'!Q1065</f>
        <v>0</v>
      </c>
    </row>
    <row r="312" spans="1:3" x14ac:dyDescent="0.3">
      <c r="A312" s="103" t="str">
        <f>'3G_REGIONS'!A1066</f>
        <v>Uzunagash</v>
      </c>
      <c r="B312" s="101">
        <f>'3G_REGIONS'!P1066</f>
        <v>0</v>
      </c>
      <c r="C312" s="101">
        <f>'3G_REGIONS'!Q1066</f>
        <v>0</v>
      </c>
    </row>
    <row r="313" spans="1:3" x14ac:dyDescent="0.3">
      <c r="A313" s="103" t="str">
        <f>'3G_REGIONS'!A1067</f>
        <v>Uzunagash</v>
      </c>
      <c r="B313" s="101" t="e">
        <f>'3G_REGIONS'!#REF!</f>
        <v>#REF!</v>
      </c>
      <c r="C313" s="101" t="e">
        <f>'3G_REGIONS'!#REF!</f>
        <v>#REF!</v>
      </c>
    </row>
    <row r="314" spans="1:3" x14ac:dyDescent="0.3">
      <c r="A314" s="103" t="str">
        <f>'3G_REGIONS'!A1084</f>
        <v>Zaysan</v>
      </c>
      <c r="B314" s="101">
        <f>'3G_REGIONS'!P1084</f>
        <v>0</v>
      </c>
      <c r="C314" s="101">
        <f>'3G_REGIONS'!Q1084</f>
        <v>0</v>
      </c>
    </row>
    <row r="315" spans="1:3" x14ac:dyDescent="0.3">
      <c r="A315" s="103" t="str">
        <f>'3G_REGIONS'!A1085</f>
        <v>Zaysan</v>
      </c>
      <c r="B315" s="101" t="e">
        <f>'3G_REGIONS'!#REF!</f>
        <v>#REF!</v>
      </c>
      <c r="C315" s="101" t="e">
        <f>'3G_REGIONS'!#REF!</f>
        <v>#REF!</v>
      </c>
    </row>
    <row r="316" spans="1:3" x14ac:dyDescent="0.3">
      <c r="A316" s="103" t="str">
        <f>'3G_REGIONS'!A1087</f>
        <v>Zerenda</v>
      </c>
      <c r="B316" s="101" t="e">
        <f>'3G_REGIONS'!#REF!</f>
        <v>#REF!</v>
      </c>
      <c r="C316" s="101" t="e">
        <f>'3G_REGIONS'!#REF!</f>
        <v>#REF!</v>
      </c>
    </row>
    <row r="317" spans="1:3" x14ac:dyDescent="0.3">
      <c r="A317" s="103" t="str">
        <f>'3G_REGIONS'!A1100</f>
        <v>Zhalagash</v>
      </c>
      <c r="B317" s="101" t="e">
        <f>'3G_REGIONS'!#REF!</f>
        <v>#REF!</v>
      </c>
      <c r="C317" s="101" t="e">
        <f>'3G_REGIONS'!#REF!</f>
        <v>#REF!</v>
      </c>
    </row>
    <row r="318" spans="1:3" x14ac:dyDescent="0.3">
      <c r="A318" s="103" t="str">
        <f>'3G_REGIONS'!A1102</f>
        <v>Zhalpaktal</v>
      </c>
      <c r="B318" s="101" t="e">
        <f>'3G_REGIONS'!#REF!</f>
        <v>#REF!</v>
      </c>
      <c r="C318" s="101" t="e">
        <f>'3G_REGIONS'!#REF!</f>
        <v>#REF!</v>
      </c>
    </row>
    <row r="319" spans="1:3" x14ac:dyDescent="0.3">
      <c r="A319" s="103" t="str">
        <f>'3G_REGIONS'!A1116</f>
        <v>Zhanakorgan</v>
      </c>
      <c r="B319" s="101">
        <f>'3G_REGIONS'!P1116</f>
        <v>0</v>
      </c>
      <c r="C319" s="101">
        <f>'3G_REGIONS'!Q1116</f>
        <v>0</v>
      </c>
    </row>
    <row r="320" spans="1:3" x14ac:dyDescent="0.3">
      <c r="A320" s="103" t="str">
        <f>'3G_REGIONS'!A1117</f>
        <v>Zhanakorgan</v>
      </c>
      <c r="B320" s="101">
        <f>'3G_REGIONS'!P1117</f>
        <v>0</v>
      </c>
      <c r="C320" s="101">
        <f>'3G_REGIONS'!Q1117</f>
        <v>0</v>
      </c>
    </row>
    <row r="321" spans="1:3" x14ac:dyDescent="0.3">
      <c r="A321" s="103" t="str">
        <f>'3G_REGIONS'!A1118</f>
        <v>Zhanakorgan</v>
      </c>
      <c r="B321" s="101" t="e">
        <f>'3G_REGIONS'!#REF!</f>
        <v>#REF!</v>
      </c>
      <c r="C321" s="101" t="e">
        <f>'3G_REGIONS'!#REF!</f>
        <v>#REF!</v>
      </c>
    </row>
    <row r="322" spans="1:3" x14ac:dyDescent="0.3">
      <c r="A322" s="103" t="str">
        <f>'3G_REGIONS'!A1126</f>
        <v>Zhanazhol</v>
      </c>
      <c r="B322" s="101">
        <f>'3G_REGIONS'!P1126</f>
        <v>0</v>
      </c>
      <c r="C322" s="101">
        <f>'3G_REGIONS'!Q1126</f>
        <v>0</v>
      </c>
    </row>
    <row r="323" spans="1:3" x14ac:dyDescent="0.3">
      <c r="A323" s="103" t="str">
        <f>'3G_REGIONS'!A1127</f>
        <v>Zhanazhol</v>
      </c>
      <c r="B323" s="101">
        <f>'3G_REGIONS'!P1127</f>
        <v>0</v>
      </c>
      <c r="C323" s="101">
        <f>'3G_REGIONS'!Q1127</f>
        <v>0</v>
      </c>
    </row>
    <row r="324" spans="1:3" x14ac:dyDescent="0.3">
      <c r="A324" s="103" t="str">
        <f>'3G_REGIONS'!A1128</f>
        <v>Zhanazhol</v>
      </c>
      <c r="B324" s="101" t="e">
        <f>'3G_REGIONS'!#REF!</f>
        <v>#REF!</v>
      </c>
      <c r="C324" s="101" t="e">
        <f>'3G_REGIONS'!#REF!</f>
        <v>#REF!</v>
      </c>
    </row>
    <row r="325" spans="1:3" x14ac:dyDescent="0.3">
      <c r="A325" s="103" t="str">
        <f>'3G_REGIONS'!A1130</f>
        <v>Zhansugurov</v>
      </c>
      <c r="B325" s="101" t="e">
        <f>'3G_REGIONS'!#REF!</f>
        <v>#REF!</v>
      </c>
      <c r="C325" s="101" t="e">
        <f>'3G_REGIONS'!#REF!</f>
        <v>#REF!</v>
      </c>
    </row>
    <row r="326" spans="1:3" x14ac:dyDescent="0.3">
      <c r="A326" s="103" t="str">
        <f>'3G_REGIONS'!A1136</f>
        <v>Zharkent</v>
      </c>
      <c r="B326" s="101">
        <f>'3G_REGIONS'!P1136</f>
        <v>0</v>
      </c>
      <c r="C326" s="101">
        <f>'3G_REGIONS'!Q1136</f>
        <v>0</v>
      </c>
    </row>
    <row r="327" spans="1:3" x14ac:dyDescent="0.3">
      <c r="A327" s="103" t="str">
        <f>'3G_REGIONS'!A1137</f>
        <v>Zharkent</v>
      </c>
      <c r="B327" s="101" t="e">
        <f>'3G_REGIONS'!#REF!</f>
        <v>#REF!</v>
      </c>
      <c r="C327" s="101" t="e">
        <f>'3G_REGIONS'!#REF!</f>
        <v>#REF!</v>
      </c>
    </row>
    <row r="328" spans="1:3" x14ac:dyDescent="0.3">
      <c r="A328" s="103" t="str">
        <f>'3G_REGIONS'!A1150</f>
        <v>Zhasybay</v>
      </c>
      <c r="B328" s="101">
        <f>'3G_REGIONS'!P1150</f>
        <v>0</v>
      </c>
      <c r="C328" s="101">
        <f>'3G_REGIONS'!Q1150</f>
        <v>0</v>
      </c>
    </row>
    <row r="329" spans="1:3" x14ac:dyDescent="0.3">
      <c r="A329" s="103" t="str">
        <f>'3G_REGIONS'!A1151</f>
        <v>Zhasybay</v>
      </c>
      <c r="B329" s="101" t="e">
        <f>'3G_REGIONS'!#REF!</f>
        <v>#REF!</v>
      </c>
      <c r="C329" s="101" t="e">
        <f>'3G_REGIONS'!#REF!</f>
        <v>#REF!</v>
      </c>
    </row>
    <row r="330" spans="1:3" x14ac:dyDescent="0.3">
      <c r="A330" s="103" t="str">
        <f>'3G_REGIONS'!A1157</f>
        <v>Zhetybai</v>
      </c>
      <c r="B330" s="101">
        <f>'3G_REGIONS'!P1157</f>
        <v>0</v>
      </c>
      <c r="C330" s="101">
        <f>'3G_REGIONS'!Q1157</f>
        <v>0</v>
      </c>
    </row>
    <row r="331" spans="1:3" x14ac:dyDescent="0.3">
      <c r="A331" s="103" t="str">
        <f>'3G_REGIONS'!A1158</f>
        <v>Zhetybai</v>
      </c>
      <c r="B331" s="101">
        <f>'3G_REGIONS'!P1158</f>
        <v>0</v>
      </c>
      <c r="C331" s="101">
        <f>'3G_REGIONS'!Q1158</f>
        <v>0</v>
      </c>
    </row>
    <row r="332" spans="1:3" x14ac:dyDescent="0.3">
      <c r="A332" s="103" t="str">
        <f>'3G_REGIONS'!A1159</f>
        <v>Zhetybai</v>
      </c>
      <c r="B332" s="101" t="e">
        <f>'3G_REGIONS'!#REF!</f>
        <v>#REF!</v>
      </c>
      <c r="C332" s="101" t="e">
        <f>'3G_REGIONS'!#REF!</f>
        <v>#REF!</v>
      </c>
    </row>
    <row r="333" spans="1:3" x14ac:dyDescent="0.3">
      <c r="A333" s="103" t="e">
        <f>'3G_REGIONS'!#REF!</f>
        <v>#REF!</v>
      </c>
      <c r="B333" s="101" t="e">
        <f>'3G_REGIONS'!#REF!</f>
        <v>#REF!</v>
      </c>
      <c r="C333" s="101" t="e">
        <f>'3G_REGIONS'!#REF!</f>
        <v>#REF!</v>
      </c>
    </row>
    <row r="334" spans="1:3" x14ac:dyDescent="0.3">
      <c r="A334" s="103" t="str">
        <f>'3G_REGIONS'!A1162</f>
        <v>Zhezkazgan</v>
      </c>
      <c r="B334" s="101">
        <f>'3G_REGIONS'!P1162</f>
        <v>0</v>
      </c>
      <c r="C334" s="101">
        <f>'3G_REGIONS'!Q1162</f>
        <v>0</v>
      </c>
    </row>
    <row r="335" spans="1:3" x14ac:dyDescent="0.3">
      <c r="A335" s="103" t="str">
        <f>'3G_REGIONS'!A1163</f>
        <v>Zhezkazgan</v>
      </c>
      <c r="B335" s="101" t="e">
        <f>'3G_REGIONS'!#REF!</f>
        <v>#REF!</v>
      </c>
      <c r="C335" s="101" t="e">
        <f>'3G_REGIONS'!#REF!</f>
        <v>#REF!</v>
      </c>
    </row>
    <row r="336" spans="1:3" x14ac:dyDescent="0.3">
      <c r="A336" s="103" t="str">
        <f>'3G_REGIONS'!A1173</f>
        <v>Zhiyekkum</v>
      </c>
      <c r="B336" s="101" t="e">
        <f>'3G_REGIONS'!#REF!</f>
        <v>#REF!</v>
      </c>
      <c r="C336" s="101" t="e">
        <f>'3G_REGIONS'!#REF!</f>
        <v>#REF!</v>
      </c>
    </row>
    <row r="337" spans="1:3" x14ac:dyDescent="0.3">
      <c r="A337" s="103" t="str">
        <f>'3G_REGIONS'!A1184</f>
        <v>Zhosaly</v>
      </c>
      <c r="B337" s="101" t="e">
        <f>'3G_REGIONS'!#REF!</f>
        <v>#REF!</v>
      </c>
      <c r="C337" s="101" t="e">
        <f>'3G_REGIONS'!#REF!</f>
        <v>#REF!</v>
      </c>
    </row>
    <row r="338" spans="1:3" x14ac:dyDescent="0.3">
      <c r="A338" s="103" t="str">
        <f>'3G_REGIONS'!A1209</f>
        <v>Zyryanovsk</v>
      </c>
      <c r="B338" s="101">
        <f>'3G_REGIONS'!P1209</f>
        <v>0</v>
      </c>
      <c r="C338" s="101">
        <f>'3G_REGIONS'!Q1209</f>
        <v>0</v>
      </c>
    </row>
    <row r="339" spans="1:3" x14ac:dyDescent="0.3">
      <c r="A339" s="103" t="str">
        <f>'3G_REGIONS'!A1210</f>
        <v>Zyryanovsk</v>
      </c>
      <c r="B339" s="101" t="e">
        <f>'3G_REGIONS'!#REF!</f>
        <v>#REF!</v>
      </c>
      <c r="C339" s="101" t="e">
        <f>'3G_REGIONS'!#REF!</f>
        <v>#REF!</v>
      </c>
    </row>
    <row r="340" spans="1:3" x14ac:dyDescent="0.3">
      <c r="A340" s="103" t="e">
        <f>'3G_REGIONS'!#REF!</f>
        <v>#REF!</v>
      </c>
      <c r="B340" s="101" t="e">
        <f>'3G_REGIONS'!#REF!</f>
        <v>#REF!</v>
      </c>
      <c r="C340" s="101" t="e">
        <f>'3G_REGIONS'!#REF!</f>
        <v>#REF!</v>
      </c>
    </row>
    <row r="341" spans="1:3" x14ac:dyDescent="0.3">
      <c r="A341" s="103" t="e">
        <f>'3G_REGIONS'!#REF!</f>
        <v>#REF!</v>
      </c>
      <c r="B341" s="101" t="e">
        <f>'3G_REGIONS'!#REF!</f>
        <v>#REF!</v>
      </c>
      <c r="C341" s="101" t="e">
        <f>'3G_REGIONS'!#REF!</f>
        <v>#REF!</v>
      </c>
    </row>
    <row r="342" spans="1:3" x14ac:dyDescent="0.3">
      <c r="A342" s="103" t="e">
        <f>'3G_REGIONS'!#REF!</f>
        <v>#REF!</v>
      </c>
      <c r="B342" s="101" t="e">
        <f>'3G_REGIONS'!#REF!</f>
        <v>#REF!</v>
      </c>
      <c r="C342" s="101" t="e">
        <f>'3G_REGIONS'!#REF!</f>
        <v>#REF!</v>
      </c>
    </row>
    <row r="343" spans="1:3" x14ac:dyDescent="0.3">
      <c r="A343" s="103">
        <f>'3G_REGIONS'!A1211</f>
        <v>0</v>
      </c>
      <c r="B343" s="101">
        <f>'3G_REGIONS'!P1211</f>
        <v>0</v>
      </c>
      <c r="C343" s="101">
        <f>'3G_REGIONS'!Q1211</f>
        <v>0</v>
      </c>
    </row>
    <row r="344" spans="1:3" x14ac:dyDescent="0.3">
      <c r="A344" s="103" t="str">
        <f>'3G_REGIONS'!A1207</f>
        <v>Zko-Aktau Uralsk CE1</v>
      </c>
      <c r="B344" s="101">
        <f>'3G_REGIONS'!P1212</f>
        <v>0</v>
      </c>
      <c r="C344" s="101">
        <f>'3G_REGIONS'!Q1212</f>
        <v>0</v>
      </c>
    </row>
    <row r="345" spans="1:3" x14ac:dyDescent="0.3">
      <c r="A345" s="103">
        <f>'3G_REGIONS'!A1213</f>
        <v>0</v>
      </c>
      <c r="B345" s="101">
        <f>'3G_REGIONS'!P1213</f>
        <v>0</v>
      </c>
      <c r="C345" s="101">
        <f>'3G_REGIONS'!Q1213</f>
        <v>0</v>
      </c>
    </row>
    <row r="346" spans="1:3" x14ac:dyDescent="0.3">
      <c r="A346" s="103">
        <f>'3G_REGIONS'!A1214</f>
        <v>0</v>
      </c>
      <c r="B346" s="101">
        <f>'3G_REGIONS'!P1214</f>
        <v>0</v>
      </c>
      <c r="C346" s="101">
        <f>'3G_REGIONS'!Q1214</f>
        <v>0</v>
      </c>
    </row>
    <row r="347" spans="1:3" x14ac:dyDescent="0.3">
      <c r="A347" s="103">
        <f>'3G_REGIONS'!A1215</f>
        <v>0</v>
      </c>
      <c r="B347" s="101">
        <f>'3G_REGIONS'!P1215</f>
        <v>0</v>
      </c>
      <c r="C347" s="101">
        <f>'3G_REGIONS'!Q1215</f>
        <v>0</v>
      </c>
    </row>
    <row r="348" spans="1:3" x14ac:dyDescent="0.3">
      <c r="A348" s="103">
        <f>'3G_REGIONS'!A1216</f>
        <v>0</v>
      </c>
      <c r="B348" s="101">
        <f>'3G_REGIONS'!P1216</f>
        <v>0</v>
      </c>
      <c r="C348" s="101">
        <f>'3G_REGIONS'!Q1216</f>
        <v>0</v>
      </c>
    </row>
    <row r="349" spans="1:3" x14ac:dyDescent="0.3">
      <c r="A349" s="103">
        <f>'3G_REGIONS'!A1217</f>
        <v>0</v>
      </c>
      <c r="B349" s="101">
        <f>'3G_REGIONS'!P1217</f>
        <v>0</v>
      </c>
      <c r="C349" s="101">
        <f>'3G_REGIONS'!Q1217</f>
        <v>0</v>
      </c>
    </row>
    <row r="350" spans="1:3" x14ac:dyDescent="0.3">
      <c r="A350" s="103">
        <f>'3G_REGIONS'!A1218</f>
        <v>0</v>
      </c>
      <c r="B350" s="101">
        <f>'3G_REGIONS'!P1218</f>
        <v>0</v>
      </c>
      <c r="C350" s="101">
        <f>'3G_REGIONS'!Q1218</f>
        <v>0</v>
      </c>
    </row>
    <row r="351" spans="1:3" x14ac:dyDescent="0.3">
      <c r="A351" s="103">
        <f>'3G_REGIONS'!A1219</f>
        <v>0</v>
      </c>
      <c r="B351" s="101">
        <f>'3G_REGIONS'!P1219</f>
        <v>0</v>
      </c>
      <c r="C351" s="101">
        <f>'3G_REGIONS'!Q1219</f>
        <v>0</v>
      </c>
    </row>
    <row r="352" spans="1:3" x14ac:dyDescent="0.3">
      <c r="A352" s="103">
        <f>'3G_REGIONS'!A1220</f>
        <v>0</v>
      </c>
      <c r="B352" s="101">
        <f>'3G_REGIONS'!P1220</f>
        <v>0</v>
      </c>
      <c r="C352" s="101">
        <f>'3G_REGIONS'!Q1220</f>
        <v>0</v>
      </c>
    </row>
    <row r="353" spans="1:3" x14ac:dyDescent="0.3">
      <c r="A353" s="103">
        <f>'3G_REGIONS'!A1221</f>
        <v>0</v>
      </c>
      <c r="B353" s="101">
        <f>'3G_REGIONS'!P1221</f>
        <v>0</v>
      </c>
      <c r="C353" s="101">
        <f>'3G_REGIONS'!Q1221</f>
        <v>0</v>
      </c>
    </row>
    <row r="354" spans="1:3" x14ac:dyDescent="0.3">
      <c r="A354" s="103">
        <f>'3G_REGIONS'!A1222</f>
        <v>0</v>
      </c>
      <c r="B354" s="101">
        <f>'3G_REGIONS'!P1222</f>
        <v>0</v>
      </c>
      <c r="C354" s="101">
        <f>'3G_REGIONS'!Q1222</f>
        <v>0</v>
      </c>
    </row>
    <row r="355" spans="1:3" x14ac:dyDescent="0.3">
      <c r="A355" s="103">
        <f>'3G_REGIONS'!A1223</f>
        <v>0</v>
      </c>
      <c r="B355" s="101">
        <f>'3G_REGIONS'!P1223</f>
        <v>0</v>
      </c>
      <c r="C355" s="101">
        <f>'3G_REGIONS'!Q1223</f>
        <v>0</v>
      </c>
    </row>
    <row r="356" spans="1:3" x14ac:dyDescent="0.3">
      <c r="A356" s="103">
        <f>'3G_REGIONS'!A1224</f>
        <v>0</v>
      </c>
      <c r="B356" s="101">
        <f>'3G_REGIONS'!P1224</f>
        <v>0</v>
      </c>
      <c r="C356" s="101">
        <f>'3G_REGIONS'!Q1224</f>
        <v>0</v>
      </c>
    </row>
    <row r="357" spans="1:3" x14ac:dyDescent="0.3">
      <c r="A357" s="103">
        <f>'3G_REGIONS'!A1225</f>
        <v>0</v>
      </c>
      <c r="B357" s="101">
        <f>'3G_REGIONS'!P1225</f>
        <v>0</v>
      </c>
      <c r="C357" s="101">
        <f>'3G_REGIONS'!Q1225</f>
        <v>0</v>
      </c>
    </row>
    <row r="358" spans="1:3" x14ac:dyDescent="0.3">
      <c r="A358" s="103">
        <f>'3G_REGIONS'!A1226</f>
        <v>0</v>
      </c>
      <c r="B358" s="101">
        <f>'3G_REGIONS'!P1226</f>
        <v>0</v>
      </c>
      <c r="C358" s="101">
        <f>'3G_REGIONS'!Q1226</f>
        <v>0</v>
      </c>
    </row>
    <row r="359" spans="1:3" x14ac:dyDescent="0.3">
      <c r="A359" s="103">
        <f>'3G_REGIONS'!A1227</f>
        <v>0</v>
      </c>
      <c r="B359" s="101">
        <f>'3G_REGIONS'!P1227</f>
        <v>0</v>
      </c>
      <c r="C359" s="101">
        <f>'3G_REGIONS'!Q1227</f>
        <v>0</v>
      </c>
    </row>
    <row r="360" spans="1:3" x14ac:dyDescent="0.3">
      <c r="A360" s="103">
        <f>'3G_REGIONS'!A1228</f>
        <v>0</v>
      </c>
      <c r="B360" s="101">
        <f>'3G_REGIONS'!P1228</f>
        <v>0</v>
      </c>
      <c r="C360" s="101">
        <f>'3G_REGIONS'!Q1228</f>
        <v>0</v>
      </c>
    </row>
    <row r="361" spans="1:3" x14ac:dyDescent="0.3">
      <c r="A361" s="103">
        <f>'3G_REGIONS'!A1229</f>
        <v>0</v>
      </c>
      <c r="B361" s="101">
        <f>'3G_REGIONS'!P1229</f>
        <v>0</v>
      </c>
      <c r="C361" s="101">
        <f>'3G_REGIONS'!Q1229</f>
        <v>0</v>
      </c>
    </row>
    <row r="362" spans="1:3" x14ac:dyDescent="0.3">
      <c r="A362" s="103">
        <f>'3G_REGIONS'!A1230</f>
        <v>0</v>
      </c>
      <c r="B362" s="101">
        <f>'3G_REGIONS'!P1230</f>
        <v>0</v>
      </c>
      <c r="C362" s="101">
        <f>'3G_REGIONS'!Q1230</f>
        <v>0</v>
      </c>
    </row>
    <row r="363" spans="1:3" x14ac:dyDescent="0.3">
      <c r="A363" s="103">
        <f>'3G_REGIONS'!A1231</f>
        <v>0</v>
      </c>
      <c r="B363" s="101">
        <f>'3G_REGIONS'!P1231</f>
        <v>0</v>
      </c>
      <c r="C363" s="101">
        <f>'3G_REGIONS'!Q1231</f>
        <v>0</v>
      </c>
    </row>
    <row r="364" spans="1:3" x14ac:dyDescent="0.3">
      <c r="A364" s="103">
        <f>'3G_REGIONS'!A1232</f>
        <v>0</v>
      </c>
      <c r="B364" s="101">
        <f>'3G_REGIONS'!P1232</f>
        <v>0</v>
      </c>
      <c r="C364" s="101">
        <f>'3G_REGIONS'!Q1232</f>
        <v>0</v>
      </c>
    </row>
    <row r="365" spans="1:3" x14ac:dyDescent="0.3">
      <c r="A365" s="103">
        <f>'3G_REGIONS'!A1233</f>
        <v>0</v>
      </c>
      <c r="B365" s="101">
        <f>'3G_REGIONS'!P1233</f>
        <v>0</v>
      </c>
      <c r="C365" s="101">
        <f>'3G_REGIONS'!Q1233</f>
        <v>0</v>
      </c>
    </row>
    <row r="366" spans="1:3" x14ac:dyDescent="0.3">
      <c r="A366" s="103">
        <f>'3G_REGIONS'!A1234</f>
        <v>0</v>
      </c>
      <c r="B366" s="101">
        <f>'3G_REGIONS'!P1234</f>
        <v>0</v>
      </c>
      <c r="C366" s="101">
        <f>'3G_REGIONS'!Q1234</f>
        <v>0</v>
      </c>
    </row>
    <row r="367" spans="1:3" x14ac:dyDescent="0.3">
      <c r="A367" s="103">
        <f>'3G_REGIONS'!A1235</f>
        <v>0</v>
      </c>
      <c r="B367" s="101">
        <f>'3G_REGIONS'!P1235</f>
        <v>0</v>
      </c>
      <c r="C367" s="101">
        <f>'3G_REGIONS'!Q1235</f>
        <v>0</v>
      </c>
    </row>
    <row r="368" spans="1:3" x14ac:dyDescent="0.3">
      <c r="A368" s="103">
        <f>'3G_REGIONS'!A1236</f>
        <v>0</v>
      </c>
      <c r="B368" s="101">
        <f>'3G_REGIONS'!P1236</f>
        <v>0</v>
      </c>
      <c r="C368" s="101">
        <f>'3G_REGIONS'!Q1236</f>
        <v>0</v>
      </c>
    </row>
    <row r="369" spans="1:3" x14ac:dyDescent="0.3">
      <c r="A369" s="103">
        <f>'3G_REGIONS'!A1237</f>
        <v>0</v>
      </c>
      <c r="B369" s="101">
        <f>'3G_REGIONS'!P1237</f>
        <v>0</v>
      </c>
      <c r="C369" s="101">
        <f>'3G_REGIONS'!Q1237</f>
        <v>0</v>
      </c>
    </row>
    <row r="370" spans="1:3" x14ac:dyDescent="0.3">
      <c r="A370" s="103">
        <f>'3G_REGIONS'!A1238</f>
        <v>0</v>
      </c>
      <c r="B370" s="101">
        <f>'3G_REGIONS'!P1238</f>
        <v>0</v>
      </c>
      <c r="C370" s="101">
        <f>'3G_REGIONS'!Q1238</f>
        <v>0</v>
      </c>
    </row>
    <row r="371" spans="1:3" x14ac:dyDescent="0.3">
      <c r="A371" s="103">
        <f>'3G_REGIONS'!A1239</f>
        <v>0</v>
      </c>
      <c r="B371" s="101">
        <f>'3G_REGIONS'!P1239</f>
        <v>0</v>
      </c>
      <c r="C371" s="101">
        <f>'3G_REGIONS'!Q1239</f>
        <v>0</v>
      </c>
    </row>
    <row r="372" spans="1:3" x14ac:dyDescent="0.3">
      <c r="A372" s="103">
        <f>'3G_REGIONS'!A1240</f>
        <v>0</v>
      </c>
      <c r="B372" s="101">
        <f>'3G_REGIONS'!P1240</f>
        <v>0</v>
      </c>
      <c r="C372" s="101">
        <f>'3G_REGIONS'!Q1240</f>
        <v>0</v>
      </c>
    </row>
    <row r="373" spans="1:3" x14ac:dyDescent="0.3">
      <c r="A373" s="103">
        <f>'3G_REGIONS'!A1241</f>
        <v>0</v>
      </c>
      <c r="B373" s="101">
        <f>'3G_REGIONS'!P1241</f>
        <v>0</v>
      </c>
      <c r="C373" s="101">
        <f>'3G_REGIONS'!Q1241</f>
        <v>0</v>
      </c>
    </row>
    <row r="374" spans="1:3" x14ac:dyDescent="0.3">
      <c r="A374" s="103">
        <f>'3G_REGIONS'!A1242</f>
        <v>0</v>
      </c>
      <c r="B374" s="101">
        <f>'3G_REGIONS'!P1242</f>
        <v>0</v>
      </c>
      <c r="C374" s="101">
        <f>'3G_REGIONS'!Q1242</f>
        <v>0</v>
      </c>
    </row>
    <row r="375" spans="1:3" x14ac:dyDescent="0.3">
      <c r="A375" s="103">
        <f>'3G_REGIONS'!A1243</f>
        <v>0</v>
      </c>
      <c r="B375" s="101">
        <f>'3G_REGIONS'!P1243</f>
        <v>0</v>
      </c>
      <c r="C375" s="101">
        <f>'3G_REGIONS'!Q1243</f>
        <v>0</v>
      </c>
    </row>
    <row r="376" spans="1:3" x14ac:dyDescent="0.3">
      <c r="A376" s="103">
        <f>'3G_REGIONS'!A1244</f>
        <v>0</v>
      </c>
      <c r="B376" s="101">
        <f>'3G_REGIONS'!P1244</f>
        <v>0</v>
      </c>
      <c r="C376" s="101">
        <f>'3G_REGIONS'!Q1244</f>
        <v>0</v>
      </c>
    </row>
    <row r="377" spans="1:3" x14ac:dyDescent="0.3">
      <c r="A377" s="103">
        <f>'3G_REGIONS'!A1245</f>
        <v>0</v>
      </c>
      <c r="B377" s="101">
        <f>'3G_REGIONS'!P1245</f>
        <v>0</v>
      </c>
      <c r="C377" s="101">
        <f>'3G_REGIONS'!Q1245</f>
        <v>0</v>
      </c>
    </row>
    <row r="378" spans="1:3" x14ac:dyDescent="0.3">
      <c r="A378" s="103">
        <f>'3G_REGIONS'!A1246</f>
        <v>0</v>
      </c>
      <c r="B378" s="101">
        <f>'3G_REGIONS'!P1246</f>
        <v>0</v>
      </c>
      <c r="C378" s="101">
        <f>'3G_REGIONS'!Q1246</f>
        <v>0</v>
      </c>
    </row>
    <row r="379" spans="1:3" x14ac:dyDescent="0.3">
      <c r="A379" s="103">
        <f>'3G_REGIONS'!A1247</f>
        <v>0</v>
      </c>
      <c r="B379" s="101">
        <f>'3G_REGIONS'!P1247</f>
        <v>0</v>
      </c>
      <c r="C379" s="101">
        <f>'3G_REGIONS'!Q1247</f>
        <v>0</v>
      </c>
    </row>
    <row r="380" spans="1:3" x14ac:dyDescent="0.3">
      <c r="A380" s="103">
        <f>'3G_REGIONS'!A1248</f>
        <v>0</v>
      </c>
      <c r="B380" s="101">
        <f>'3G_REGIONS'!P1248</f>
        <v>0</v>
      </c>
      <c r="C380" s="101">
        <f>'3G_REGIONS'!Q1248</f>
        <v>0</v>
      </c>
    </row>
    <row r="381" spans="1:3" x14ac:dyDescent="0.3">
      <c r="A381" s="103">
        <f>'3G_REGIONS'!A1249</f>
        <v>0</v>
      </c>
      <c r="B381" s="101">
        <f>'3G_REGIONS'!P1249</f>
        <v>0</v>
      </c>
      <c r="C381" s="101">
        <f>'3G_REGIONS'!Q1249</f>
        <v>0</v>
      </c>
    </row>
    <row r="382" spans="1:3" x14ac:dyDescent="0.3">
      <c r="A382" s="103">
        <f>'3G_REGIONS'!A1250</f>
        <v>0</v>
      </c>
      <c r="B382" s="101">
        <f>'3G_REGIONS'!P1250</f>
        <v>0</v>
      </c>
      <c r="C382" s="101">
        <f>'3G_REGIONS'!Q1250</f>
        <v>0</v>
      </c>
    </row>
    <row r="383" spans="1:3" x14ac:dyDescent="0.3">
      <c r="A383" s="103">
        <f>'3G_REGIONS'!A1251</f>
        <v>0</v>
      </c>
      <c r="B383" s="101">
        <f>'3G_REGIONS'!P1251</f>
        <v>0</v>
      </c>
      <c r="C383" s="101">
        <f>'3G_REGIONS'!Q1251</f>
        <v>0</v>
      </c>
    </row>
    <row r="384" spans="1:3" x14ac:dyDescent="0.3">
      <c r="A384" s="103">
        <f>'3G_REGIONS'!A1252</f>
        <v>0</v>
      </c>
      <c r="B384" s="101">
        <f>'3G_REGIONS'!P1252</f>
        <v>0</v>
      </c>
      <c r="C384" s="101">
        <f>'3G_REGIONS'!Q1252</f>
        <v>0</v>
      </c>
    </row>
    <row r="385" spans="1:3" x14ac:dyDescent="0.3">
      <c r="A385" s="103">
        <f>'3G_REGIONS'!A1253</f>
        <v>0</v>
      </c>
      <c r="B385" s="101">
        <f>'3G_REGIONS'!P1253</f>
        <v>0</v>
      </c>
      <c r="C385" s="101">
        <f>'3G_REGIONS'!Q1253</f>
        <v>0</v>
      </c>
    </row>
    <row r="386" spans="1:3" x14ac:dyDescent="0.3">
      <c r="A386" s="103">
        <f>'3G_REGIONS'!A1254</f>
        <v>0</v>
      </c>
      <c r="B386" s="101">
        <f>'3G_REGIONS'!P1254</f>
        <v>0</v>
      </c>
      <c r="C386" s="101">
        <f>'3G_REGIONS'!Q1254</f>
        <v>0</v>
      </c>
    </row>
    <row r="387" spans="1:3" x14ac:dyDescent="0.3">
      <c r="A387" s="103">
        <f>'3G_REGIONS'!A1255</f>
        <v>0</v>
      </c>
      <c r="B387" s="101">
        <f>'3G_REGIONS'!P1255</f>
        <v>0</v>
      </c>
      <c r="C387" s="101">
        <f>'3G_REGIONS'!Q1255</f>
        <v>0</v>
      </c>
    </row>
    <row r="388" spans="1:3" x14ac:dyDescent="0.3">
      <c r="A388" s="103">
        <f>'3G_REGIONS'!A1256</f>
        <v>0</v>
      </c>
      <c r="B388" s="101">
        <f>'3G_REGIONS'!P1256</f>
        <v>0</v>
      </c>
      <c r="C388" s="101">
        <f>'3G_REGIONS'!Q1256</f>
        <v>0</v>
      </c>
    </row>
    <row r="389" spans="1:3" x14ac:dyDescent="0.3">
      <c r="A389" s="103">
        <f>'3G_REGIONS'!A1257</f>
        <v>0</v>
      </c>
      <c r="B389" s="101">
        <f>'3G_REGIONS'!P1257</f>
        <v>0</v>
      </c>
      <c r="C389" s="101">
        <f>'3G_REGIONS'!Q1257</f>
        <v>0</v>
      </c>
    </row>
    <row r="390" spans="1:3" x14ac:dyDescent="0.3">
      <c r="A390" s="103">
        <f>'3G_REGIONS'!A1258</f>
        <v>0</v>
      </c>
      <c r="B390" s="101">
        <f>'3G_REGIONS'!P1258</f>
        <v>0</v>
      </c>
      <c r="C390" s="101">
        <f>'3G_REGIONS'!Q1258</f>
        <v>0</v>
      </c>
    </row>
    <row r="391" spans="1:3" x14ac:dyDescent="0.3">
      <c r="A391" s="103">
        <f>'3G_REGIONS'!A1259</f>
        <v>0</v>
      </c>
      <c r="B391" s="101">
        <f>'3G_REGIONS'!P1259</f>
        <v>0</v>
      </c>
      <c r="C391" s="101">
        <f>'3G_REGIONS'!Q1259</f>
        <v>0</v>
      </c>
    </row>
    <row r="392" spans="1:3" x14ac:dyDescent="0.3">
      <c r="A392" s="103">
        <f>'3G_REGIONS'!A1260</f>
        <v>0</v>
      </c>
      <c r="B392" s="101">
        <f>'3G_REGIONS'!P1260</f>
        <v>0</v>
      </c>
      <c r="C392" s="101">
        <f>'3G_REGIONS'!Q1260</f>
        <v>0</v>
      </c>
    </row>
    <row r="393" spans="1:3" x14ac:dyDescent="0.3">
      <c r="A393" s="103">
        <f>'3G_REGIONS'!A1261</f>
        <v>0</v>
      </c>
      <c r="B393" s="101">
        <f>'3G_REGIONS'!P1261</f>
        <v>0</v>
      </c>
      <c r="C393" s="101">
        <f>'3G_REGIONS'!Q1261</f>
        <v>0</v>
      </c>
    </row>
    <row r="394" spans="1:3" x14ac:dyDescent="0.3">
      <c r="A394" s="103">
        <f>'3G_REGIONS'!A1262</f>
        <v>0</v>
      </c>
      <c r="B394" s="101">
        <f>'3G_REGIONS'!P1262</f>
        <v>0</v>
      </c>
      <c r="C394" s="101">
        <f>'3G_REGIONS'!Q1262</f>
        <v>0</v>
      </c>
    </row>
    <row r="395" spans="1:3" x14ac:dyDescent="0.3">
      <c r="A395" s="103">
        <f>'3G_REGIONS'!A1263</f>
        <v>0</v>
      </c>
      <c r="B395" s="101">
        <f>'3G_REGIONS'!P1263</f>
        <v>0</v>
      </c>
      <c r="C395" s="101">
        <f>'3G_REGIONS'!Q1263</f>
        <v>0</v>
      </c>
    </row>
    <row r="396" spans="1:3" x14ac:dyDescent="0.3">
      <c r="A396" s="103">
        <f>'3G_REGIONS'!A1264</f>
        <v>0</v>
      </c>
      <c r="B396" s="101">
        <f>'3G_REGIONS'!P1264</f>
        <v>0</v>
      </c>
      <c r="C396" s="101">
        <f>'3G_REGIONS'!Q1264</f>
        <v>0</v>
      </c>
    </row>
    <row r="397" spans="1:3" x14ac:dyDescent="0.3">
      <c r="A397" s="103">
        <f>'3G_REGIONS'!A1265</f>
        <v>0</v>
      </c>
      <c r="B397" s="101">
        <f>'3G_REGIONS'!P1265</f>
        <v>0</v>
      </c>
      <c r="C397" s="101">
        <f>'3G_REGIONS'!Q1265</f>
        <v>0</v>
      </c>
    </row>
    <row r="398" spans="1:3" x14ac:dyDescent="0.3">
      <c r="A398" s="103">
        <f>'3G_REGIONS'!A1266</f>
        <v>0</v>
      </c>
      <c r="B398" s="101">
        <f>'3G_REGIONS'!P1266</f>
        <v>0</v>
      </c>
      <c r="C398" s="101">
        <f>'3G_REGIONS'!Q1266</f>
        <v>0</v>
      </c>
    </row>
    <row r="399" spans="1:3" x14ac:dyDescent="0.3">
      <c r="A399" s="103">
        <f>'3G_REGIONS'!A1267</f>
        <v>0</v>
      </c>
      <c r="B399" s="101">
        <f>'3G_REGIONS'!P1267</f>
        <v>0</v>
      </c>
      <c r="C399" s="101">
        <f>'3G_REGIONS'!Q1267</f>
        <v>0</v>
      </c>
    </row>
    <row r="400" spans="1:3" x14ac:dyDescent="0.3">
      <c r="A400" s="103">
        <f>'3G_REGIONS'!A1268</f>
        <v>0</v>
      </c>
      <c r="B400" s="101">
        <f>'3G_REGIONS'!P1268</f>
        <v>0</v>
      </c>
      <c r="C400" s="101">
        <f>'3G_REGIONS'!Q1268</f>
        <v>0</v>
      </c>
    </row>
    <row r="401" spans="1:3" x14ac:dyDescent="0.3">
      <c r="A401" s="103">
        <f>'3G_REGIONS'!A1269</f>
        <v>0</v>
      </c>
      <c r="B401" s="101">
        <f>'3G_REGIONS'!P1269</f>
        <v>0</v>
      </c>
      <c r="C401" s="101">
        <f>'3G_REGIONS'!Q1269</f>
        <v>0</v>
      </c>
    </row>
    <row r="402" spans="1:3" x14ac:dyDescent="0.3">
      <c r="A402" s="103">
        <f>'3G_REGIONS'!A1270</f>
        <v>0</v>
      </c>
      <c r="B402" s="101">
        <f>'3G_REGIONS'!P1270</f>
        <v>0</v>
      </c>
      <c r="C402" s="101">
        <f>'3G_REGIONS'!Q1270</f>
        <v>0</v>
      </c>
    </row>
    <row r="403" spans="1:3" x14ac:dyDescent="0.3">
      <c r="A403" s="103">
        <f>'3G_REGIONS'!A1271</f>
        <v>0</v>
      </c>
      <c r="B403" s="101">
        <f>'3G_REGIONS'!P1271</f>
        <v>0</v>
      </c>
      <c r="C403" s="101">
        <f>'3G_REGIONS'!Q1271</f>
        <v>0</v>
      </c>
    </row>
    <row r="404" spans="1:3" x14ac:dyDescent="0.3">
      <c r="A404" s="103">
        <f>'3G_REGIONS'!A1272</f>
        <v>0</v>
      </c>
      <c r="B404" s="101">
        <f>'3G_REGIONS'!P1272</f>
        <v>0</v>
      </c>
      <c r="C404" s="101">
        <f>'3G_REGIONS'!Q1272</f>
        <v>0</v>
      </c>
    </row>
    <row r="405" spans="1:3" x14ac:dyDescent="0.3">
      <c r="A405" s="103">
        <f>'3G_REGIONS'!A1273</f>
        <v>0</v>
      </c>
      <c r="B405" s="101">
        <f>'3G_REGIONS'!P1273</f>
        <v>0</v>
      </c>
      <c r="C405" s="101">
        <f>'3G_REGIONS'!Q1273</f>
        <v>0</v>
      </c>
    </row>
    <row r="406" spans="1:3" x14ac:dyDescent="0.3">
      <c r="A406" s="103">
        <f>'3G_REGIONS'!A1274</f>
        <v>0</v>
      </c>
      <c r="B406" s="101">
        <f>'3G_REGIONS'!P1274</f>
        <v>0</v>
      </c>
      <c r="C406" s="101">
        <f>'3G_REGIONS'!Q1274</f>
        <v>0</v>
      </c>
    </row>
    <row r="407" spans="1:3" x14ac:dyDescent="0.3">
      <c r="A407" s="103">
        <f>'3G_REGIONS'!A1275</f>
        <v>0</v>
      </c>
      <c r="B407" s="101">
        <f>'3G_REGIONS'!P1275</f>
        <v>0</v>
      </c>
      <c r="C407" s="101">
        <f>'3G_REGIONS'!Q1275</f>
        <v>0</v>
      </c>
    </row>
    <row r="408" spans="1:3" x14ac:dyDescent="0.3">
      <c r="A408" s="103">
        <f>'3G_REGIONS'!A1276</f>
        <v>0</v>
      </c>
      <c r="B408" s="101">
        <f>'3G_REGIONS'!P1276</f>
        <v>0</v>
      </c>
      <c r="C408" s="101">
        <f>'3G_REGIONS'!Q1276</f>
        <v>0</v>
      </c>
    </row>
    <row r="409" spans="1:3" x14ac:dyDescent="0.3">
      <c r="A409" s="103">
        <f>'3G_REGIONS'!A1277</f>
        <v>0</v>
      </c>
      <c r="B409" s="101">
        <f>'3G_REGIONS'!P1277</f>
        <v>0</v>
      </c>
      <c r="C409" s="101">
        <f>'3G_REGIONS'!Q1277</f>
        <v>0</v>
      </c>
    </row>
    <row r="410" spans="1:3" x14ac:dyDescent="0.3">
      <c r="A410" s="103">
        <f>'3G_REGIONS'!A1278</f>
        <v>0</v>
      </c>
      <c r="B410" s="101">
        <f>'3G_REGIONS'!P1278</f>
        <v>0</v>
      </c>
      <c r="C410" s="101">
        <f>'3G_REGIONS'!Q1278</f>
        <v>0</v>
      </c>
    </row>
    <row r="411" spans="1:3" x14ac:dyDescent="0.3">
      <c r="A411" s="103">
        <f>'3G_REGIONS'!A1279</f>
        <v>0</v>
      </c>
      <c r="B411" s="101">
        <f>'3G_REGIONS'!P1279</f>
        <v>0</v>
      </c>
      <c r="C411" s="101">
        <f>'3G_REGIONS'!Q1279</f>
        <v>0</v>
      </c>
    </row>
    <row r="412" spans="1:3" x14ac:dyDescent="0.3">
      <c r="A412" s="103">
        <f>'3G_REGIONS'!A1280</f>
        <v>0</v>
      </c>
      <c r="B412" s="101">
        <f>'3G_REGIONS'!P1280</f>
        <v>0</v>
      </c>
      <c r="C412" s="101">
        <f>'3G_REGIONS'!Q1280</f>
        <v>0</v>
      </c>
    </row>
    <row r="413" spans="1:3" x14ac:dyDescent="0.3">
      <c r="A413" s="103">
        <f>'3G_REGIONS'!A1281</f>
        <v>0</v>
      </c>
      <c r="B413" s="101">
        <f>'3G_REGIONS'!P1281</f>
        <v>0</v>
      </c>
      <c r="C413" s="101">
        <f>'3G_REGIONS'!Q1281</f>
        <v>0</v>
      </c>
    </row>
    <row r="414" spans="1:3" x14ac:dyDescent="0.3">
      <c r="A414" s="103">
        <f>'3G_REGIONS'!A1282</f>
        <v>0</v>
      </c>
      <c r="B414" s="101">
        <f>'3G_REGIONS'!P1282</f>
        <v>0</v>
      </c>
      <c r="C414" s="101">
        <f>'3G_REGIONS'!Q1282</f>
        <v>0</v>
      </c>
    </row>
    <row r="415" spans="1:3" x14ac:dyDescent="0.3">
      <c r="A415" s="103">
        <f>'3G_REGIONS'!A1283</f>
        <v>0</v>
      </c>
      <c r="B415" s="101">
        <f>'3G_REGIONS'!P1283</f>
        <v>0</v>
      </c>
      <c r="C415" s="101">
        <f>'3G_REGIONS'!Q1283</f>
        <v>0</v>
      </c>
    </row>
    <row r="416" spans="1:3" x14ac:dyDescent="0.3">
      <c r="A416" s="103">
        <f>'3G_REGIONS'!A1284</f>
        <v>0</v>
      </c>
      <c r="B416" s="101">
        <f>'3G_REGIONS'!P1284</f>
        <v>0</v>
      </c>
      <c r="C416" s="101">
        <f>'3G_REGIONS'!Q1284</f>
        <v>0</v>
      </c>
    </row>
    <row r="417" spans="1:3" x14ac:dyDescent="0.3">
      <c r="A417" s="103">
        <f>'3G_REGIONS'!A1285</f>
        <v>0</v>
      </c>
      <c r="B417" s="101">
        <f>'3G_REGIONS'!P1285</f>
        <v>0</v>
      </c>
      <c r="C417" s="101">
        <f>'3G_REGIONS'!Q1285</f>
        <v>0</v>
      </c>
    </row>
    <row r="418" spans="1:3" x14ac:dyDescent="0.3">
      <c r="A418" s="103">
        <f>'3G_REGIONS'!A1286</f>
        <v>0</v>
      </c>
      <c r="B418" s="101">
        <f>'3G_REGIONS'!P1286</f>
        <v>0</v>
      </c>
      <c r="C418" s="101">
        <f>'3G_REGIONS'!Q1286</f>
        <v>0</v>
      </c>
    </row>
    <row r="419" spans="1:3" x14ac:dyDescent="0.3">
      <c r="A419" s="103">
        <f>'3G_REGIONS'!A1287</f>
        <v>0</v>
      </c>
      <c r="B419" s="101">
        <f>'3G_REGIONS'!P1287</f>
        <v>0</v>
      </c>
      <c r="C419" s="101">
        <f>'3G_REGIONS'!Q1287</f>
        <v>0</v>
      </c>
    </row>
  </sheetData>
  <autoFilter ref="A1:C1">
    <sortState ref="A2:C419">
      <sortCondition descending="1" ref="C1"/>
    </sortState>
  </autoFilter>
  <conditionalFormatting sqref="C1">
    <cfRule type="cellIs" dxfId="1" priority="2" operator="greaterThan">
      <formula>0.5</formula>
    </cfRule>
  </conditionalFormatting>
  <conditionalFormatting sqref="C1:C1048576">
    <cfRule type="cellIs" dxfId="0" priority="1" operator="greaterThan">
      <formula>0.6</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L5"/>
  <sheetViews>
    <sheetView workbookViewId="0">
      <selection activeCell="G12" sqref="G12"/>
    </sheetView>
  </sheetViews>
  <sheetFormatPr defaultRowHeight="14.4" x14ac:dyDescent="0.3"/>
  <cols>
    <col min="1" max="1" width="26.44140625" customWidth="1"/>
    <col min="3" max="3" width="14.33203125" customWidth="1"/>
    <col min="4" max="4" width="17.5546875" customWidth="1"/>
    <col min="5" max="5" width="18.6640625" customWidth="1"/>
    <col min="6" max="6" width="21.6640625" customWidth="1"/>
    <col min="7" max="7" width="12.5546875" customWidth="1"/>
    <col min="9" max="10" width="16.44140625" customWidth="1"/>
    <col min="11" max="11" width="20.6640625" customWidth="1"/>
  </cols>
  <sheetData>
    <row r="1" spans="1:12" ht="22.95" x14ac:dyDescent="0.35">
      <c r="A1" s="250" t="s">
        <v>140</v>
      </c>
      <c r="B1" s="251" t="s">
        <v>1</v>
      </c>
      <c r="C1" s="251" t="s">
        <v>159</v>
      </c>
      <c r="D1" s="251" t="s">
        <v>9</v>
      </c>
      <c r="E1" s="251" t="s">
        <v>5416</v>
      </c>
      <c r="F1" s="251" t="s">
        <v>2256</v>
      </c>
      <c r="G1" s="251" t="s">
        <v>0</v>
      </c>
      <c r="H1" s="251" t="s">
        <v>5</v>
      </c>
      <c r="I1" s="251" t="s">
        <v>5417</v>
      </c>
      <c r="J1" s="251" t="s">
        <v>155</v>
      </c>
      <c r="K1" s="251" t="s">
        <v>1455</v>
      </c>
      <c r="L1" s="251" t="s">
        <v>2</v>
      </c>
    </row>
    <row r="2" spans="1:12" ht="14.7" x14ac:dyDescent="0.35">
      <c r="A2" s="147" t="s">
        <v>5410</v>
      </c>
      <c r="B2" s="20" t="s">
        <v>597</v>
      </c>
      <c r="C2" s="20" t="s">
        <v>1507</v>
      </c>
      <c r="D2" s="20"/>
      <c r="E2" s="20"/>
      <c r="F2" s="20" t="s">
        <v>5413</v>
      </c>
      <c r="G2" s="20">
        <v>931</v>
      </c>
      <c r="H2" s="20">
        <v>2</v>
      </c>
      <c r="I2" s="20" t="s">
        <v>1454</v>
      </c>
      <c r="J2" s="36" t="s">
        <v>1454</v>
      </c>
      <c r="K2" s="20" t="s">
        <v>5415</v>
      </c>
      <c r="L2" s="147" t="s">
        <v>1974</v>
      </c>
    </row>
    <row r="3" spans="1:12" ht="14.7" x14ac:dyDescent="0.35">
      <c r="A3" s="141" t="s">
        <v>5410</v>
      </c>
      <c r="B3" s="61" t="s">
        <v>34</v>
      </c>
      <c r="C3" s="61" t="s">
        <v>1507</v>
      </c>
      <c r="D3" s="61"/>
      <c r="E3" s="61"/>
      <c r="F3" s="61" t="s">
        <v>5411</v>
      </c>
      <c r="G3" s="61">
        <v>721</v>
      </c>
      <c r="H3" s="61">
        <v>20</v>
      </c>
      <c r="I3" s="61" t="s">
        <v>1454</v>
      </c>
      <c r="J3" s="62" t="s">
        <v>1454</v>
      </c>
      <c r="K3" s="61" t="s">
        <v>431</v>
      </c>
      <c r="L3" s="141" t="s">
        <v>1974</v>
      </c>
    </row>
    <row r="4" spans="1:12" ht="14.7" x14ac:dyDescent="0.35">
      <c r="A4" s="142" t="s">
        <v>5410</v>
      </c>
      <c r="B4" s="9" t="s">
        <v>249</v>
      </c>
      <c r="C4" s="9" t="s">
        <v>1507</v>
      </c>
      <c r="D4" s="9"/>
      <c r="E4" s="9"/>
      <c r="F4" s="9" t="s">
        <v>5412</v>
      </c>
      <c r="G4" s="9">
        <v>921</v>
      </c>
      <c r="H4" s="9">
        <v>1</v>
      </c>
      <c r="I4" s="9" t="s">
        <v>1454</v>
      </c>
      <c r="J4" s="37" t="s">
        <v>1454</v>
      </c>
      <c r="K4" s="9" t="s">
        <v>431</v>
      </c>
      <c r="L4" s="142" t="s">
        <v>1974</v>
      </c>
    </row>
    <row r="5" spans="1:12" ht="14.7" x14ac:dyDescent="0.35">
      <c r="A5" s="199" t="s">
        <v>5410</v>
      </c>
      <c r="B5" s="154" t="s">
        <v>3781</v>
      </c>
      <c r="C5" s="154" t="s">
        <v>1507</v>
      </c>
      <c r="D5" s="154"/>
      <c r="E5" s="154"/>
      <c r="F5" s="154" t="s">
        <v>5414</v>
      </c>
      <c r="G5" s="154">
        <v>999</v>
      </c>
      <c r="H5" s="154">
        <v>1</v>
      </c>
      <c r="I5" s="154" t="s">
        <v>1454</v>
      </c>
      <c r="J5" s="155" t="s">
        <v>1454</v>
      </c>
      <c r="K5" s="154" t="s">
        <v>428</v>
      </c>
      <c r="L5" s="199" t="s">
        <v>1974</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M196"/>
  <sheetViews>
    <sheetView topLeftCell="A184" workbookViewId="0">
      <selection activeCell="D60" sqref="D60"/>
    </sheetView>
  </sheetViews>
  <sheetFormatPr defaultRowHeight="14.4" x14ac:dyDescent="0.3"/>
  <cols>
    <col min="1" max="1" width="17.5546875" style="11" customWidth="1"/>
    <col min="2" max="3" width="14.44140625" style="11" customWidth="1"/>
    <col min="4" max="4" width="18.44140625" style="11" customWidth="1"/>
    <col min="5" max="5" width="19.6640625" customWidth="1"/>
  </cols>
  <sheetData>
    <row r="1" spans="1:5" ht="22.95" customHeight="1" x14ac:dyDescent="0.35">
      <c r="A1" s="192" t="s">
        <v>4507</v>
      </c>
      <c r="B1" s="209" t="s">
        <v>1</v>
      </c>
      <c r="C1" s="193" t="s">
        <v>4508</v>
      </c>
      <c r="D1" s="194" t="s">
        <v>4509</v>
      </c>
      <c r="E1" s="194" t="s">
        <v>5131</v>
      </c>
    </row>
    <row r="2" spans="1:5" ht="14.7" x14ac:dyDescent="0.35">
      <c r="A2" s="195">
        <v>2300</v>
      </c>
      <c r="B2" s="210" t="s">
        <v>4510</v>
      </c>
      <c r="C2" s="196" t="s">
        <v>522</v>
      </c>
      <c r="D2" s="210" t="s">
        <v>428</v>
      </c>
      <c r="E2" s="197"/>
    </row>
    <row r="3" spans="1:5" ht="14.7" x14ac:dyDescent="0.35">
      <c r="A3" s="195">
        <v>2301</v>
      </c>
      <c r="B3" s="210" t="s">
        <v>4510</v>
      </c>
      <c r="C3" s="196" t="s">
        <v>654</v>
      </c>
      <c r="D3" s="210" t="s">
        <v>428</v>
      </c>
      <c r="E3" s="197"/>
    </row>
    <row r="4" spans="1:5" ht="14.7" x14ac:dyDescent="0.35">
      <c r="A4" s="195">
        <v>2302</v>
      </c>
      <c r="B4" s="210"/>
      <c r="C4" s="196"/>
      <c r="D4" s="210"/>
      <c r="E4" s="197"/>
    </row>
    <row r="5" spans="1:5" ht="14.7" x14ac:dyDescent="0.35">
      <c r="A5" s="195">
        <v>2303</v>
      </c>
      <c r="B5" s="210"/>
      <c r="C5" s="196"/>
      <c r="D5" s="210"/>
      <c r="E5" s="197"/>
    </row>
    <row r="6" spans="1:5" ht="14.7" x14ac:dyDescent="0.35">
      <c r="A6" s="195">
        <v>2304</v>
      </c>
      <c r="B6" s="210" t="s">
        <v>34</v>
      </c>
      <c r="C6" s="196" t="s">
        <v>433</v>
      </c>
      <c r="D6" s="210" t="s">
        <v>4682</v>
      </c>
      <c r="E6" s="197"/>
    </row>
    <row r="7" spans="1:5" ht="14.7" x14ac:dyDescent="0.35">
      <c r="A7" s="195">
        <v>2305</v>
      </c>
      <c r="B7" s="210" t="s">
        <v>249</v>
      </c>
      <c r="C7" s="196" t="s">
        <v>433</v>
      </c>
      <c r="D7" s="210" t="s">
        <v>4682</v>
      </c>
      <c r="E7" s="197"/>
    </row>
    <row r="8" spans="1:5" ht="14.7" x14ac:dyDescent="0.35">
      <c r="A8" s="195">
        <v>2306</v>
      </c>
      <c r="B8" s="210" t="s">
        <v>597</v>
      </c>
      <c r="C8" s="196" t="s">
        <v>574</v>
      </c>
      <c r="D8" s="210" t="s">
        <v>4528</v>
      </c>
      <c r="E8" s="197"/>
    </row>
    <row r="9" spans="1:5" ht="14.7" x14ac:dyDescent="0.35">
      <c r="A9" s="195">
        <v>2307</v>
      </c>
      <c r="B9" s="210" t="s">
        <v>34</v>
      </c>
      <c r="C9" s="196" t="s">
        <v>574</v>
      </c>
      <c r="D9" s="210" t="s">
        <v>4528</v>
      </c>
      <c r="E9" s="197"/>
    </row>
    <row r="10" spans="1:5" ht="14.7" x14ac:dyDescent="0.35">
      <c r="A10" s="195">
        <v>2308</v>
      </c>
      <c r="B10" s="210" t="s">
        <v>597</v>
      </c>
      <c r="C10" s="196" t="s">
        <v>574</v>
      </c>
      <c r="D10" s="210" t="s">
        <v>4529</v>
      </c>
      <c r="E10" s="197"/>
    </row>
    <row r="11" spans="1:5" ht="14.7" x14ac:dyDescent="0.35">
      <c r="A11" s="195">
        <v>2309</v>
      </c>
      <c r="B11" s="210" t="s">
        <v>34</v>
      </c>
      <c r="C11" s="196" t="s">
        <v>574</v>
      </c>
      <c r="D11" s="210" t="s">
        <v>4529</v>
      </c>
      <c r="E11" s="197"/>
    </row>
    <row r="12" spans="1:5" ht="14.7" x14ac:dyDescent="0.35">
      <c r="A12" s="195">
        <v>2310</v>
      </c>
      <c r="B12" s="210" t="s">
        <v>34</v>
      </c>
      <c r="C12" s="196" t="s">
        <v>4695</v>
      </c>
      <c r="D12" s="210" t="s">
        <v>4696</v>
      </c>
      <c r="E12" s="197"/>
    </row>
    <row r="13" spans="1:5" ht="14.7" x14ac:dyDescent="0.35">
      <c r="A13" s="195">
        <v>2311</v>
      </c>
      <c r="B13" s="210" t="s">
        <v>249</v>
      </c>
      <c r="C13" s="196" t="s">
        <v>4695</v>
      </c>
      <c r="D13" s="210" t="s">
        <v>4696</v>
      </c>
      <c r="E13" s="197"/>
    </row>
    <row r="14" spans="1:5" ht="14.7" x14ac:dyDescent="0.35">
      <c r="A14" s="195">
        <v>2312</v>
      </c>
      <c r="B14" s="210" t="s">
        <v>11</v>
      </c>
      <c r="C14" s="196" t="s">
        <v>522</v>
      </c>
      <c r="D14" s="210" t="s">
        <v>4696</v>
      </c>
      <c r="E14" s="197"/>
    </row>
    <row r="15" spans="1:5" ht="14.7" x14ac:dyDescent="0.35">
      <c r="A15" s="195">
        <v>2313</v>
      </c>
      <c r="B15" s="210" t="s">
        <v>249</v>
      </c>
      <c r="C15" s="196" t="s">
        <v>522</v>
      </c>
      <c r="D15" s="210" t="s">
        <v>4696</v>
      </c>
      <c r="E15" s="197"/>
    </row>
    <row r="16" spans="1:5" ht="14.7" x14ac:dyDescent="0.35">
      <c r="A16" s="195">
        <v>2314</v>
      </c>
      <c r="B16" s="210" t="s">
        <v>597</v>
      </c>
      <c r="C16" s="196" t="s">
        <v>435</v>
      </c>
      <c r="D16" s="210" t="s">
        <v>4780</v>
      </c>
      <c r="E16" s="197"/>
    </row>
    <row r="17" spans="1:13" ht="14.7" x14ac:dyDescent="0.35">
      <c r="A17" s="195">
        <v>2315</v>
      </c>
      <c r="B17" s="210" t="s">
        <v>34</v>
      </c>
      <c r="C17" s="196" t="s">
        <v>428</v>
      </c>
      <c r="D17" s="210" t="s">
        <v>4913</v>
      </c>
      <c r="E17" s="197"/>
    </row>
    <row r="18" spans="1:13" ht="14.7" x14ac:dyDescent="0.35">
      <c r="A18" s="195">
        <v>2316</v>
      </c>
      <c r="B18" s="210" t="s">
        <v>249</v>
      </c>
      <c r="C18" s="196" t="s">
        <v>428</v>
      </c>
      <c r="D18" s="210" t="s">
        <v>4913</v>
      </c>
      <c r="E18" s="197"/>
    </row>
    <row r="19" spans="1:13" ht="14.7" x14ac:dyDescent="0.35">
      <c r="A19" s="195">
        <v>2317</v>
      </c>
      <c r="B19" s="210" t="s">
        <v>3781</v>
      </c>
      <c r="C19" s="196" t="s">
        <v>1691</v>
      </c>
      <c r="D19" s="210" t="s">
        <v>4799</v>
      </c>
      <c r="E19" s="197"/>
    </row>
    <row r="20" spans="1:13" ht="14.7" x14ac:dyDescent="0.35">
      <c r="A20" s="195">
        <v>2318</v>
      </c>
      <c r="B20" s="210" t="s">
        <v>1109</v>
      </c>
      <c r="C20" s="196" t="s">
        <v>654</v>
      </c>
      <c r="D20" s="210" t="s">
        <v>4914</v>
      </c>
      <c r="E20" s="197"/>
      <c r="G20" s="309"/>
      <c r="H20" s="309"/>
      <c r="I20" s="309"/>
      <c r="J20" s="309"/>
      <c r="K20" s="309"/>
      <c r="L20" s="309"/>
      <c r="M20" s="309"/>
    </row>
    <row r="21" spans="1:13" ht="14.7" x14ac:dyDescent="0.35">
      <c r="A21" s="195">
        <v>2319</v>
      </c>
      <c r="B21" s="210" t="s">
        <v>597</v>
      </c>
      <c r="C21" s="196" t="s">
        <v>1691</v>
      </c>
      <c r="D21" s="210" t="s">
        <v>4799</v>
      </c>
      <c r="E21" s="197"/>
      <c r="G21" s="309"/>
      <c r="H21" s="309"/>
      <c r="I21" s="309"/>
      <c r="J21" s="309"/>
      <c r="K21" s="309"/>
      <c r="L21" s="309"/>
      <c r="M21" s="309"/>
    </row>
    <row r="22" spans="1:13" ht="14.7" x14ac:dyDescent="0.35">
      <c r="A22" s="307">
        <v>2319</v>
      </c>
      <c r="B22" s="308" t="s">
        <v>34</v>
      </c>
      <c r="C22" s="308" t="s">
        <v>654</v>
      </c>
      <c r="D22" s="308" t="s">
        <v>654</v>
      </c>
      <c r="E22" s="197" t="s">
        <v>6992</v>
      </c>
      <c r="G22" s="310"/>
      <c r="H22" s="310"/>
      <c r="I22" s="310"/>
      <c r="J22" s="310"/>
      <c r="K22" s="309"/>
      <c r="L22" s="309"/>
      <c r="M22" s="309"/>
    </row>
    <row r="23" spans="1:13" ht="14.7" x14ac:dyDescent="0.35">
      <c r="A23" s="195">
        <v>2320</v>
      </c>
      <c r="B23" s="210" t="s">
        <v>34</v>
      </c>
      <c r="C23" s="196" t="s">
        <v>1691</v>
      </c>
      <c r="D23" s="210" t="s">
        <v>4799</v>
      </c>
      <c r="E23" s="197"/>
      <c r="G23" s="310"/>
      <c r="H23" s="310"/>
      <c r="I23" s="310"/>
      <c r="J23" s="310"/>
      <c r="K23" s="309"/>
      <c r="L23" s="309"/>
      <c r="M23" s="309"/>
    </row>
    <row r="24" spans="1:13" ht="14.7" x14ac:dyDescent="0.35">
      <c r="A24" s="307">
        <v>2320</v>
      </c>
      <c r="B24" s="308" t="s">
        <v>597</v>
      </c>
      <c r="C24" s="308" t="s">
        <v>654</v>
      </c>
      <c r="D24" s="308" t="s">
        <v>654</v>
      </c>
      <c r="E24" s="197" t="s">
        <v>6992</v>
      </c>
      <c r="G24" s="309"/>
      <c r="H24" s="309"/>
      <c r="I24" s="309"/>
      <c r="J24" s="309"/>
      <c r="K24" s="309"/>
      <c r="L24" s="309"/>
      <c r="M24" s="309"/>
    </row>
    <row r="25" spans="1:13" ht="14.7" x14ac:dyDescent="0.35">
      <c r="A25" s="195">
        <v>2321</v>
      </c>
      <c r="B25" s="210" t="s">
        <v>34</v>
      </c>
      <c r="C25" s="196" t="s">
        <v>428</v>
      </c>
      <c r="D25" s="210" t="s">
        <v>4978</v>
      </c>
      <c r="E25" s="197">
        <v>3716</v>
      </c>
    </row>
    <row r="26" spans="1:13" ht="14.7" x14ac:dyDescent="0.35">
      <c r="A26" s="307">
        <v>2321</v>
      </c>
      <c r="B26" s="308" t="s">
        <v>11</v>
      </c>
      <c r="C26" s="308" t="s">
        <v>654</v>
      </c>
      <c r="D26" s="308" t="s">
        <v>654</v>
      </c>
      <c r="E26" s="197" t="s">
        <v>6992</v>
      </c>
    </row>
    <row r="27" spans="1:13" ht="14.7" x14ac:dyDescent="0.35">
      <c r="A27" s="195">
        <v>2322</v>
      </c>
      <c r="B27" s="210" t="s">
        <v>249</v>
      </c>
      <c r="C27" s="196" t="s">
        <v>428</v>
      </c>
      <c r="D27" s="210" t="s">
        <v>4978</v>
      </c>
      <c r="E27" s="197">
        <v>3728</v>
      </c>
    </row>
    <row r="28" spans="1:13" ht="14.7" x14ac:dyDescent="0.35">
      <c r="A28" s="307">
        <v>2322</v>
      </c>
      <c r="B28" s="308" t="s">
        <v>6092</v>
      </c>
      <c r="C28" s="308" t="s">
        <v>654</v>
      </c>
      <c r="D28" s="308" t="s">
        <v>654</v>
      </c>
      <c r="E28" s="197" t="s">
        <v>6992</v>
      </c>
      <c r="M28" s="306"/>
    </row>
    <row r="29" spans="1:13" ht="14.7" x14ac:dyDescent="0.35">
      <c r="A29" s="195">
        <v>2323</v>
      </c>
      <c r="B29" s="210" t="s">
        <v>3781</v>
      </c>
      <c r="C29" s="196" t="s">
        <v>428</v>
      </c>
      <c r="D29" s="210" t="s">
        <v>4978</v>
      </c>
      <c r="E29" s="197">
        <v>2325</v>
      </c>
    </row>
    <row r="30" spans="1:13" ht="14.7" x14ac:dyDescent="0.35">
      <c r="A30" s="195">
        <v>2324</v>
      </c>
      <c r="B30" s="210" t="s">
        <v>597</v>
      </c>
      <c r="C30" s="196" t="s">
        <v>654</v>
      </c>
      <c r="D30" s="210" t="s">
        <v>4989</v>
      </c>
      <c r="E30" s="197"/>
    </row>
    <row r="31" spans="1:13" ht="14.7" x14ac:dyDescent="0.35">
      <c r="A31" s="195">
        <v>2325</v>
      </c>
      <c r="B31" s="210" t="s">
        <v>34</v>
      </c>
      <c r="C31" s="196" t="s">
        <v>654</v>
      </c>
      <c r="D31" s="210" t="s">
        <v>4989</v>
      </c>
      <c r="E31" s="197"/>
    </row>
    <row r="32" spans="1:13" ht="14.7" x14ac:dyDescent="0.35">
      <c r="A32" s="195">
        <v>2326</v>
      </c>
      <c r="B32" s="210" t="s">
        <v>11</v>
      </c>
      <c r="C32" s="196" t="s">
        <v>654</v>
      </c>
      <c r="D32" s="210" t="s">
        <v>4989</v>
      </c>
      <c r="E32" s="197"/>
    </row>
    <row r="33" spans="1:5" ht="14.7" x14ac:dyDescent="0.35">
      <c r="A33" s="195">
        <v>2327</v>
      </c>
      <c r="B33" s="210" t="s">
        <v>34</v>
      </c>
      <c r="C33" s="196" t="s">
        <v>428</v>
      </c>
      <c r="D33" s="210" t="s">
        <v>4795</v>
      </c>
      <c r="E33" s="197"/>
    </row>
    <row r="34" spans="1:5" x14ac:dyDescent="0.3">
      <c r="A34" s="195">
        <v>2328</v>
      </c>
      <c r="B34" s="210" t="s">
        <v>249</v>
      </c>
      <c r="C34" s="196" t="s">
        <v>428</v>
      </c>
      <c r="D34" s="210" t="s">
        <v>4795</v>
      </c>
      <c r="E34" s="197"/>
    </row>
    <row r="35" spans="1:5" ht="15" thickBot="1" x14ac:dyDescent="0.35">
      <c r="A35" s="268">
        <v>2329</v>
      </c>
      <c r="B35" s="269" t="s">
        <v>597</v>
      </c>
      <c r="C35" s="261" t="s">
        <v>1417</v>
      </c>
      <c r="D35" s="269" t="s">
        <v>5092</v>
      </c>
      <c r="E35" s="270">
        <v>2320</v>
      </c>
    </row>
    <row r="36" spans="1:5" x14ac:dyDescent="0.3">
      <c r="A36" s="271">
        <v>2330</v>
      </c>
      <c r="B36" s="272" t="s">
        <v>249</v>
      </c>
      <c r="C36" s="273" t="s">
        <v>1417</v>
      </c>
      <c r="D36" s="272" t="s">
        <v>5092</v>
      </c>
      <c r="E36" s="274">
        <v>2360</v>
      </c>
    </row>
    <row r="37" spans="1:5" x14ac:dyDescent="0.3">
      <c r="A37" s="195">
        <v>2331</v>
      </c>
      <c r="B37" s="210" t="s">
        <v>34</v>
      </c>
      <c r="C37" s="196" t="s">
        <v>654</v>
      </c>
      <c r="D37" s="210" t="s">
        <v>5150</v>
      </c>
      <c r="E37" s="197"/>
    </row>
    <row r="38" spans="1:5" x14ac:dyDescent="0.3">
      <c r="A38" s="195">
        <v>2332</v>
      </c>
      <c r="B38" s="210" t="s">
        <v>11</v>
      </c>
      <c r="C38" s="196" t="s">
        <v>574</v>
      </c>
      <c r="D38" s="210" t="s">
        <v>5177</v>
      </c>
      <c r="E38" s="197"/>
    </row>
    <row r="39" spans="1:5" x14ac:dyDescent="0.3">
      <c r="A39" s="195">
        <v>2333</v>
      </c>
      <c r="B39" s="210" t="s">
        <v>249</v>
      </c>
      <c r="C39" s="196" t="s">
        <v>574</v>
      </c>
      <c r="D39" s="210" t="s">
        <v>5177</v>
      </c>
      <c r="E39" s="197"/>
    </row>
    <row r="40" spans="1:5" x14ac:dyDescent="0.3">
      <c r="A40" s="195">
        <v>2334</v>
      </c>
      <c r="B40" s="210" t="s">
        <v>597</v>
      </c>
      <c r="C40" s="196" t="s">
        <v>1691</v>
      </c>
      <c r="D40" s="210" t="s">
        <v>5177</v>
      </c>
      <c r="E40" s="197"/>
    </row>
    <row r="41" spans="1:5" x14ac:dyDescent="0.3">
      <c r="A41" s="195">
        <v>2335</v>
      </c>
      <c r="B41" s="210" t="s">
        <v>34</v>
      </c>
      <c r="C41" s="196" t="s">
        <v>1691</v>
      </c>
      <c r="D41" s="210" t="s">
        <v>5177</v>
      </c>
      <c r="E41" s="197"/>
    </row>
    <row r="42" spans="1:5" x14ac:dyDescent="0.3">
      <c r="A42" s="195">
        <v>2336</v>
      </c>
      <c r="B42" s="210" t="s">
        <v>1134</v>
      </c>
      <c r="C42" s="196" t="s">
        <v>428</v>
      </c>
      <c r="D42" s="210" t="s">
        <v>5178</v>
      </c>
      <c r="E42" s="197"/>
    </row>
    <row r="43" spans="1:5" x14ac:dyDescent="0.3">
      <c r="A43" s="195">
        <v>2337</v>
      </c>
      <c r="B43" s="210" t="s">
        <v>597</v>
      </c>
      <c r="C43" s="196" t="s">
        <v>433</v>
      </c>
      <c r="D43" s="210" t="s">
        <v>5178</v>
      </c>
      <c r="E43" s="197"/>
    </row>
    <row r="44" spans="1:5" x14ac:dyDescent="0.3">
      <c r="A44" s="195">
        <v>2338</v>
      </c>
      <c r="B44" s="210" t="s">
        <v>11</v>
      </c>
      <c r="C44" s="196" t="s">
        <v>433</v>
      </c>
      <c r="D44" s="210" t="s">
        <v>5179</v>
      </c>
      <c r="E44" s="197"/>
    </row>
    <row r="45" spans="1:5" x14ac:dyDescent="0.3">
      <c r="A45" s="195">
        <v>2339</v>
      </c>
      <c r="B45" s="210" t="s">
        <v>34</v>
      </c>
      <c r="C45" s="196" t="s">
        <v>433</v>
      </c>
      <c r="D45" s="210" t="s">
        <v>5178</v>
      </c>
      <c r="E45" s="197"/>
    </row>
    <row r="46" spans="1:5" x14ac:dyDescent="0.3">
      <c r="A46" s="195">
        <v>2340</v>
      </c>
      <c r="B46" s="196" t="s">
        <v>6092</v>
      </c>
      <c r="C46" s="196" t="s">
        <v>433</v>
      </c>
      <c r="D46" s="210" t="s">
        <v>5179</v>
      </c>
      <c r="E46" s="197"/>
    </row>
    <row r="47" spans="1:5" x14ac:dyDescent="0.3">
      <c r="A47" s="195">
        <v>2341</v>
      </c>
      <c r="B47" s="196" t="s">
        <v>5180</v>
      </c>
      <c r="C47" s="196" t="s">
        <v>428</v>
      </c>
      <c r="D47" s="210" t="s">
        <v>5177</v>
      </c>
      <c r="E47" s="197"/>
    </row>
    <row r="48" spans="1:5" x14ac:dyDescent="0.3">
      <c r="A48" s="195">
        <v>2342</v>
      </c>
      <c r="B48" s="210" t="s">
        <v>5181</v>
      </c>
      <c r="C48" s="196" t="s">
        <v>428</v>
      </c>
      <c r="D48" s="210" t="s">
        <v>5177</v>
      </c>
      <c r="E48" s="197"/>
    </row>
    <row r="49" spans="1:5" x14ac:dyDescent="0.3">
      <c r="A49" s="195">
        <v>2343</v>
      </c>
      <c r="B49" s="196" t="s">
        <v>5182</v>
      </c>
      <c r="C49" s="196" t="s">
        <v>428</v>
      </c>
      <c r="D49" s="210" t="s">
        <v>5177</v>
      </c>
      <c r="E49" s="197"/>
    </row>
    <row r="50" spans="1:5" x14ac:dyDescent="0.3">
      <c r="A50" s="195">
        <v>2344</v>
      </c>
      <c r="B50" s="196" t="s">
        <v>597</v>
      </c>
      <c r="C50" s="196" t="s">
        <v>1417</v>
      </c>
      <c r="D50" s="210" t="s">
        <v>5199</v>
      </c>
      <c r="E50" s="197"/>
    </row>
    <row r="51" spans="1:5" x14ac:dyDescent="0.3">
      <c r="A51" s="195">
        <v>2345</v>
      </c>
      <c r="B51" s="196" t="s">
        <v>34</v>
      </c>
      <c r="C51" s="196" t="s">
        <v>1417</v>
      </c>
      <c r="D51" s="210" t="s">
        <v>5199</v>
      </c>
      <c r="E51" s="197"/>
    </row>
    <row r="52" spans="1:5" x14ac:dyDescent="0.3">
      <c r="A52" s="195">
        <v>2346</v>
      </c>
      <c r="B52" s="196" t="s">
        <v>3781</v>
      </c>
      <c r="C52" s="196" t="s">
        <v>1417</v>
      </c>
      <c r="D52" s="210" t="s">
        <v>5199</v>
      </c>
      <c r="E52" s="197"/>
    </row>
    <row r="53" spans="1:5" x14ac:dyDescent="0.3">
      <c r="A53" s="195">
        <v>2347</v>
      </c>
      <c r="B53" s="196" t="s">
        <v>597</v>
      </c>
      <c r="C53" s="196" t="s">
        <v>1417</v>
      </c>
      <c r="D53" s="210" t="s">
        <v>5200</v>
      </c>
      <c r="E53" s="197"/>
    </row>
    <row r="54" spans="1:5" x14ac:dyDescent="0.3">
      <c r="A54" s="195">
        <v>2348</v>
      </c>
      <c r="B54" s="196" t="s">
        <v>34</v>
      </c>
      <c r="C54" s="196" t="s">
        <v>1417</v>
      </c>
      <c r="D54" s="210" t="s">
        <v>5200</v>
      </c>
      <c r="E54" s="197"/>
    </row>
    <row r="55" spans="1:5" x14ac:dyDescent="0.3">
      <c r="A55" s="195">
        <v>2349</v>
      </c>
      <c r="B55" s="210" t="s">
        <v>34</v>
      </c>
      <c r="C55" s="196" t="s">
        <v>436</v>
      </c>
      <c r="D55" s="210" t="s">
        <v>7223</v>
      </c>
      <c r="E55" s="197"/>
    </row>
    <row r="56" spans="1:5" x14ac:dyDescent="0.3">
      <c r="A56" s="195">
        <v>2350</v>
      </c>
      <c r="B56" s="210" t="s">
        <v>249</v>
      </c>
      <c r="C56" s="196" t="s">
        <v>436</v>
      </c>
      <c r="D56" s="210" t="s">
        <v>7223</v>
      </c>
      <c r="E56" s="197"/>
    </row>
    <row r="57" spans="1:5" x14ac:dyDescent="0.3">
      <c r="A57" s="195">
        <v>2351</v>
      </c>
      <c r="B57" s="196" t="s">
        <v>597</v>
      </c>
      <c r="C57" s="196" t="s">
        <v>440</v>
      </c>
      <c r="D57" s="210" t="s">
        <v>5405</v>
      </c>
      <c r="E57" s="253"/>
    </row>
    <row r="58" spans="1:5" x14ac:dyDescent="0.3">
      <c r="A58" s="195">
        <v>2352</v>
      </c>
      <c r="B58" s="196" t="s">
        <v>34</v>
      </c>
      <c r="C58" s="196" t="s">
        <v>440</v>
      </c>
      <c r="D58" s="210" t="s">
        <v>5405</v>
      </c>
      <c r="E58" s="253"/>
    </row>
    <row r="59" spans="1:5" x14ac:dyDescent="0.3">
      <c r="A59" s="195">
        <v>2353</v>
      </c>
      <c r="B59" s="196" t="s">
        <v>3781</v>
      </c>
      <c r="C59" s="196" t="s">
        <v>440</v>
      </c>
      <c r="D59" s="210" t="s">
        <v>5405</v>
      </c>
      <c r="E59" s="253"/>
    </row>
    <row r="60" spans="1:5" x14ac:dyDescent="0.3">
      <c r="A60" s="195">
        <v>2354</v>
      </c>
      <c r="B60" s="196" t="s">
        <v>597</v>
      </c>
      <c r="C60" s="196" t="s">
        <v>440</v>
      </c>
      <c r="D60" s="210" t="s">
        <v>5406</v>
      </c>
      <c r="E60" s="197"/>
    </row>
    <row r="61" spans="1:5" x14ac:dyDescent="0.3">
      <c r="A61" s="195">
        <v>2355</v>
      </c>
      <c r="B61" s="196" t="s">
        <v>34</v>
      </c>
      <c r="C61" s="196" t="s">
        <v>440</v>
      </c>
      <c r="D61" s="210" t="s">
        <v>5406</v>
      </c>
      <c r="E61" s="197"/>
    </row>
    <row r="62" spans="1:5" x14ac:dyDescent="0.3">
      <c r="A62" s="195">
        <v>2356</v>
      </c>
      <c r="B62" s="196" t="s">
        <v>3781</v>
      </c>
      <c r="C62" s="196" t="s">
        <v>440</v>
      </c>
      <c r="D62" s="210" t="s">
        <v>5406</v>
      </c>
      <c r="E62" s="197"/>
    </row>
    <row r="63" spans="1:5" x14ac:dyDescent="0.3">
      <c r="A63" s="195">
        <v>2357</v>
      </c>
      <c r="B63" s="196" t="s">
        <v>34</v>
      </c>
      <c r="C63" s="196" t="s">
        <v>428</v>
      </c>
      <c r="D63" s="210" t="s">
        <v>5409</v>
      </c>
      <c r="E63" s="197"/>
    </row>
    <row r="64" spans="1:5" x14ac:dyDescent="0.3">
      <c r="A64" s="195">
        <v>2358</v>
      </c>
      <c r="B64" s="196" t="s">
        <v>249</v>
      </c>
      <c r="C64" s="196" t="s">
        <v>428</v>
      </c>
      <c r="D64" s="210" t="s">
        <v>5409</v>
      </c>
      <c r="E64" s="197"/>
    </row>
    <row r="65" spans="1:5" x14ac:dyDescent="0.3">
      <c r="A65" s="195">
        <v>2359</v>
      </c>
      <c r="B65" s="196" t="s">
        <v>34</v>
      </c>
      <c r="C65" s="196" t="s">
        <v>1458</v>
      </c>
      <c r="D65" s="196" t="s">
        <v>5438</v>
      </c>
      <c r="E65" s="197"/>
    </row>
    <row r="66" spans="1:5" x14ac:dyDescent="0.3">
      <c r="A66" s="195">
        <v>2360</v>
      </c>
      <c r="B66" s="196" t="s">
        <v>249</v>
      </c>
      <c r="C66" s="196" t="s">
        <v>1458</v>
      </c>
      <c r="D66" s="196" t="s">
        <v>5438</v>
      </c>
      <c r="E66" s="197"/>
    </row>
    <row r="67" spans="1:5" x14ac:dyDescent="0.3">
      <c r="A67" s="195">
        <v>2361</v>
      </c>
      <c r="B67" s="196" t="s">
        <v>11</v>
      </c>
      <c r="C67" s="196" t="s">
        <v>428</v>
      </c>
      <c r="D67" s="196" t="s">
        <v>5438</v>
      </c>
      <c r="E67" s="197"/>
    </row>
    <row r="68" spans="1:5" x14ac:dyDescent="0.3">
      <c r="A68" s="195">
        <v>2362</v>
      </c>
      <c r="B68" s="196" t="s">
        <v>3781</v>
      </c>
      <c r="C68" s="196" t="s">
        <v>1458</v>
      </c>
      <c r="D68" s="196" t="s">
        <v>5438</v>
      </c>
      <c r="E68" s="197"/>
    </row>
    <row r="69" spans="1:5" x14ac:dyDescent="0.3">
      <c r="A69" s="195">
        <v>2363</v>
      </c>
      <c r="B69" s="196" t="s">
        <v>597</v>
      </c>
      <c r="C69" s="196" t="s">
        <v>1417</v>
      </c>
      <c r="D69" s="196" t="s">
        <v>5648</v>
      </c>
      <c r="E69" s="197"/>
    </row>
    <row r="70" spans="1:5" x14ac:dyDescent="0.3">
      <c r="A70" s="195">
        <v>2364</v>
      </c>
      <c r="B70" s="196" t="s">
        <v>34</v>
      </c>
      <c r="C70" s="196" t="s">
        <v>1417</v>
      </c>
      <c r="D70" s="196" t="s">
        <v>5648</v>
      </c>
      <c r="E70" s="197"/>
    </row>
    <row r="71" spans="1:5" x14ac:dyDescent="0.3">
      <c r="A71" s="268">
        <v>2365</v>
      </c>
      <c r="B71" s="261" t="s">
        <v>3781</v>
      </c>
      <c r="C71" s="261" t="s">
        <v>1417</v>
      </c>
      <c r="D71" s="261" t="s">
        <v>5648</v>
      </c>
      <c r="E71" s="197"/>
    </row>
    <row r="72" spans="1:5" x14ac:dyDescent="0.3">
      <c r="A72" s="195">
        <v>2366</v>
      </c>
      <c r="B72" s="196" t="s">
        <v>249</v>
      </c>
      <c r="C72" s="196" t="s">
        <v>433</v>
      </c>
      <c r="D72" s="196" t="s">
        <v>5179</v>
      </c>
      <c r="E72" s="197"/>
    </row>
    <row r="73" spans="1:5" x14ac:dyDescent="0.3">
      <c r="A73" s="195">
        <v>2367</v>
      </c>
      <c r="B73" s="196" t="s">
        <v>1134</v>
      </c>
      <c r="C73" s="196" t="s">
        <v>428</v>
      </c>
      <c r="D73" s="196" t="s">
        <v>5179</v>
      </c>
      <c r="E73" s="197"/>
    </row>
    <row r="74" spans="1:5" x14ac:dyDescent="0.3">
      <c r="A74" s="195">
        <v>2368</v>
      </c>
      <c r="B74" s="196" t="s">
        <v>597</v>
      </c>
      <c r="C74" s="196" t="s">
        <v>428</v>
      </c>
      <c r="D74" s="196" t="s">
        <v>5409</v>
      </c>
      <c r="E74" s="197"/>
    </row>
    <row r="75" spans="1:5" x14ac:dyDescent="0.3">
      <c r="A75" s="195">
        <v>2369</v>
      </c>
      <c r="B75" s="210" t="s">
        <v>4510</v>
      </c>
      <c r="C75" s="196" t="s">
        <v>522</v>
      </c>
      <c r="D75" s="210" t="s">
        <v>428</v>
      </c>
      <c r="E75" s="197"/>
    </row>
    <row r="76" spans="1:5" x14ac:dyDescent="0.3">
      <c r="A76" s="195">
        <v>2370</v>
      </c>
      <c r="B76" s="210" t="s">
        <v>4510</v>
      </c>
      <c r="C76" s="196" t="s">
        <v>654</v>
      </c>
      <c r="D76" s="210" t="s">
        <v>428</v>
      </c>
      <c r="E76" s="197"/>
    </row>
    <row r="77" spans="1:5" x14ac:dyDescent="0.3">
      <c r="A77" s="195">
        <v>2371</v>
      </c>
      <c r="B77" s="196" t="s">
        <v>597</v>
      </c>
      <c r="C77" s="196" t="s">
        <v>654</v>
      </c>
      <c r="D77" s="210" t="s">
        <v>6141</v>
      </c>
      <c r="E77" s="197"/>
    </row>
    <row r="78" spans="1:5" x14ac:dyDescent="0.3">
      <c r="A78" s="195">
        <v>2372</v>
      </c>
      <c r="B78" s="196" t="s">
        <v>34</v>
      </c>
      <c r="C78" s="196" t="s">
        <v>654</v>
      </c>
      <c r="D78" s="210" t="s">
        <v>6141</v>
      </c>
      <c r="E78" s="197"/>
    </row>
    <row r="79" spans="1:5" x14ac:dyDescent="0.3">
      <c r="A79" s="195">
        <v>2373</v>
      </c>
      <c r="B79" s="196" t="s">
        <v>249</v>
      </c>
      <c r="C79" s="196" t="s">
        <v>428</v>
      </c>
      <c r="D79" s="196" t="s">
        <v>5438</v>
      </c>
      <c r="E79" s="197"/>
    </row>
    <row r="80" spans="1:5" x14ac:dyDescent="0.3">
      <c r="A80" s="195">
        <v>2374</v>
      </c>
      <c r="B80" s="210" t="s">
        <v>6223</v>
      </c>
      <c r="C80" s="196" t="s">
        <v>654</v>
      </c>
      <c r="D80" s="210" t="s">
        <v>4914</v>
      </c>
      <c r="E80" s="197"/>
    </row>
    <row r="81" spans="1:5" x14ac:dyDescent="0.3">
      <c r="A81" s="210">
        <v>2375</v>
      </c>
      <c r="B81" s="210" t="s">
        <v>34</v>
      </c>
      <c r="C81" s="210" t="s">
        <v>574</v>
      </c>
      <c r="D81" s="210" t="s">
        <v>6226</v>
      </c>
      <c r="E81" s="197"/>
    </row>
    <row r="82" spans="1:5" x14ac:dyDescent="0.3">
      <c r="A82" s="210" t="s">
        <v>7359</v>
      </c>
      <c r="B82" s="210" t="s">
        <v>597</v>
      </c>
      <c r="C82" s="210" t="s">
        <v>654</v>
      </c>
      <c r="D82" s="210" t="s">
        <v>5485</v>
      </c>
      <c r="E82" s="197"/>
    </row>
    <row r="83" spans="1:5" x14ac:dyDescent="0.3">
      <c r="A83" s="210">
        <v>2377</v>
      </c>
      <c r="B83" s="210" t="s">
        <v>34</v>
      </c>
      <c r="C83" s="210" t="s">
        <v>654</v>
      </c>
      <c r="D83" s="210" t="s">
        <v>5485</v>
      </c>
      <c r="E83" s="197"/>
    </row>
    <row r="84" spans="1:5" x14ac:dyDescent="0.3">
      <c r="A84" s="210">
        <v>2378</v>
      </c>
      <c r="B84" s="210" t="s">
        <v>11</v>
      </c>
      <c r="C84" s="210" t="s">
        <v>654</v>
      </c>
      <c r="D84" s="210" t="s">
        <v>5485</v>
      </c>
      <c r="E84" s="197"/>
    </row>
    <row r="85" spans="1:5" x14ac:dyDescent="0.3">
      <c r="A85" s="210">
        <v>2379</v>
      </c>
      <c r="B85" s="210" t="s">
        <v>6092</v>
      </c>
      <c r="C85" s="210" t="s">
        <v>654</v>
      </c>
      <c r="D85" s="210" t="s">
        <v>5485</v>
      </c>
      <c r="E85" s="197"/>
    </row>
    <row r="86" spans="1:5" x14ac:dyDescent="0.3">
      <c r="A86" s="210">
        <v>2380</v>
      </c>
      <c r="B86" s="210" t="s">
        <v>597</v>
      </c>
      <c r="C86" s="210" t="s">
        <v>654</v>
      </c>
      <c r="D86" s="210" t="s">
        <v>7321</v>
      </c>
      <c r="E86" s="197"/>
    </row>
    <row r="87" spans="1:5" x14ac:dyDescent="0.3">
      <c r="A87" s="210">
        <v>2381</v>
      </c>
      <c r="B87" s="210" t="s">
        <v>597</v>
      </c>
      <c r="C87" s="210" t="s">
        <v>429</v>
      </c>
      <c r="D87" s="210" t="s">
        <v>5617</v>
      </c>
      <c r="E87" s="197"/>
    </row>
    <row r="88" spans="1:5" x14ac:dyDescent="0.3">
      <c r="A88" s="210">
        <v>2382</v>
      </c>
      <c r="B88" s="210" t="s">
        <v>6364</v>
      </c>
      <c r="C88" s="210" t="s">
        <v>429</v>
      </c>
      <c r="D88" s="210" t="s">
        <v>6430</v>
      </c>
      <c r="E88" s="197"/>
    </row>
    <row r="89" spans="1:5" x14ac:dyDescent="0.3">
      <c r="A89" s="210">
        <v>2383</v>
      </c>
      <c r="B89" s="210" t="s">
        <v>6365</v>
      </c>
      <c r="C89" s="210" t="s">
        <v>429</v>
      </c>
      <c r="D89" s="210" t="s">
        <v>6430</v>
      </c>
      <c r="E89" s="197"/>
    </row>
    <row r="90" spans="1:5" x14ac:dyDescent="0.3">
      <c r="A90" s="210">
        <v>2384</v>
      </c>
      <c r="B90" s="210" t="s">
        <v>34</v>
      </c>
      <c r="C90" s="210" t="s">
        <v>435</v>
      </c>
      <c r="D90" s="210" t="s">
        <v>6453</v>
      </c>
      <c r="E90" s="197"/>
    </row>
    <row r="91" spans="1:5" x14ac:dyDescent="0.3">
      <c r="A91" s="196">
        <v>2385</v>
      </c>
      <c r="B91" s="196" t="s">
        <v>3781</v>
      </c>
      <c r="C91" s="196" t="s">
        <v>1417</v>
      </c>
      <c r="D91" s="196" t="s">
        <v>5092</v>
      </c>
      <c r="E91" s="197"/>
    </row>
    <row r="92" spans="1:5" x14ac:dyDescent="0.3">
      <c r="A92" s="196">
        <v>2386</v>
      </c>
      <c r="B92" s="196" t="s">
        <v>34</v>
      </c>
      <c r="C92" s="196" t="s">
        <v>1417</v>
      </c>
      <c r="D92" s="196" t="s">
        <v>5092</v>
      </c>
      <c r="E92" s="197"/>
    </row>
    <row r="93" spans="1:5" x14ac:dyDescent="0.3">
      <c r="A93" s="196">
        <v>2387</v>
      </c>
      <c r="B93" s="196" t="s">
        <v>34</v>
      </c>
      <c r="C93" s="196" t="s">
        <v>1417</v>
      </c>
      <c r="D93" s="196" t="s">
        <v>5727</v>
      </c>
      <c r="E93" s="197"/>
    </row>
    <row r="94" spans="1:5" x14ac:dyDescent="0.3">
      <c r="A94" s="196">
        <v>2388</v>
      </c>
      <c r="B94" s="196" t="s">
        <v>3781</v>
      </c>
      <c r="C94" s="196" t="s">
        <v>1417</v>
      </c>
      <c r="D94" s="196" t="s">
        <v>5727</v>
      </c>
      <c r="E94" s="197"/>
    </row>
    <row r="95" spans="1:5" x14ac:dyDescent="0.3">
      <c r="A95" s="196">
        <v>2389</v>
      </c>
      <c r="B95" s="196" t="s">
        <v>597</v>
      </c>
      <c r="C95" s="196" t="s">
        <v>1417</v>
      </c>
      <c r="D95" s="196" t="s">
        <v>5727</v>
      </c>
      <c r="E95" s="197"/>
    </row>
    <row r="96" spans="1:5" x14ac:dyDescent="0.3">
      <c r="A96" s="196">
        <v>2390</v>
      </c>
      <c r="B96" s="196" t="s">
        <v>597</v>
      </c>
      <c r="C96" s="196" t="s">
        <v>429</v>
      </c>
      <c r="D96" s="196" t="s">
        <v>5594</v>
      </c>
      <c r="E96" s="197"/>
    </row>
    <row r="97" spans="1:5" x14ac:dyDescent="0.3">
      <c r="A97" s="196">
        <v>2391</v>
      </c>
      <c r="B97" s="196" t="s">
        <v>597</v>
      </c>
      <c r="C97" s="196" t="s">
        <v>429</v>
      </c>
      <c r="D97" s="196" t="s">
        <v>5494</v>
      </c>
      <c r="E97" s="197"/>
    </row>
    <row r="98" spans="1:5" x14ac:dyDescent="0.3">
      <c r="A98" s="196">
        <v>2392</v>
      </c>
      <c r="B98" s="315" t="s">
        <v>34</v>
      </c>
      <c r="C98" s="314" t="s">
        <v>654</v>
      </c>
      <c r="D98" s="314" t="s">
        <v>7321</v>
      </c>
      <c r="E98" s="197"/>
    </row>
    <row r="99" spans="1:5" x14ac:dyDescent="0.3">
      <c r="A99" s="196">
        <v>2393</v>
      </c>
      <c r="B99" s="196" t="s">
        <v>249</v>
      </c>
      <c r="C99" s="196" t="s">
        <v>654</v>
      </c>
      <c r="D99" s="196" t="s">
        <v>4989</v>
      </c>
      <c r="E99" s="197"/>
    </row>
    <row r="100" spans="1:5" x14ac:dyDescent="0.3">
      <c r="A100" s="196">
        <v>2394</v>
      </c>
      <c r="B100" s="196" t="s">
        <v>11</v>
      </c>
      <c r="C100" s="196" t="s">
        <v>433</v>
      </c>
      <c r="D100" s="196" t="s">
        <v>6737</v>
      </c>
      <c r="E100" s="197"/>
    </row>
    <row r="101" spans="1:5" x14ac:dyDescent="0.3">
      <c r="A101" s="196">
        <v>2395</v>
      </c>
      <c r="B101" s="196" t="s">
        <v>34</v>
      </c>
      <c r="C101" s="196" t="s">
        <v>433</v>
      </c>
      <c r="D101" s="196" t="s">
        <v>6737</v>
      </c>
      <c r="E101" s="197"/>
    </row>
    <row r="102" spans="1:5" x14ac:dyDescent="0.3">
      <c r="A102" s="196">
        <v>2396</v>
      </c>
      <c r="B102" s="196" t="s">
        <v>249</v>
      </c>
      <c r="C102" s="196" t="s">
        <v>433</v>
      </c>
      <c r="D102" s="196" t="s">
        <v>6737</v>
      </c>
      <c r="E102" s="197"/>
    </row>
    <row r="103" spans="1:5" x14ac:dyDescent="0.3">
      <c r="A103" s="196">
        <v>2397</v>
      </c>
      <c r="B103" s="196" t="s">
        <v>6092</v>
      </c>
      <c r="C103" s="196" t="s">
        <v>433</v>
      </c>
      <c r="D103" s="196" t="s">
        <v>6737</v>
      </c>
      <c r="E103" s="197"/>
    </row>
    <row r="104" spans="1:5" x14ac:dyDescent="0.3">
      <c r="A104" s="196">
        <v>2398</v>
      </c>
      <c r="B104" s="196" t="s">
        <v>1018</v>
      </c>
      <c r="C104" s="196" t="s">
        <v>428</v>
      </c>
      <c r="D104" s="196" t="s">
        <v>436</v>
      </c>
      <c r="E104" s="197" t="s">
        <v>6756</v>
      </c>
    </row>
    <row r="105" spans="1:5" x14ac:dyDescent="0.3">
      <c r="A105" s="196">
        <v>2399</v>
      </c>
      <c r="B105" s="196" t="s">
        <v>597</v>
      </c>
      <c r="C105" s="196" t="s">
        <v>1417</v>
      </c>
      <c r="D105" s="196" t="s">
        <v>5706</v>
      </c>
      <c r="E105" s="197"/>
    </row>
    <row r="106" spans="1:5" x14ac:dyDescent="0.3">
      <c r="A106" s="196">
        <v>2400</v>
      </c>
      <c r="B106" s="196" t="s">
        <v>1134</v>
      </c>
      <c r="C106" s="196" t="s">
        <v>428</v>
      </c>
      <c r="D106" s="196" t="s">
        <v>436</v>
      </c>
      <c r="E106" s="197" t="s">
        <v>6756</v>
      </c>
    </row>
    <row r="107" spans="1:5" x14ac:dyDescent="0.3">
      <c r="A107" s="196">
        <v>2401</v>
      </c>
      <c r="B107" s="196" t="s">
        <v>34</v>
      </c>
      <c r="C107" s="196" t="s">
        <v>436</v>
      </c>
      <c r="D107" s="196" t="s">
        <v>6986</v>
      </c>
      <c r="E107" s="197"/>
    </row>
    <row r="108" spans="1:5" x14ac:dyDescent="0.3">
      <c r="A108" s="196">
        <v>2402</v>
      </c>
      <c r="B108" s="196" t="s">
        <v>249</v>
      </c>
      <c r="C108" s="196" t="s">
        <v>436</v>
      </c>
      <c r="D108" s="196" t="s">
        <v>6986</v>
      </c>
      <c r="E108" s="197"/>
    </row>
    <row r="109" spans="1:5" x14ac:dyDescent="0.3">
      <c r="A109" s="196">
        <v>2403</v>
      </c>
      <c r="B109" s="196" t="s">
        <v>11</v>
      </c>
      <c r="C109" s="314" t="s">
        <v>654</v>
      </c>
      <c r="D109" s="314" t="s">
        <v>7321</v>
      </c>
      <c r="E109" s="197"/>
    </row>
    <row r="110" spans="1:5" x14ac:dyDescent="0.3">
      <c r="A110" s="196">
        <v>2404</v>
      </c>
      <c r="B110" s="196" t="s">
        <v>6092</v>
      </c>
      <c r="C110" s="314" t="s">
        <v>654</v>
      </c>
      <c r="D110" s="314" t="s">
        <v>7321</v>
      </c>
      <c r="E110" s="197"/>
    </row>
    <row r="111" spans="1:5" x14ac:dyDescent="0.3">
      <c r="A111" s="196">
        <v>2405</v>
      </c>
      <c r="B111" s="196" t="s">
        <v>597</v>
      </c>
      <c r="C111" s="314" t="s">
        <v>654</v>
      </c>
      <c r="D111" s="314" t="s">
        <v>7322</v>
      </c>
      <c r="E111" s="197"/>
    </row>
    <row r="112" spans="1:5" x14ac:dyDescent="0.3">
      <c r="A112" s="196">
        <v>2406</v>
      </c>
      <c r="B112" s="196" t="s">
        <v>34</v>
      </c>
      <c r="C112" s="196" t="s">
        <v>654</v>
      </c>
      <c r="D112" s="196" t="s">
        <v>7322</v>
      </c>
      <c r="E112" s="197"/>
    </row>
    <row r="113" spans="1:5" x14ac:dyDescent="0.3">
      <c r="A113" s="196">
        <v>2407</v>
      </c>
      <c r="B113" s="196" t="s">
        <v>11</v>
      </c>
      <c r="C113" s="196" t="s">
        <v>654</v>
      </c>
      <c r="D113" s="196" t="s">
        <v>7322</v>
      </c>
      <c r="E113" s="197"/>
    </row>
    <row r="114" spans="1:5" x14ac:dyDescent="0.3">
      <c r="A114" s="196">
        <v>2408</v>
      </c>
      <c r="B114" s="196" t="s">
        <v>6092</v>
      </c>
      <c r="C114" s="196" t="s">
        <v>654</v>
      </c>
      <c r="D114" s="196" t="s">
        <v>7322</v>
      </c>
      <c r="E114" s="197"/>
    </row>
    <row r="115" spans="1:5" x14ac:dyDescent="0.3">
      <c r="A115" s="196">
        <v>2409</v>
      </c>
      <c r="B115" s="196" t="s">
        <v>597</v>
      </c>
      <c r="C115" s="196" t="s">
        <v>428</v>
      </c>
      <c r="D115" s="196" t="s">
        <v>4913</v>
      </c>
      <c r="E115" s="197"/>
    </row>
    <row r="116" spans="1:5" ht="12.6" customHeight="1" x14ac:dyDescent="0.3">
      <c r="A116" s="196">
        <v>2410</v>
      </c>
      <c r="B116" s="196" t="s">
        <v>34</v>
      </c>
      <c r="C116" s="196" t="s">
        <v>428</v>
      </c>
      <c r="D116" s="196" t="s">
        <v>7032</v>
      </c>
      <c r="E116" s="197"/>
    </row>
    <row r="117" spans="1:5" x14ac:dyDescent="0.3">
      <c r="A117" s="196">
        <v>2411</v>
      </c>
      <c r="B117" s="196" t="s">
        <v>7067</v>
      </c>
      <c r="C117" s="196" t="s">
        <v>654</v>
      </c>
      <c r="D117" s="196" t="s">
        <v>5150</v>
      </c>
      <c r="E117" s="197"/>
    </row>
    <row r="118" spans="1:5" ht="14.7" x14ac:dyDescent="0.35">
      <c r="A118" s="196">
        <v>2412</v>
      </c>
      <c r="B118" s="196" t="s">
        <v>11</v>
      </c>
      <c r="C118" s="196" t="s">
        <v>654</v>
      </c>
      <c r="D118" s="196" t="s">
        <v>5150</v>
      </c>
      <c r="E118" s="197"/>
    </row>
    <row r="119" spans="1:5" ht="14.7" x14ac:dyDescent="0.35">
      <c r="A119" s="196">
        <v>2413</v>
      </c>
      <c r="B119" s="196" t="s">
        <v>6092</v>
      </c>
      <c r="C119" s="196" t="s">
        <v>654</v>
      </c>
      <c r="D119" s="196" t="s">
        <v>5150</v>
      </c>
      <c r="E119" s="197"/>
    </row>
    <row r="120" spans="1:5" ht="14.7" x14ac:dyDescent="0.35">
      <c r="A120" s="196">
        <v>2414</v>
      </c>
      <c r="B120" s="196" t="s">
        <v>249</v>
      </c>
      <c r="C120" s="196" t="s">
        <v>428</v>
      </c>
      <c r="D120" s="196" t="s">
        <v>7032</v>
      </c>
      <c r="E120" s="197"/>
    </row>
    <row r="121" spans="1:5" ht="14.7" x14ac:dyDescent="0.35">
      <c r="A121" s="196">
        <v>2415</v>
      </c>
      <c r="B121" s="196" t="s">
        <v>11</v>
      </c>
      <c r="C121" s="196" t="s">
        <v>428</v>
      </c>
      <c r="D121" s="196" t="s">
        <v>7068</v>
      </c>
      <c r="E121" s="197"/>
    </row>
    <row r="122" spans="1:5" ht="14.7" x14ac:dyDescent="0.35">
      <c r="A122" s="196">
        <v>2416</v>
      </c>
      <c r="B122" s="196" t="s">
        <v>34</v>
      </c>
      <c r="C122" s="196" t="s">
        <v>428</v>
      </c>
      <c r="D122" s="196" t="s">
        <v>7068</v>
      </c>
      <c r="E122" s="197"/>
    </row>
    <row r="123" spans="1:5" ht="14.7" x14ac:dyDescent="0.35">
      <c r="A123" s="196">
        <v>2417</v>
      </c>
      <c r="B123" s="196" t="s">
        <v>249</v>
      </c>
      <c r="C123" s="196" t="s">
        <v>428</v>
      </c>
      <c r="D123" s="196" t="s">
        <v>7068</v>
      </c>
      <c r="E123" s="197"/>
    </row>
    <row r="124" spans="1:5" ht="14.7" x14ac:dyDescent="0.35">
      <c r="A124" s="196">
        <v>2418</v>
      </c>
      <c r="B124" s="196" t="s">
        <v>11</v>
      </c>
      <c r="C124" s="196" t="s">
        <v>428</v>
      </c>
      <c r="D124" s="196" t="s">
        <v>7069</v>
      </c>
      <c r="E124" s="197"/>
    </row>
    <row r="125" spans="1:5" ht="14.7" x14ac:dyDescent="0.35">
      <c r="A125" s="196">
        <v>2419</v>
      </c>
      <c r="B125" s="196" t="s">
        <v>34</v>
      </c>
      <c r="C125" s="196" t="s">
        <v>428</v>
      </c>
      <c r="D125" s="196" t="s">
        <v>7069</v>
      </c>
      <c r="E125" s="197"/>
    </row>
    <row r="126" spans="1:5" ht="14.7" x14ac:dyDescent="0.35">
      <c r="A126" s="196">
        <v>2420</v>
      </c>
      <c r="B126" s="196" t="s">
        <v>249</v>
      </c>
      <c r="C126" s="196" t="s">
        <v>428</v>
      </c>
      <c r="D126" s="196" t="s">
        <v>7069</v>
      </c>
      <c r="E126" s="197"/>
    </row>
    <row r="127" spans="1:5" ht="14.7" x14ac:dyDescent="0.35">
      <c r="A127" s="196">
        <v>2421</v>
      </c>
      <c r="B127" s="196" t="s">
        <v>11</v>
      </c>
      <c r="C127" s="196" t="s">
        <v>7285</v>
      </c>
      <c r="D127" s="196" t="s">
        <v>4913</v>
      </c>
      <c r="E127" s="197"/>
    </row>
    <row r="128" spans="1:5" ht="14.7" x14ac:dyDescent="0.35">
      <c r="A128" s="315">
        <v>2422</v>
      </c>
      <c r="B128" s="315" t="s">
        <v>11</v>
      </c>
      <c r="C128" s="315" t="s">
        <v>7285</v>
      </c>
      <c r="D128" s="315" t="s">
        <v>7289</v>
      </c>
      <c r="E128" s="344"/>
    </row>
    <row r="129" spans="1:5" ht="14.7" x14ac:dyDescent="0.35">
      <c r="A129" s="318">
        <v>2423</v>
      </c>
      <c r="B129" s="318" t="s">
        <v>6092</v>
      </c>
      <c r="C129" s="315" t="s">
        <v>7285</v>
      </c>
      <c r="D129" s="315" t="s">
        <v>7289</v>
      </c>
      <c r="E129" s="344"/>
    </row>
    <row r="130" spans="1:5" ht="14.7" x14ac:dyDescent="0.35">
      <c r="A130" s="316">
        <v>2424</v>
      </c>
      <c r="B130" s="316" t="s">
        <v>1109</v>
      </c>
      <c r="C130" s="316" t="s">
        <v>429</v>
      </c>
      <c r="D130" s="316" t="s">
        <v>5711</v>
      </c>
      <c r="E130" s="197" t="s">
        <v>7304</v>
      </c>
    </row>
    <row r="131" spans="1:5" ht="14.7" x14ac:dyDescent="0.35">
      <c r="A131" s="316">
        <v>2425</v>
      </c>
      <c r="B131" s="316" t="s">
        <v>34</v>
      </c>
      <c r="C131" s="316" t="s">
        <v>4695</v>
      </c>
      <c r="D131" s="316" t="s">
        <v>7554</v>
      </c>
      <c r="E131" s="197"/>
    </row>
    <row r="132" spans="1:5" ht="14.7" x14ac:dyDescent="0.35">
      <c r="A132" s="318">
        <v>2426</v>
      </c>
      <c r="B132" s="318" t="s">
        <v>249</v>
      </c>
      <c r="C132" s="318" t="s">
        <v>4695</v>
      </c>
      <c r="D132" s="318" t="s">
        <v>7554</v>
      </c>
      <c r="E132" s="197"/>
    </row>
    <row r="133" spans="1:5" ht="14.7" x14ac:dyDescent="0.35">
      <c r="A133" s="318">
        <v>2427</v>
      </c>
      <c r="B133" s="318" t="s">
        <v>11</v>
      </c>
      <c r="C133" s="318" t="s">
        <v>7285</v>
      </c>
      <c r="D133" s="318" t="s">
        <v>7554</v>
      </c>
      <c r="E133" s="197"/>
    </row>
    <row r="134" spans="1:5" ht="14.7" x14ac:dyDescent="0.35">
      <c r="A134" s="318">
        <v>2428</v>
      </c>
      <c r="B134" s="318" t="s">
        <v>6092</v>
      </c>
      <c r="C134" s="318" t="s">
        <v>7285</v>
      </c>
      <c r="D134" s="318" t="s">
        <v>7554</v>
      </c>
      <c r="E134" s="197"/>
    </row>
    <row r="135" spans="1:5" ht="14.7" x14ac:dyDescent="0.35">
      <c r="A135" s="318">
        <v>2429</v>
      </c>
      <c r="B135" s="318"/>
      <c r="C135" s="318"/>
      <c r="D135" s="318"/>
      <c r="E135" s="197"/>
    </row>
    <row r="136" spans="1:5" ht="14.7" x14ac:dyDescent="0.35">
      <c r="A136" s="316">
        <v>2430</v>
      </c>
      <c r="B136" s="316" t="s">
        <v>597</v>
      </c>
      <c r="C136" s="316" t="s">
        <v>654</v>
      </c>
      <c r="D136" s="316" t="s">
        <v>7323</v>
      </c>
      <c r="E136" s="321"/>
    </row>
    <row r="137" spans="1:5" ht="14.7" x14ac:dyDescent="0.35">
      <c r="A137" s="316">
        <v>2431</v>
      </c>
      <c r="B137" s="316" t="s">
        <v>34</v>
      </c>
      <c r="C137" s="316" t="s">
        <v>654</v>
      </c>
      <c r="D137" s="316" t="s">
        <v>7323</v>
      </c>
      <c r="E137" s="321"/>
    </row>
    <row r="138" spans="1:5" ht="14.7" x14ac:dyDescent="0.35">
      <c r="A138" s="316">
        <v>2432</v>
      </c>
      <c r="B138" s="316" t="s">
        <v>11</v>
      </c>
      <c r="C138" s="316" t="s">
        <v>654</v>
      </c>
      <c r="D138" s="316" t="s">
        <v>7323</v>
      </c>
      <c r="E138" s="321"/>
    </row>
    <row r="139" spans="1:5" ht="14.7" x14ac:dyDescent="0.35">
      <c r="A139" s="316">
        <v>2433</v>
      </c>
      <c r="B139" s="316" t="s">
        <v>6092</v>
      </c>
      <c r="C139" s="316" t="s">
        <v>654</v>
      </c>
      <c r="D139" s="316" t="s">
        <v>7323</v>
      </c>
      <c r="E139" s="321"/>
    </row>
    <row r="140" spans="1:5" ht="14.7" x14ac:dyDescent="0.35">
      <c r="A140" s="316">
        <v>2434</v>
      </c>
      <c r="B140" s="316" t="s">
        <v>597</v>
      </c>
      <c r="C140" s="316" t="s">
        <v>654</v>
      </c>
      <c r="D140" s="316" t="s">
        <v>7324</v>
      </c>
      <c r="E140" s="321"/>
    </row>
    <row r="141" spans="1:5" ht="14.7" x14ac:dyDescent="0.35">
      <c r="A141" s="316">
        <v>2435</v>
      </c>
      <c r="B141" s="316" t="s">
        <v>34</v>
      </c>
      <c r="C141" s="316" t="s">
        <v>654</v>
      </c>
      <c r="D141" s="316" t="s">
        <v>7324</v>
      </c>
      <c r="E141" s="321"/>
    </row>
    <row r="142" spans="1:5" x14ac:dyDescent="0.3">
      <c r="A142" s="316">
        <v>2436</v>
      </c>
      <c r="B142" s="316" t="s">
        <v>11</v>
      </c>
      <c r="C142" s="316" t="s">
        <v>654</v>
      </c>
      <c r="D142" s="316" t="s">
        <v>7324</v>
      </c>
      <c r="E142" s="321"/>
    </row>
    <row r="143" spans="1:5" x14ac:dyDescent="0.3">
      <c r="A143" s="316">
        <v>2437</v>
      </c>
      <c r="B143" s="316" t="s">
        <v>6092</v>
      </c>
      <c r="C143" s="316" t="s">
        <v>654</v>
      </c>
      <c r="D143" s="316" t="s">
        <v>7324</v>
      </c>
      <c r="E143" s="321"/>
    </row>
    <row r="144" spans="1:5" x14ac:dyDescent="0.3">
      <c r="A144" s="316">
        <v>2438</v>
      </c>
      <c r="B144" s="316" t="s">
        <v>597</v>
      </c>
      <c r="C144" s="316" t="s">
        <v>430</v>
      </c>
      <c r="D144" s="316" t="s">
        <v>7459</v>
      </c>
      <c r="E144" s="316"/>
    </row>
    <row r="145" spans="1:5" x14ac:dyDescent="0.3">
      <c r="A145" s="316">
        <v>2439</v>
      </c>
      <c r="B145" s="316" t="s">
        <v>34</v>
      </c>
      <c r="C145" s="316" t="s">
        <v>430</v>
      </c>
      <c r="D145" s="316" t="s">
        <v>7459</v>
      </c>
      <c r="E145" s="316"/>
    </row>
    <row r="146" spans="1:5" x14ac:dyDescent="0.3">
      <c r="A146" s="316">
        <v>2440</v>
      </c>
      <c r="B146" s="316" t="s">
        <v>3781</v>
      </c>
      <c r="C146" s="316" t="s">
        <v>430</v>
      </c>
      <c r="D146" s="316" t="s">
        <v>7459</v>
      </c>
      <c r="E146" s="316"/>
    </row>
    <row r="147" spans="1:5" x14ac:dyDescent="0.3">
      <c r="A147" s="316">
        <v>2441</v>
      </c>
      <c r="B147" s="316" t="s">
        <v>597</v>
      </c>
      <c r="C147" s="316" t="s">
        <v>430</v>
      </c>
      <c r="D147" s="316" t="s">
        <v>7460</v>
      </c>
      <c r="E147" s="316"/>
    </row>
    <row r="148" spans="1:5" x14ac:dyDescent="0.3">
      <c r="A148" s="316">
        <v>2442</v>
      </c>
      <c r="B148" s="316" t="s">
        <v>34</v>
      </c>
      <c r="C148" s="316" t="s">
        <v>430</v>
      </c>
      <c r="D148" s="316" t="s">
        <v>7460</v>
      </c>
      <c r="E148" s="316"/>
    </row>
    <row r="149" spans="1:5" x14ac:dyDescent="0.3">
      <c r="A149" s="316">
        <v>2443</v>
      </c>
      <c r="B149" s="316" t="s">
        <v>3781</v>
      </c>
      <c r="C149" s="316" t="s">
        <v>430</v>
      </c>
      <c r="D149" s="316" t="s">
        <v>7460</v>
      </c>
      <c r="E149" s="316"/>
    </row>
    <row r="150" spans="1:5" x14ac:dyDescent="0.3">
      <c r="A150" s="316">
        <v>2444</v>
      </c>
      <c r="B150" s="316" t="s">
        <v>597</v>
      </c>
      <c r="C150" s="316" t="s">
        <v>433</v>
      </c>
      <c r="D150" s="316" t="s">
        <v>5438</v>
      </c>
      <c r="E150" s="316"/>
    </row>
    <row r="151" spans="1:5" x14ac:dyDescent="0.3">
      <c r="A151" s="316">
        <v>2445</v>
      </c>
      <c r="B151" s="316" t="s">
        <v>249</v>
      </c>
      <c r="C151" s="316" t="s">
        <v>433</v>
      </c>
      <c r="D151" s="316" t="s">
        <v>5438</v>
      </c>
      <c r="E151" s="316"/>
    </row>
    <row r="152" spans="1:5" x14ac:dyDescent="0.3">
      <c r="A152" s="316">
        <v>2446</v>
      </c>
      <c r="B152" s="316" t="s">
        <v>34</v>
      </c>
      <c r="C152" s="316" t="s">
        <v>433</v>
      </c>
      <c r="D152" s="316" t="s">
        <v>5438</v>
      </c>
      <c r="E152" s="316"/>
    </row>
    <row r="153" spans="1:5" x14ac:dyDescent="0.3">
      <c r="A153" s="316">
        <v>2447</v>
      </c>
      <c r="B153" s="316" t="s">
        <v>11</v>
      </c>
      <c r="C153" s="316" t="s">
        <v>433</v>
      </c>
      <c r="D153" s="316" t="s">
        <v>5438</v>
      </c>
      <c r="E153" s="316"/>
    </row>
    <row r="154" spans="1:5" x14ac:dyDescent="0.3">
      <c r="A154" s="316">
        <v>2448</v>
      </c>
      <c r="B154" s="316" t="s">
        <v>6092</v>
      </c>
      <c r="C154" s="316" t="s">
        <v>433</v>
      </c>
      <c r="D154" s="316" t="s">
        <v>5438</v>
      </c>
      <c r="E154" s="316"/>
    </row>
    <row r="155" spans="1:5" x14ac:dyDescent="0.3">
      <c r="A155" s="316">
        <v>2449</v>
      </c>
      <c r="B155" s="316" t="s">
        <v>11</v>
      </c>
      <c r="C155" s="316" t="s">
        <v>433</v>
      </c>
      <c r="D155" s="316" t="s">
        <v>4682</v>
      </c>
      <c r="E155" s="316"/>
    </row>
    <row r="156" spans="1:5" x14ac:dyDescent="0.3">
      <c r="A156" s="316">
        <v>2450</v>
      </c>
      <c r="B156" s="316" t="s">
        <v>6092</v>
      </c>
      <c r="C156" s="316" t="s">
        <v>433</v>
      </c>
      <c r="D156" s="316" t="s">
        <v>4682</v>
      </c>
      <c r="E156" s="316"/>
    </row>
    <row r="157" spans="1:5" x14ac:dyDescent="0.3">
      <c r="A157" s="316">
        <v>2451</v>
      </c>
      <c r="B157" s="316" t="s">
        <v>34</v>
      </c>
      <c r="C157" s="316" t="s">
        <v>1417</v>
      </c>
      <c r="D157" s="316" t="s">
        <v>5706</v>
      </c>
      <c r="E157" s="316"/>
    </row>
    <row r="158" spans="1:5" x14ac:dyDescent="0.3">
      <c r="A158" s="316">
        <v>2452</v>
      </c>
      <c r="B158" s="316" t="s">
        <v>11</v>
      </c>
      <c r="C158" s="316" t="s">
        <v>1417</v>
      </c>
      <c r="D158" s="316" t="s">
        <v>5706</v>
      </c>
      <c r="E158" s="316"/>
    </row>
    <row r="159" spans="1:5" x14ac:dyDescent="0.3">
      <c r="A159" s="316">
        <v>2453</v>
      </c>
      <c r="B159" s="316" t="s">
        <v>6092</v>
      </c>
      <c r="C159" s="316" t="s">
        <v>1417</v>
      </c>
      <c r="D159" s="316" t="s">
        <v>5706</v>
      </c>
      <c r="E159" s="316"/>
    </row>
    <row r="160" spans="1:5" x14ac:dyDescent="0.3">
      <c r="A160" s="316">
        <v>2454</v>
      </c>
      <c r="B160" s="316" t="s">
        <v>11</v>
      </c>
      <c r="C160" s="316" t="s">
        <v>1417</v>
      </c>
      <c r="D160" s="316" t="s">
        <v>5200</v>
      </c>
      <c r="E160" s="316"/>
    </row>
    <row r="161" spans="1:5" x14ac:dyDescent="0.3">
      <c r="A161" s="316">
        <v>2455</v>
      </c>
      <c r="B161" s="316" t="s">
        <v>6092</v>
      </c>
      <c r="C161" s="316" t="s">
        <v>1417</v>
      </c>
      <c r="D161" s="316" t="s">
        <v>5200</v>
      </c>
      <c r="E161" s="316"/>
    </row>
    <row r="162" spans="1:5" s="333" customFormat="1" x14ac:dyDescent="0.3">
      <c r="A162" s="332">
        <v>2456</v>
      </c>
      <c r="B162" s="332" t="s">
        <v>597</v>
      </c>
      <c r="C162" s="332" t="s">
        <v>1417</v>
      </c>
      <c r="D162" s="332" t="s">
        <v>7528</v>
      </c>
      <c r="E162" s="332"/>
    </row>
    <row r="163" spans="1:5" s="333" customFormat="1" x14ac:dyDescent="0.3">
      <c r="A163" s="332">
        <v>2457</v>
      </c>
      <c r="B163" s="332" t="s">
        <v>34</v>
      </c>
      <c r="C163" s="332" t="s">
        <v>1417</v>
      </c>
      <c r="D163" s="332" t="s">
        <v>7528</v>
      </c>
      <c r="E163" s="332"/>
    </row>
    <row r="164" spans="1:5" x14ac:dyDescent="0.3">
      <c r="A164" s="316">
        <v>2458</v>
      </c>
      <c r="B164" s="316" t="s">
        <v>11</v>
      </c>
      <c r="C164" s="316" t="s">
        <v>1417</v>
      </c>
      <c r="D164" s="316" t="s">
        <v>7528</v>
      </c>
      <c r="E164" s="316"/>
    </row>
    <row r="165" spans="1:5" x14ac:dyDescent="0.3">
      <c r="A165" s="316">
        <v>2459</v>
      </c>
      <c r="B165" s="316" t="s">
        <v>6092</v>
      </c>
      <c r="C165" s="316" t="s">
        <v>1417</v>
      </c>
      <c r="D165" s="316" t="s">
        <v>7528</v>
      </c>
      <c r="E165" s="316"/>
    </row>
    <row r="166" spans="1:5" x14ac:dyDescent="0.3">
      <c r="A166" s="316">
        <v>2460</v>
      </c>
      <c r="B166" s="316" t="s">
        <v>249</v>
      </c>
      <c r="C166" s="316" t="s">
        <v>1417</v>
      </c>
      <c r="D166" s="316" t="s">
        <v>7528</v>
      </c>
      <c r="E166" s="316"/>
    </row>
    <row r="167" spans="1:5" x14ac:dyDescent="0.3">
      <c r="A167" s="316">
        <v>2461</v>
      </c>
      <c r="B167" s="316" t="s">
        <v>597</v>
      </c>
      <c r="C167" s="316" t="s">
        <v>1417</v>
      </c>
      <c r="D167" s="316" t="s">
        <v>7530</v>
      </c>
      <c r="E167" s="316"/>
    </row>
    <row r="168" spans="1:5" x14ac:dyDescent="0.3">
      <c r="A168" s="316">
        <v>2462</v>
      </c>
      <c r="B168" s="316" t="s">
        <v>34</v>
      </c>
      <c r="C168" s="316" t="s">
        <v>1417</v>
      </c>
      <c r="D168" s="316" t="s">
        <v>7530</v>
      </c>
      <c r="E168" s="316"/>
    </row>
    <row r="169" spans="1:5" x14ac:dyDescent="0.3">
      <c r="A169" s="316">
        <v>2463</v>
      </c>
      <c r="B169" s="316" t="s">
        <v>11</v>
      </c>
      <c r="C169" s="316" t="s">
        <v>1417</v>
      </c>
      <c r="D169" s="316" t="s">
        <v>7530</v>
      </c>
      <c r="E169" s="316"/>
    </row>
    <row r="170" spans="1:5" x14ac:dyDescent="0.3">
      <c r="A170" s="316">
        <v>2464</v>
      </c>
      <c r="B170" s="316" t="s">
        <v>6092</v>
      </c>
      <c r="C170" s="316" t="s">
        <v>1417</v>
      </c>
      <c r="D170" s="316" t="s">
        <v>7530</v>
      </c>
      <c r="E170" s="316"/>
    </row>
    <row r="171" spans="1:5" x14ac:dyDescent="0.3">
      <c r="A171" s="316">
        <v>2465</v>
      </c>
      <c r="B171" s="316" t="s">
        <v>249</v>
      </c>
      <c r="C171" s="316" t="s">
        <v>1417</v>
      </c>
      <c r="D171" s="316" t="s">
        <v>7530</v>
      </c>
      <c r="E171" s="316"/>
    </row>
    <row r="172" spans="1:5" x14ac:dyDescent="0.3">
      <c r="A172" s="316">
        <v>2466</v>
      </c>
      <c r="B172" s="316" t="s">
        <v>7067</v>
      </c>
      <c r="C172" s="316" t="s">
        <v>1417</v>
      </c>
      <c r="D172" s="316" t="s">
        <v>7531</v>
      </c>
      <c r="E172" s="316"/>
    </row>
    <row r="173" spans="1:5" x14ac:dyDescent="0.3">
      <c r="A173" s="316">
        <v>2467</v>
      </c>
      <c r="B173" s="316" t="s">
        <v>34</v>
      </c>
      <c r="C173" s="316" t="s">
        <v>1417</v>
      </c>
      <c r="D173" s="316" t="s">
        <v>7531</v>
      </c>
      <c r="E173" s="316"/>
    </row>
    <row r="174" spans="1:5" x14ac:dyDescent="0.3">
      <c r="A174" s="316">
        <v>2468</v>
      </c>
      <c r="B174" s="316" t="s">
        <v>11</v>
      </c>
      <c r="C174" s="316" t="s">
        <v>1417</v>
      </c>
      <c r="D174" s="316" t="s">
        <v>7531</v>
      </c>
      <c r="E174" s="316"/>
    </row>
    <row r="175" spans="1:5" x14ac:dyDescent="0.3">
      <c r="A175" s="316">
        <v>2469</v>
      </c>
      <c r="B175" s="316" t="s">
        <v>6092</v>
      </c>
      <c r="C175" s="316" t="s">
        <v>1417</v>
      </c>
      <c r="D175" s="316" t="s">
        <v>7531</v>
      </c>
      <c r="E175" s="316"/>
    </row>
    <row r="176" spans="1:5" x14ac:dyDescent="0.3">
      <c r="A176" s="316">
        <v>2470</v>
      </c>
      <c r="B176" s="316" t="s">
        <v>249</v>
      </c>
      <c r="C176" s="316" t="s">
        <v>1417</v>
      </c>
      <c r="D176" s="316" t="s">
        <v>7531</v>
      </c>
      <c r="E176" s="316"/>
    </row>
    <row r="177" spans="1:5" x14ac:dyDescent="0.3">
      <c r="A177" s="316">
        <v>2471</v>
      </c>
      <c r="B177" s="316" t="s">
        <v>597</v>
      </c>
      <c r="C177" s="316" t="s">
        <v>1417</v>
      </c>
      <c r="D177" s="316" t="s">
        <v>7533</v>
      </c>
      <c r="E177" s="316"/>
    </row>
    <row r="178" spans="1:5" x14ac:dyDescent="0.3">
      <c r="A178" s="316">
        <v>2472</v>
      </c>
      <c r="B178" s="316" t="s">
        <v>34</v>
      </c>
      <c r="C178" s="316" t="s">
        <v>1417</v>
      </c>
      <c r="D178" s="316" t="s">
        <v>7533</v>
      </c>
      <c r="E178" s="316"/>
    </row>
    <row r="179" spans="1:5" x14ac:dyDescent="0.3">
      <c r="A179" s="316">
        <v>2473</v>
      </c>
      <c r="B179" s="316" t="s">
        <v>11</v>
      </c>
      <c r="C179" s="316" t="s">
        <v>1417</v>
      </c>
      <c r="D179" s="316" t="s">
        <v>7533</v>
      </c>
      <c r="E179" s="316"/>
    </row>
    <row r="180" spans="1:5" x14ac:dyDescent="0.3">
      <c r="A180" s="316">
        <v>2474</v>
      </c>
      <c r="B180" s="316" t="s">
        <v>6092</v>
      </c>
      <c r="C180" s="316" t="s">
        <v>1417</v>
      </c>
      <c r="D180" s="316" t="s">
        <v>7533</v>
      </c>
      <c r="E180" s="316"/>
    </row>
    <row r="181" spans="1:5" x14ac:dyDescent="0.3">
      <c r="A181" s="316">
        <v>2475</v>
      </c>
      <c r="B181" s="316" t="s">
        <v>249</v>
      </c>
      <c r="C181" s="316" t="s">
        <v>1417</v>
      </c>
      <c r="D181" s="316" t="s">
        <v>7533</v>
      </c>
      <c r="E181" s="316"/>
    </row>
    <row r="182" spans="1:5" x14ac:dyDescent="0.3">
      <c r="A182" s="316">
        <v>2476</v>
      </c>
      <c r="B182" s="316" t="s">
        <v>34</v>
      </c>
      <c r="C182" s="316" t="s">
        <v>1417</v>
      </c>
      <c r="D182" s="316" t="s">
        <v>7536</v>
      </c>
      <c r="E182" s="316"/>
    </row>
    <row r="183" spans="1:5" x14ac:dyDescent="0.3">
      <c r="A183" s="316">
        <v>2477</v>
      </c>
      <c r="B183" s="316" t="s">
        <v>7067</v>
      </c>
      <c r="C183" s="316" t="s">
        <v>1417</v>
      </c>
      <c r="D183" s="316" t="s">
        <v>7536</v>
      </c>
      <c r="E183" s="316"/>
    </row>
    <row r="184" spans="1:5" x14ac:dyDescent="0.3">
      <c r="A184" s="316">
        <v>2478</v>
      </c>
      <c r="B184" s="316" t="s">
        <v>3781</v>
      </c>
      <c r="C184" s="316" t="s">
        <v>1417</v>
      </c>
      <c r="D184" s="316" t="s">
        <v>7536</v>
      </c>
      <c r="E184" s="316"/>
    </row>
    <row r="185" spans="1:5" x14ac:dyDescent="0.3">
      <c r="A185" s="316">
        <v>2479</v>
      </c>
      <c r="B185" s="316" t="s">
        <v>249</v>
      </c>
      <c r="C185" s="316" t="s">
        <v>654</v>
      </c>
      <c r="D185" s="316"/>
      <c r="E185" s="316" t="s">
        <v>6992</v>
      </c>
    </row>
    <row r="186" spans="1:5" x14ac:dyDescent="0.3">
      <c r="A186" s="316">
        <v>2480</v>
      </c>
      <c r="B186" s="316" t="s">
        <v>249</v>
      </c>
      <c r="C186" s="316" t="s">
        <v>654</v>
      </c>
      <c r="D186" s="316" t="s">
        <v>7545</v>
      </c>
      <c r="E186" s="321"/>
    </row>
    <row r="187" spans="1:5" x14ac:dyDescent="0.3">
      <c r="A187" s="316">
        <v>2481</v>
      </c>
      <c r="B187" s="316" t="s">
        <v>249</v>
      </c>
      <c r="C187" s="316" t="s">
        <v>654</v>
      </c>
      <c r="D187" s="316" t="s">
        <v>7321</v>
      </c>
      <c r="E187" s="321"/>
    </row>
    <row r="188" spans="1:5" x14ac:dyDescent="0.3">
      <c r="A188" s="316">
        <v>2482</v>
      </c>
      <c r="B188" s="316" t="s">
        <v>249</v>
      </c>
      <c r="C188" s="316" t="s">
        <v>654</v>
      </c>
      <c r="D188" s="316" t="s">
        <v>7548</v>
      </c>
      <c r="E188" s="321"/>
    </row>
    <row r="189" spans="1:5" x14ac:dyDescent="0.3">
      <c r="A189" s="316">
        <v>2483</v>
      </c>
      <c r="B189" s="316" t="s">
        <v>249</v>
      </c>
      <c r="C189" s="316" t="s">
        <v>654</v>
      </c>
      <c r="D189" s="316" t="s">
        <v>7323</v>
      </c>
      <c r="E189" s="321"/>
    </row>
    <row r="190" spans="1:5" x14ac:dyDescent="0.3">
      <c r="A190" s="316">
        <v>2484</v>
      </c>
      <c r="B190" s="316" t="s">
        <v>249</v>
      </c>
      <c r="C190" s="316" t="s">
        <v>654</v>
      </c>
      <c r="D190" s="316" t="s">
        <v>5150</v>
      </c>
      <c r="E190" s="321"/>
    </row>
    <row r="191" spans="1:5" x14ac:dyDescent="0.3">
      <c r="A191" s="316">
        <v>2485</v>
      </c>
      <c r="B191" s="316" t="s">
        <v>249</v>
      </c>
      <c r="C191" s="316" t="s">
        <v>1417</v>
      </c>
      <c r="D191" s="316" t="s">
        <v>5200</v>
      </c>
      <c r="E191" s="321"/>
    </row>
    <row r="192" spans="1:5" x14ac:dyDescent="0.3">
      <c r="A192" s="316">
        <v>2486</v>
      </c>
      <c r="B192" s="316" t="s">
        <v>249</v>
      </c>
      <c r="C192" s="316" t="s">
        <v>1417</v>
      </c>
      <c r="D192" s="316" t="s">
        <v>5727</v>
      </c>
      <c r="E192" s="321"/>
    </row>
    <row r="193" spans="1:5" x14ac:dyDescent="0.3">
      <c r="A193" s="316">
        <v>2487</v>
      </c>
      <c r="B193" s="316" t="s">
        <v>249</v>
      </c>
      <c r="C193" s="316" t="s">
        <v>1417</v>
      </c>
      <c r="D193" s="316" t="s">
        <v>5706</v>
      </c>
      <c r="E193" s="321"/>
    </row>
    <row r="194" spans="1:5" x14ac:dyDescent="0.3">
      <c r="A194" s="316">
        <v>2488</v>
      </c>
      <c r="B194" s="316" t="s">
        <v>34</v>
      </c>
      <c r="C194" s="316" t="s">
        <v>433</v>
      </c>
      <c r="D194" s="316" t="s">
        <v>7565</v>
      </c>
      <c r="E194" s="321"/>
    </row>
    <row r="195" spans="1:5" x14ac:dyDescent="0.3">
      <c r="A195" s="316">
        <v>2489</v>
      </c>
      <c r="B195" s="316" t="s">
        <v>249</v>
      </c>
      <c r="C195" s="316" t="s">
        <v>433</v>
      </c>
      <c r="D195" s="316" t="s">
        <v>7565</v>
      </c>
      <c r="E195" s="321"/>
    </row>
    <row r="196" spans="1:5" x14ac:dyDescent="0.3">
      <c r="A196" s="316">
        <v>2490</v>
      </c>
      <c r="B196" s="316" t="s">
        <v>597</v>
      </c>
      <c r="C196" s="316" t="s">
        <v>4695</v>
      </c>
      <c r="D196" s="316" t="s">
        <v>7289</v>
      </c>
      <c r="E196" s="316"/>
    </row>
  </sheetData>
  <autoFilter ref="A1:E1"/>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B232"/>
  <sheetViews>
    <sheetView workbookViewId="0">
      <selection activeCell="E15" sqref="E15"/>
    </sheetView>
  </sheetViews>
  <sheetFormatPr defaultRowHeight="14.4" x14ac:dyDescent="0.3"/>
  <cols>
    <col min="1" max="1" width="17.5546875" style="1" customWidth="1"/>
    <col min="2" max="2" width="40.5546875" bestFit="1" customWidth="1"/>
  </cols>
  <sheetData>
    <row r="1" spans="1:2" ht="15" thickBot="1" x14ac:dyDescent="0.35">
      <c r="A1" s="275" t="s">
        <v>1</v>
      </c>
      <c r="B1" s="275" t="s">
        <v>6486</v>
      </c>
    </row>
    <row r="2" spans="1:2" ht="15" thickBot="1" x14ac:dyDescent="0.35">
      <c r="A2" s="276" t="s">
        <v>597</v>
      </c>
      <c r="B2" s="278" t="s">
        <v>6493</v>
      </c>
    </row>
    <row r="3" spans="1:2" ht="15" thickBot="1" x14ac:dyDescent="0.35">
      <c r="A3" s="276" t="s">
        <v>198</v>
      </c>
      <c r="B3" s="277" t="s">
        <v>6468</v>
      </c>
    </row>
    <row r="4" spans="1:2" ht="15" thickBot="1" x14ac:dyDescent="0.35">
      <c r="A4" s="276" t="s">
        <v>4946</v>
      </c>
      <c r="B4" s="277" t="s">
        <v>6469</v>
      </c>
    </row>
    <row r="5" spans="1:2" ht="15" thickBot="1" x14ac:dyDescent="0.4">
      <c r="A5" s="276" t="s">
        <v>4182</v>
      </c>
      <c r="B5" s="277" t="s">
        <v>6470</v>
      </c>
    </row>
    <row r="6" spans="1:2" ht="15" thickBot="1" x14ac:dyDescent="0.35">
      <c r="A6" s="276" t="s">
        <v>11</v>
      </c>
      <c r="B6" s="277" t="s">
        <v>6487</v>
      </c>
    </row>
    <row r="7" spans="1:2" ht="15" thickBot="1" x14ac:dyDescent="0.35">
      <c r="A7" s="276" t="s">
        <v>1431</v>
      </c>
      <c r="B7" s="277" t="s">
        <v>6471</v>
      </c>
    </row>
    <row r="8" spans="1:2" ht="15" thickBot="1" x14ac:dyDescent="0.4">
      <c r="A8" s="276" t="s">
        <v>5418</v>
      </c>
      <c r="B8" s="277" t="s">
        <v>6485</v>
      </c>
    </row>
    <row r="9" spans="1:2" ht="15" thickBot="1" x14ac:dyDescent="0.35">
      <c r="A9" s="276" t="s">
        <v>34</v>
      </c>
      <c r="B9" s="278" t="s">
        <v>6492</v>
      </c>
    </row>
    <row r="10" spans="1:2" ht="15" thickBot="1" x14ac:dyDescent="0.4">
      <c r="A10" s="276" t="s">
        <v>2623</v>
      </c>
      <c r="B10" s="277" t="s">
        <v>6472</v>
      </c>
    </row>
    <row r="11" spans="1:2" ht="15" thickBot="1" x14ac:dyDescent="0.35">
      <c r="A11" s="276" t="s">
        <v>4765</v>
      </c>
      <c r="B11" s="277" t="s">
        <v>6473</v>
      </c>
    </row>
    <row r="12" spans="1:2" ht="15" thickBot="1" x14ac:dyDescent="0.35">
      <c r="A12" s="276" t="s">
        <v>3781</v>
      </c>
      <c r="B12" s="277" t="s">
        <v>6489</v>
      </c>
    </row>
    <row r="13" spans="1:2" ht="15" thickBot="1" x14ac:dyDescent="0.35">
      <c r="A13" s="276" t="s">
        <v>249</v>
      </c>
      <c r="B13" s="277" t="s">
        <v>6488</v>
      </c>
    </row>
    <row r="14" spans="1:2" ht="15" thickBot="1" x14ac:dyDescent="0.35">
      <c r="A14" s="276" t="s">
        <v>1014</v>
      </c>
      <c r="B14" s="277" t="s">
        <v>6474</v>
      </c>
    </row>
    <row r="15" spans="1:2" ht="15" thickBot="1" x14ac:dyDescent="0.35">
      <c r="A15" s="276" t="s">
        <v>2475</v>
      </c>
      <c r="B15" s="277" t="s">
        <v>6475</v>
      </c>
    </row>
    <row r="16" spans="1:2" ht="15" thickBot="1" x14ac:dyDescent="0.35">
      <c r="A16" s="276" t="s">
        <v>3026</v>
      </c>
      <c r="B16" s="277" t="s">
        <v>6475</v>
      </c>
    </row>
    <row r="17" spans="1:2" ht="15" thickBot="1" x14ac:dyDescent="0.35">
      <c r="A17" s="276" t="s">
        <v>4510</v>
      </c>
      <c r="B17" s="277" t="s">
        <v>6476</v>
      </c>
    </row>
    <row r="18" spans="1:2" ht="15" thickBot="1" x14ac:dyDescent="0.35">
      <c r="A18" s="276" t="s">
        <v>4</v>
      </c>
      <c r="B18" s="277" t="s">
        <v>6490</v>
      </c>
    </row>
    <row r="19" spans="1:2" ht="15" thickBot="1" x14ac:dyDescent="0.35">
      <c r="A19" s="276" t="s">
        <v>1018</v>
      </c>
      <c r="B19" s="277" t="s">
        <v>6491</v>
      </c>
    </row>
    <row r="20" spans="1:2" ht="15" thickBot="1" x14ac:dyDescent="0.35">
      <c r="A20" s="276" t="s">
        <v>35</v>
      </c>
      <c r="B20" s="277" t="s">
        <v>6479</v>
      </c>
    </row>
    <row r="21" spans="1:2" ht="15" thickBot="1" x14ac:dyDescent="0.35">
      <c r="A21" s="276" t="s">
        <v>1109</v>
      </c>
      <c r="B21" s="277" t="s">
        <v>6480</v>
      </c>
    </row>
    <row r="22" spans="1:2" ht="15" thickBot="1" x14ac:dyDescent="0.35">
      <c r="A22" s="276" t="s">
        <v>2318</v>
      </c>
      <c r="B22" s="277" t="s">
        <v>6481</v>
      </c>
    </row>
    <row r="23" spans="1:2" ht="15" thickBot="1" x14ac:dyDescent="0.35">
      <c r="A23" s="276" t="s">
        <v>3825</v>
      </c>
      <c r="B23" s="277" t="s">
        <v>6482</v>
      </c>
    </row>
    <row r="24" spans="1:2" ht="15" thickBot="1" x14ac:dyDescent="0.35">
      <c r="A24" s="276" t="s">
        <v>3774</v>
      </c>
      <c r="B24" s="277" t="s">
        <v>6483</v>
      </c>
    </row>
    <row r="25" spans="1:2" ht="15" thickBot="1" x14ac:dyDescent="0.35">
      <c r="A25" s="276" t="s">
        <v>1134</v>
      </c>
      <c r="B25" s="277" t="s">
        <v>6484</v>
      </c>
    </row>
    <row r="26" spans="1:2" ht="14.7" x14ac:dyDescent="0.35">
      <c r="A26"/>
    </row>
    <row r="27" spans="1:2" ht="14.7" x14ac:dyDescent="0.35">
      <c r="A27"/>
    </row>
    <row r="28" spans="1:2" ht="14.7" x14ac:dyDescent="0.35">
      <c r="A28"/>
    </row>
    <row r="29" spans="1:2" ht="14.7" x14ac:dyDescent="0.35">
      <c r="A29"/>
    </row>
    <row r="30" spans="1:2" x14ac:dyDescent="0.3">
      <c r="A30"/>
    </row>
    <row r="31" spans="1:2" x14ac:dyDescent="0.3">
      <c r="A31"/>
    </row>
    <row r="32" spans="1:2" x14ac:dyDescent="0.3">
      <c r="A32"/>
    </row>
    <row r="33" spans="1:1" x14ac:dyDescent="0.3">
      <c r="A33"/>
    </row>
    <row r="34" spans="1:1" x14ac:dyDescent="0.3">
      <c r="A34"/>
    </row>
    <row r="35" spans="1:1" x14ac:dyDescent="0.3">
      <c r="A35"/>
    </row>
    <row r="36" spans="1:1" x14ac:dyDescent="0.3">
      <c r="A36"/>
    </row>
    <row r="37" spans="1:1" x14ac:dyDescent="0.3">
      <c r="A37"/>
    </row>
    <row r="38" spans="1:1" x14ac:dyDescent="0.3">
      <c r="A38"/>
    </row>
    <row r="39" spans="1:1" x14ac:dyDescent="0.3">
      <c r="A39"/>
    </row>
    <row r="40" spans="1:1" x14ac:dyDescent="0.3">
      <c r="A40"/>
    </row>
    <row r="41" spans="1:1" x14ac:dyDescent="0.3">
      <c r="A41"/>
    </row>
    <row r="42" spans="1:1" x14ac:dyDescent="0.3">
      <c r="A42"/>
    </row>
    <row r="43" spans="1:1" x14ac:dyDescent="0.3">
      <c r="A43"/>
    </row>
    <row r="44" spans="1:1" x14ac:dyDescent="0.3">
      <c r="A44"/>
    </row>
    <row r="45" spans="1:1" x14ac:dyDescent="0.3">
      <c r="A45"/>
    </row>
    <row r="46" spans="1:1" x14ac:dyDescent="0.3">
      <c r="A46"/>
    </row>
    <row r="47" spans="1:1" x14ac:dyDescent="0.3">
      <c r="A47"/>
    </row>
    <row r="48" spans="1:1" x14ac:dyDescent="0.3">
      <c r="A48"/>
    </row>
    <row r="49" spans="1:1" x14ac:dyDescent="0.3">
      <c r="A49"/>
    </row>
    <row r="50" spans="1:1" x14ac:dyDescent="0.3">
      <c r="A50"/>
    </row>
    <row r="51" spans="1:1" x14ac:dyDescent="0.3">
      <c r="A51"/>
    </row>
    <row r="52" spans="1:1" x14ac:dyDescent="0.3">
      <c r="A52"/>
    </row>
    <row r="53" spans="1:1" x14ac:dyDescent="0.3">
      <c r="A53"/>
    </row>
    <row r="54" spans="1:1" x14ac:dyDescent="0.3">
      <c r="A54"/>
    </row>
    <row r="55" spans="1:1" x14ac:dyDescent="0.3">
      <c r="A55"/>
    </row>
    <row r="56" spans="1:1" x14ac:dyDescent="0.3">
      <c r="A56"/>
    </row>
    <row r="57" spans="1:1" x14ac:dyDescent="0.3">
      <c r="A57"/>
    </row>
    <row r="58" spans="1:1" x14ac:dyDescent="0.3">
      <c r="A58"/>
    </row>
    <row r="59" spans="1:1" x14ac:dyDescent="0.3">
      <c r="A59"/>
    </row>
    <row r="60" spans="1:1" x14ac:dyDescent="0.3">
      <c r="A60"/>
    </row>
    <row r="61" spans="1:1" x14ac:dyDescent="0.3">
      <c r="A61"/>
    </row>
    <row r="62" spans="1:1" x14ac:dyDescent="0.3">
      <c r="A62"/>
    </row>
    <row r="63" spans="1:1" x14ac:dyDescent="0.3">
      <c r="A63"/>
    </row>
    <row r="64" spans="1:1" x14ac:dyDescent="0.3">
      <c r="A64"/>
    </row>
    <row r="65" spans="1:1" x14ac:dyDescent="0.3">
      <c r="A65"/>
    </row>
    <row r="66" spans="1:1" x14ac:dyDescent="0.3">
      <c r="A66"/>
    </row>
    <row r="67" spans="1:1" x14ac:dyDescent="0.3">
      <c r="A67"/>
    </row>
    <row r="68" spans="1:1" x14ac:dyDescent="0.3">
      <c r="A68"/>
    </row>
    <row r="69" spans="1:1" x14ac:dyDescent="0.3">
      <c r="A69"/>
    </row>
    <row r="70" spans="1:1" x14ac:dyDescent="0.3">
      <c r="A70"/>
    </row>
    <row r="71" spans="1:1" x14ac:dyDescent="0.3">
      <c r="A71"/>
    </row>
    <row r="72" spans="1:1" x14ac:dyDescent="0.3">
      <c r="A72"/>
    </row>
    <row r="73" spans="1:1" x14ac:dyDescent="0.3">
      <c r="A73"/>
    </row>
    <row r="74" spans="1:1" x14ac:dyDescent="0.3">
      <c r="A74"/>
    </row>
    <row r="75" spans="1:1" x14ac:dyDescent="0.3">
      <c r="A75"/>
    </row>
    <row r="76" spans="1:1" x14ac:dyDescent="0.3">
      <c r="A76"/>
    </row>
    <row r="77" spans="1:1" x14ac:dyDescent="0.3">
      <c r="A77"/>
    </row>
    <row r="78" spans="1:1" x14ac:dyDescent="0.3">
      <c r="A78"/>
    </row>
    <row r="79" spans="1:1" x14ac:dyDescent="0.3">
      <c r="A79"/>
    </row>
    <row r="80" spans="1:1" x14ac:dyDescent="0.3">
      <c r="A80"/>
    </row>
    <row r="81" spans="1:1" x14ac:dyDescent="0.3">
      <c r="A81"/>
    </row>
    <row r="82" spans="1:1" x14ac:dyDescent="0.3">
      <c r="A82"/>
    </row>
    <row r="83" spans="1:1" x14ac:dyDescent="0.3">
      <c r="A83"/>
    </row>
    <row r="84" spans="1:1" x14ac:dyDescent="0.3">
      <c r="A84"/>
    </row>
    <row r="85" spans="1:1" x14ac:dyDescent="0.3">
      <c r="A85"/>
    </row>
    <row r="86" spans="1:1" x14ac:dyDescent="0.3">
      <c r="A86"/>
    </row>
    <row r="87" spans="1:1" x14ac:dyDescent="0.3">
      <c r="A87"/>
    </row>
    <row r="88" spans="1:1" x14ac:dyDescent="0.3">
      <c r="A88"/>
    </row>
    <row r="89" spans="1:1" x14ac:dyDescent="0.3">
      <c r="A89"/>
    </row>
    <row r="90" spans="1:1" x14ac:dyDescent="0.3">
      <c r="A90"/>
    </row>
    <row r="91" spans="1:1" x14ac:dyDescent="0.3">
      <c r="A91"/>
    </row>
    <row r="92" spans="1:1" x14ac:dyDescent="0.3">
      <c r="A92"/>
    </row>
    <row r="93" spans="1:1" x14ac:dyDescent="0.3">
      <c r="A93"/>
    </row>
    <row r="94" spans="1:1" x14ac:dyDescent="0.3">
      <c r="A94"/>
    </row>
    <row r="95" spans="1:1" x14ac:dyDescent="0.3">
      <c r="A95"/>
    </row>
    <row r="96" spans="1:1" x14ac:dyDescent="0.3">
      <c r="A96"/>
    </row>
    <row r="97" spans="1:1" x14ac:dyDescent="0.3">
      <c r="A97"/>
    </row>
    <row r="98" spans="1:1" x14ac:dyDescent="0.3">
      <c r="A98"/>
    </row>
    <row r="99" spans="1:1" x14ac:dyDescent="0.3">
      <c r="A99"/>
    </row>
    <row r="100" spans="1:1" x14ac:dyDescent="0.3">
      <c r="A100"/>
    </row>
    <row r="101" spans="1:1" x14ac:dyDescent="0.3">
      <c r="A101"/>
    </row>
    <row r="102" spans="1:1" x14ac:dyDescent="0.3">
      <c r="A102"/>
    </row>
    <row r="103" spans="1:1" x14ac:dyDescent="0.3">
      <c r="A103"/>
    </row>
    <row r="104" spans="1:1" x14ac:dyDescent="0.3">
      <c r="A104"/>
    </row>
    <row r="105" spans="1:1" x14ac:dyDescent="0.3">
      <c r="A105"/>
    </row>
    <row r="106" spans="1:1" x14ac:dyDescent="0.3">
      <c r="A106"/>
    </row>
    <row r="107" spans="1:1" x14ac:dyDescent="0.3">
      <c r="A107"/>
    </row>
    <row r="108" spans="1:1" x14ac:dyDescent="0.3">
      <c r="A108"/>
    </row>
    <row r="109" spans="1:1" x14ac:dyDescent="0.3">
      <c r="A109"/>
    </row>
    <row r="110" spans="1:1" x14ac:dyDescent="0.3">
      <c r="A110"/>
    </row>
    <row r="111" spans="1:1" x14ac:dyDescent="0.3">
      <c r="A111"/>
    </row>
    <row r="112" spans="1:1" x14ac:dyDescent="0.3">
      <c r="A112"/>
    </row>
    <row r="113" spans="1:1" x14ac:dyDescent="0.3">
      <c r="A113"/>
    </row>
    <row r="114" spans="1:1" x14ac:dyDescent="0.3">
      <c r="A114"/>
    </row>
    <row r="115" spans="1:1" x14ac:dyDescent="0.3">
      <c r="A115"/>
    </row>
    <row r="116" spans="1:1" x14ac:dyDescent="0.3">
      <c r="A116"/>
    </row>
    <row r="117" spans="1:1" x14ac:dyDescent="0.3">
      <c r="A117"/>
    </row>
    <row r="118" spans="1:1" x14ac:dyDescent="0.3">
      <c r="A118"/>
    </row>
    <row r="119" spans="1:1" x14ac:dyDescent="0.3">
      <c r="A119"/>
    </row>
    <row r="120" spans="1:1" x14ac:dyDescent="0.3">
      <c r="A120"/>
    </row>
    <row r="121" spans="1:1" x14ac:dyDescent="0.3">
      <c r="A121"/>
    </row>
    <row r="122" spans="1:1" x14ac:dyDescent="0.3">
      <c r="A122"/>
    </row>
    <row r="123" spans="1:1" x14ac:dyDescent="0.3">
      <c r="A123"/>
    </row>
    <row r="124" spans="1:1" x14ac:dyDescent="0.3">
      <c r="A124"/>
    </row>
    <row r="125" spans="1:1" x14ac:dyDescent="0.3">
      <c r="A125"/>
    </row>
    <row r="126" spans="1:1" x14ac:dyDescent="0.3">
      <c r="A126"/>
    </row>
    <row r="127" spans="1:1" x14ac:dyDescent="0.3">
      <c r="A127"/>
    </row>
    <row r="128" spans="1:1" x14ac:dyDescent="0.3">
      <c r="A128"/>
    </row>
    <row r="129" spans="1:1" x14ac:dyDescent="0.3">
      <c r="A129"/>
    </row>
    <row r="130" spans="1:1" x14ac:dyDescent="0.3">
      <c r="A130"/>
    </row>
    <row r="131" spans="1:1" x14ac:dyDescent="0.3">
      <c r="A131"/>
    </row>
    <row r="132" spans="1:1" x14ac:dyDescent="0.3">
      <c r="A132"/>
    </row>
    <row r="133" spans="1:1" x14ac:dyDescent="0.3">
      <c r="A133"/>
    </row>
    <row r="134" spans="1:1" x14ac:dyDescent="0.3">
      <c r="A134"/>
    </row>
    <row r="135" spans="1:1" x14ac:dyDescent="0.3">
      <c r="A135"/>
    </row>
    <row r="136" spans="1:1" x14ac:dyDescent="0.3">
      <c r="A136"/>
    </row>
    <row r="137" spans="1:1" x14ac:dyDescent="0.3">
      <c r="A137"/>
    </row>
    <row r="138" spans="1:1" x14ac:dyDescent="0.3">
      <c r="A138"/>
    </row>
    <row r="139" spans="1:1" x14ac:dyDescent="0.3">
      <c r="A139"/>
    </row>
    <row r="140" spans="1:1" x14ac:dyDescent="0.3">
      <c r="A140"/>
    </row>
    <row r="141" spans="1:1" x14ac:dyDescent="0.3">
      <c r="A141"/>
    </row>
    <row r="142" spans="1:1" x14ac:dyDescent="0.3">
      <c r="A142"/>
    </row>
    <row r="143" spans="1:1" x14ac:dyDescent="0.3">
      <c r="A143"/>
    </row>
    <row r="144" spans="1:1" x14ac:dyDescent="0.3">
      <c r="A144"/>
    </row>
    <row r="145" spans="1:1" x14ac:dyDescent="0.3">
      <c r="A145"/>
    </row>
    <row r="146" spans="1:1" x14ac:dyDescent="0.3">
      <c r="A146"/>
    </row>
    <row r="147" spans="1:1" x14ac:dyDescent="0.3">
      <c r="A147"/>
    </row>
    <row r="148" spans="1:1" x14ac:dyDescent="0.3">
      <c r="A148"/>
    </row>
    <row r="149" spans="1:1" x14ac:dyDescent="0.3">
      <c r="A149"/>
    </row>
    <row r="150" spans="1:1" x14ac:dyDescent="0.3">
      <c r="A150"/>
    </row>
    <row r="151" spans="1:1" x14ac:dyDescent="0.3">
      <c r="A151"/>
    </row>
    <row r="152" spans="1:1" x14ac:dyDescent="0.3">
      <c r="A152"/>
    </row>
    <row r="153" spans="1:1" x14ac:dyDescent="0.3">
      <c r="A153"/>
    </row>
    <row r="154" spans="1:1" x14ac:dyDescent="0.3">
      <c r="A154"/>
    </row>
    <row r="155" spans="1:1" x14ac:dyDescent="0.3">
      <c r="A155"/>
    </row>
    <row r="156" spans="1:1" x14ac:dyDescent="0.3">
      <c r="A156"/>
    </row>
    <row r="157" spans="1:1" x14ac:dyDescent="0.3">
      <c r="A157"/>
    </row>
    <row r="158" spans="1:1" x14ac:dyDescent="0.3">
      <c r="A158"/>
    </row>
    <row r="159" spans="1:1" x14ac:dyDescent="0.3">
      <c r="A159"/>
    </row>
    <row r="160" spans="1:1" x14ac:dyDescent="0.3">
      <c r="A160"/>
    </row>
    <row r="161" spans="1:1" x14ac:dyDescent="0.3">
      <c r="A161"/>
    </row>
    <row r="162" spans="1:1" x14ac:dyDescent="0.3">
      <c r="A162"/>
    </row>
    <row r="163" spans="1:1" x14ac:dyDescent="0.3">
      <c r="A163"/>
    </row>
    <row r="164" spans="1:1" x14ac:dyDescent="0.3">
      <c r="A164"/>
    </row>
    <row r="165" spans="1:1" x14ac:dyDescent="0.3">
      <c r="A165"/>
    </row>
    <row r="166" spans="1:1" x14ac:dyDescent="0.3">
      <c r="A166"/>
    </row>
    <row r="167" spans="1:1" x14ac:dyDescent="0.3">
      <c r="A167"/>
    </row>
    <row r="168" spans="1:1" x14ac:dyDescent="0.3">
      <c r="A168"/>
    </row>
    <row r="169" spans="1:1" x14ac:dyDescent="0.3">
      <c r="A169"/>
    </row>
    <row r="170" spans="1:1" x14ac:dyDescent="0.3">
      <c r="A170"/>
    </row>
    <row r="171" spans="1:1" x14ac:dyDescent="0.3">
      <c r="A171"/>
    </row>
    <row r="172" spans="1:1" x14ac:dyDescent="0.3">
      <c r="A172"/>
    </row>
    <row r="173" spans="1:1" x14ac:dyDescent="0.3">
      <c r="A173"/>
    </row>
    <row r="174" spans="1:1" x14ac:dyDescent="0.3">
      <c r="A174"/>
    </row>
    <row r="175" spans="1:1" x14ac:dyDescent="0.3">
      <c r="A175"/>
    </row>
    <row r="176" spans="1:1" x14ac:dyDescent="0.3">
      <c r="A176"/>
    </row>
    <row r="177" spans="1:1" x14ac:dyDescent="0.3">
      <c r="A177"/>
    </row>
    <row r="178" spans="1:1" x14ac:dyDescent="0.3">
      <c r="A178"/>
    </row>
    <row r="179" spans="1:1" x14ac:dyDescent="0.3">
      <c r="A179"/>
    </row>
    <row r="180" spans="1:1" x14ac:dyDescent="0.3">
      <c r="A180"/>
    </row>
    <row r="181" spans="1:1" x14ac:dyDescent="0.3">
      <c r="A181"/>
    </row>
    <row r="182" spans="1:1" x14ac:dyDescent="0.3">
      <c r="A182"/>
    </row>
    <row r="183" spans="1:1" x14ac:dyDescent="0.3">
      <c r="A183"/>
    </row>
    <row r="184" spans="1:1" x14ac:dyDescent="0.3">
      <c r="A184"/>
    </row>
    <row r="185" spans="1:1" x14ac:dyDescent="0.3">
      <c r="A185"/>
    </row>
    <row r="186" spans="1:1" x14ac:dyDescent="0.3">
      <c r="A186"/>
    </row>
    <row r="187" spans="1:1" x14ac:dyDescent="0.3">
      <c r="A187"/>
    </row>
    <row r="188" spans="1:1" x14ac:dyDescent="0.3">
      <c r="A188"/>
    </row>
    <row r="189" spans="1:1" x14ac:dyDescent="0.3">
      <c r="A189"/>
    </row>
    <row r="190" spans="1:1" x14ac:dyDescent="0.3">
      <c r="A190"/>
    </row>
    <row r="191" spans="1:1" x14ac:dyDescent="0.3">
      <c r="A191"/>
    </row>
    <row r="192" spans="1:1" x14ac:dyDescent="0.3">
      <c r="A192"/>
    </row>
    <row r="193" spans="1:1" x14ac:dyDescent="0.3">
      <c r="A193"/>
    </row>
    <row r="194" spans="1:1" x14ac:dyDescent="0.3">
      <c r="A194"/>
    </row>
    <row r="195" spans="1:1" x14ac:dyDescent="0.3">
      <c r="A195"/>
    </row>
    <row r="196" spans="1:1" x14ac:dyDescent="0.3">
      <c r="A196"/>
    </row>
    <row r="197" spans="1:1" x14ac:dyDescent="0.3">
      <c r="A197"/>
    </row>
    <row r="198" spans="1:1" x14ac:dyDescent="0.3">
      <c r="A198"/>
    </row>
    <row r="199" spans="1:1" x14ac:dyDescent="0.3">
      <c r="A199"/>
    </row>
    <row r="200" spans="1:1" x14ac:dyDescent="0.3">
      <c r="A200"/>
    </row>
    <row r="201" spans="1:1" x14ac:dyDescent="0.3">
      <c r="A201"/>
    </row>
    <row r="202" spans="1:1" x14ac:dyDescent="0.3">
      <c r="A202"/>
    </row>
    <row r="203" spans="1:1" x14ac:dyDescent="0.3">
      <c r="A203"/>
    </row>
    <row r="204" spans="1:1" x14ac:dyDescent="0.3">
      <c r="A204"/>
    </row>
    <row r="205" spans="1:1" x14ac:dyDescent="0.3">
      <c r="A205"/>
    </row>
    <row r="206" spans="1:1" x14ac:dyDescent="0.3">
      <c r="A206"/>
    </row>
    <row r="207" spans="1:1" x14ac:dyDescent="0.3">
      <c r="A207"/>
    </row>
    <row r="208" spans="1:1" x14ac:dyDescent="0.3">
      <c r="A208"/>
    </row>
    <row r="209" spans="1:1" x14ac:dyDescent="0.3">
      <c r="A209"/>
    </row>
    <row r="210" spans="1:1" x14ac:dyDescent="0.3">
      <c r="A210"/>
    </row>
    <row r="211" spans="1:1" x14ac:dyDescent="0.3">
      <c r="A211"/>
    </row>
    <row r="212" spans="1:1" x14ac:dyDescent="0.3">
      <c r="A212"/>
    </row>
    <row r="213" spans="1:1" x14ac:dyDescent="0.3">
      <c r="A213"/>
    </row>
    <row r="214" spans="1:1" x14ac:dyDescent="0.3">
      <c r="A214"/>
    </row>
    <row r="215" spans="1:1" x14ac:dyDescent="0.3">
      <c r="A215"/>
    </row>
    <row r="216" spans="1:1" x14ac:dyDescent="0.3">
      <c r="A216"/>
    </row>
    <row r="217" spans="1:1" x14ac:dyDescent="0.3">
      <c r="A217"/>
    </row>
    <row r="218" spans="1:1" x14ac:dyDescent="0.3">
      <c r="A218"/>
    </row>
    <row r="219" spans="1:1" x14ac:dyDescent="0.3">
      <c r="A219"/>
    </row>
    <row r="220" spans="1:1" x14ac:dyDescent="0.3">
      <c r="A220"/>
    </row>
    <row r="221" spans="1:1" x14ac:dyDescent="0.3">
      <c r="A221"/>
    </row>
    <row r="222" spans="1:1" x14ac:dyDescent="0.3">
      <c r="A222"/>
    </row>
    <row r="223" spans="1:1" x14ac:dyDescent="0.3">
      <c r="A223"/>
    </row>
    <row r="224" spans="1:1" x14ac:dyDescent="0.3">
      <c r="A224"/>
    </row>
    <row r="225" spans="1:1" x14ac:dyDescent="0.3">
      <c r="A225"/>
    </row>
    <row r="226" spans="1:1" x14ac:dyDescent="0.3">
      <c r="A226"/>
    </row>
    <row r="227" spans="1:1" x14ac:dyDescent="0.3">
      <c r="A227"/>
    </row>
    <row r="228" spans="1:1" x14ac:dyDescent="0.3">
      <c r="A228"/>
    </row>
    <row r="229" spans="1:1" x14ac:dyDescent="0.3">
      <c r="A229"/>
    </row>
    <row r="230" spans="1:1" x14ac:dyDescent="0.3">
      <c r="A230"/>
    </row>
    <row r="231" spans="1:1" x14ac:dyDescent="0.3">
      <c r="A231"/>
    </row>
    <row r="232" spans="1:1" x14ac:dyDescent="0.3">
      <c r="A232"/>
    </row>
  </sheetData>
  <autoFilter ref="A1:B1">
    <sortState ref="A2:B27">
      <sortCondition ref="A1"/>
    </sortState>
  </autoFilter>
  <sortState ref="A2:A232">
    <sortCondition ref="A1"/>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11</vt:i4>
      </vt:variant>
    </vt:vector>
  </HeadingPairs>
  <TitlesOfParts>
    <vt:vector size="11" baseType="lpstr">
      <vt:lpstr>VPN</vt:lpstr>
      <vt:lpstr>3G_REGIONS</vt:lpstr>
      <vt:lpstr>TNS+</vt:lpstr>
      <vt:lpstr>KazTransCom</vt:lpstr>
      <vt:lpstr>Transtelecom</vt:lpstr>
      <vt:lpstr>Лист1</vt:lpstr>
      <vt:lpstr>Лист2</vt:lpstr>
      <vt:lpstr>Лист3</vt:lpstr>
      <vt:lpstr>BAYLANYS_NAK(KAP)</vt:lpstr>
      <vt:lpstr>L2 VLAN</vt:lpstr>
      <vt:lpstr>Описание сервисов</vt:lpstr>
    </vt:vector>
  </TitlesOfParts>
  <Company>GSM Kazakhstan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evgeniy.varnava</dc:creator>
  <cp:lastModifiedBy>Вадим Касаткин</cp:lastModifiedBy>
  <cp:lastPrinted>2016-04-07T04:56:23Z</cp:lastPrinted>
  <dcterms:created xsi:type="dcterms:W3CDTF">2012-05-02T10:22:32Z</dcterms:created>
  <dcterms:modified xsi:type="dcterms:W3CDTF">2022-11-15T13:44:21Z</dcterms:modified>
</cp:coreProperties>
</file>